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anieldiaz/Desktop/LISTA DE MATERIAL TECNICO/"/>
    </mc:Choice>
  </mc:AlternateContent>
  <xr:revisionPtr revIDLastSave="0" documentId="8_{C0E80897-A6EC-8F44-87FF-2F1858D77D8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00_Dashboard" sheetId="1" r:id="rId1"/>
    <sheet name="00_Indice_Maestro" sheetId="2" r:id="rId2"/>
    <sheet name="README" sheetId="3" r:id="rId3"/>
    <sheet name="Instrucciones" sheetId="4" r:id="rId4"/>
    <sheet name="Proyecto" sheetId="5" r:id="rId5"/>
    <sheet name="Cámaras" sheetId="6" r:id="rId6"/>
    <sheet name="Ópticas" sheetId="7" r:id="rId7"/>
    <sheet name="Luces" sheetId="8" r:id="rId8"/>
    <sheet name="Modos_Cámara" sheetId="9" r:id="rId9"/>
    <sheet name="Película" sheetId="10" r:id="rId10"/>
    <sheet name="Auditoría" sheetId="11" r:id="rId11"/>
    <sheet name="Fuentes" sheetId="12" r:id="rId12"/>
    <sheet name="Formatos_Referencia" sheetId="13" r:id="rId13"/>
    <sheet name="Herramientas_Referencia" sheetId="14" r:id="rId14"/>
    <sheet name="Mapa_Sistema" sheetId="15" r:id="rId15"/>
    <sheet name="Flujo_Eleccion" sheetId="16" r:id="rId16"/>
    <sheet name="Fuentes_Informacion" sheetId="17" r:id="rId17"/>
    <sheet name="Control_Datos" sheetId="18" r:id="rId18"/>
    <sheet name="Funciones_Futuras" sheetId="19" r:id="rId19"/>
    <sheet name="Pendientes_Investigacion" sheetId="20" r:id="rId20"/>
    <sheet name="Nuevas_Pantallas" sheetId="21" r:id="rId21"/>
    <sheet name="Campos_Tecnicos_Futuros" sheetId="22" r:id="rId22"/>
    <sheet name="Fase_2_Ideas" sheetId="23" r:id="rId23"/>
    <sheet name="Fase_2_Investigacion" sheetId="24" r:id="rId24"/>
    <sheet name="Arquitectura_Dependencias" sheetId="25" r:id="rId25"/>
    <sheet name="Verificacion_Fase_1" sheetId="26" r:id="rId26"/>
    <sheet name="Leyenda_Verificacion" sheetId="27" r:id="rId27"/>
    <sheet name="Fuentes_Fase_1" sheetId="28" r:id="rId28"/>
    <sheet name="01_Matriz_Verificacion" sheetId="29" r:id="rId29"/>
    <sheet name="02_Registro_Fuentes" sheetId="30" r:id="rId30"/>
    <sheet name="03_Diccionario_Campos" sheetId="31" r:id="rId31"/>
    <sheet name="04_Compatibilidad" sheetId="32" r:id="rId32"/>
    <sheet name="05_Backlog_Funciones" sheetId="33" r:id="rId33"/>
    <sheet name="06_Changelog" sheetId="34" r:id="rId34"/>
  </sheets>
  <definedNames>
    <definedName name="_xlnm._FilterDatabase" localSheetId="24" hidden="1">Arquitectura_Dependencias!$A$1:$E$14</definedName>
    <definedName name="_xlnm._FilterDatabase" localSheetId="10" hidden="1">Auditoría!$A$1:$G$21</definedName>
    <definedName name="_xlnm._FilterDatabase" localSheetId="5" hidden="1">Cámaras!$A$1:$AJ$71</definedName>
    <definedName name="_xlnm._FilterDatabase" localSheetId="17" hidden="1">Control_Datos!$A$1:$K$9</definedName>
    <definedName name="_xlnm._FilterDatabase" localSheetId="22" hidden="1">Fase_2_Ideas!$A$1:$G$21</definedName>
    <definedName name="_xlnm._FilterDatabase" localSheetId="23" hidden="1">Fase_2_Investigacion!$A$1:$E$11</definedName>
    <definedName name="_xlnm._FilterDatabase" localSheetId="15" hidden="1">Flujo_Eleccion!$A$1:$F$13</definedName>
    <definedName name="_xlnm._FilterDatabase" localSheetId="12" hidden="1">Formatos_Referencia!$A$1:$I$13</definedName>
    <definedName name="_xlnm._FilterDatabase" localSheetId="11" hidden="1">Fuentes!$A$1:$D$13</definedName>
    <definedName name="_xlnm._FilterDatabase" localSheetId="27" hidden="1">Fuentes_Fase_1!$A$1:$E$13</definedName>
    <definedName name="_xlnm._FilterDatabase" localSheetId="16" hidden="1">Fuentes_Informacion!$A$1:$I$8</definedName>
    <definedName name="_xlnm._FilterDatabase" localSheetId="18" hidden="1">Funciones_Futuras!$A$1:$G$14</definedName>
    <definedName name="_xlnm._FilterDatabase" localSheetId="13" hidden="1">Herramientas_Referencia!$A$1:$E$11</definedName>
    <definedName name="_xlnm._FilterDatabase" localSheetId="3" hidden="1">Instrucciones!$A$1:$A$16</definedName>
    <definedName name="_xlnm._FilterDatabase" localSheetId="26" hidden="1">Leyenda_Verificacion!$A$1:$C$7</definedName>
    <definedName name="_xlnm._FilterDatabase" localSheetId="7" hidden="1">Luces!$A$1:$AB$104</definedName>
    <definedName name="_xlnm._FilterDatabase" localSheetId="14" hidden="1">Mapa_Sistema!$A$1:$F$21</definedName>
    <definedName name="_xlnm._FilterDatabase" localSheetId="8" hidden="1">Modos_Cámara!$A$1:$W$250</definedName>
    <definedName name="_xlnm._FilterDatabase" localSheetId="6" hidden="1">Ópticas!$A$1:$AD$464</definedName>
    <definedName name="_xlnm._FilterDatabase" localSheetId="9" hidden="1">Película!$A$1:$V$10</definedName>
    <definedName name="_xlnm._FilterDatabase" localSheetId="19" hidden="1">Pendientes_Investigacion!$A$1:$F$9</definedName>
    <definedName name="_xlnm._FilterDatabase" localSheetId="25" hidden="1">Verificacion_Fase_1!$A$1:$L$12</definedName>
  </definedNames>
  <calcPr calcId="0"/>
  <fileRecoveryPr repairLoad="1"/>
</workbook>
</file>

<file path=xl/calcChain.xml><?xml version="1.0" encoding="utf-8"?>
<calcChain xmlns="http://schemas.openxmlformats.org/spreadsheetml/2006/main">
  <c r="B7" i="1" l="1"/>
  <c r="B6" i="1"/>
  <c r="B5" i="1"/>
  <c r="B4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IRIS DP</author>
  </authors>
  <commentList>
    <comment ref="D17" authorId="0" shapeId="0" xr:uid="{00000000-0006-0000-0500-000001000000}">
      <text>
        <r>
          <rPr>
            <sz val="10"/>
            <color rgb="FF000000"/>
            <rFont val="Arial"/>
          </rPr>
          <t>Fase 1: corregido/contrastado con ficha oficial Blackmagic Design PYXIS 6K L. No completar otros campos por inferencia.</t>
        </r>
      </text>
    </comment>
    <comment ref="E17" authorId="0" shapeId="0" xr:uid="{00000000-0006-0000-0500-000002000000}">
      <text>
        <r>
          <rPr>
            <sz val="10"/>
            <color rgb="FF000000"/>
            <rFont val="Arial"/>
          </rPr>
          <t>Fase 1: corregido/contrastado con ficha oficial Blackmagic Design PYXIS 6K L. No completar otros campos por inferencia.</t>
        </r>
      </text>
    </comment>
    <comment ref="F17" authorId="0" shapeId="0" xr:uid="{00000000-0006-0000-0500-000003000000}">
      <text>
        <r>
          <rPr>
            <sz val="10"/>
            <color rgb="FF000000"/>
            <rFont val="Arial"/>
          </rPr>
          <t>Fase 1: corregido/contrastado con ficha oficial Blackmagic Design PYXIS 6K L. No completar otros campos por inferencia.</t>
        </r>
      </text>
    </comment>
    <comment ref="AB17" authorId="0" shapeId="0" xr:uid="{00000000-0006-0000-0500-000004000000}">
      <text>
        <r>
          <rPr>
            <sz val="10"/>
            <color rgb="FF000000"/>
            <rFont val="Arial"/>
          </rPr>
          <t>Fase 1: corregido/contrastado con ficha oficial Blackmagic Design PYXIS 6K L. No completar otros campos por inferencia.</t>
        </r>
      </text>
    </comment>
  </commentList>
</comments>
</file>

<file path=xl/sharedStrings.xml><?xml version="1.0" encoding="utf-8"?>
<sst xmlns="http://schemas.openxmlformats.org/spreadsheetml/2006/main" count="24124" uniqueCount="3550">
  <si>
    <t>CONTROL IRIS DP — CATÁLOGO TÉCNICO</t>
  </si>
  <si>
    <t>Valor</t>
  </si>
  <si>
    <t>Fecha de corte</t>
  </si>
  <si>
    <t>2026-08-10</t>
  </si>
  <si>
    <t>Registros</t>
  </si>
  <si>
    <t>Verificados</t>
  </si>
  <si>
    <t>Parciales</t>
  </si>
  <si>
    <t>Contradictorios</t>
  </si>
  <si>
    <t>Pendientes</t>
  </si>
  <si>
    <t>Regla</t>
  </si>
  <si>
    <t>Sin evidencia no se afirma. Contradicción no se resuelve por intuición.</t>
  </si>
  <si>
    <t>Fase</t>
  </si>
  <si>
    <t>Objetivo</t>
  </si>
  <si>
    <t>Estado</t>
  </si>
  <si>
    <t>Fase 1</t>
  </si>
  <si>
    <t>Auditoría inicial</t>
  </si>
  <si>
    <t>Completada</t>
  </si>
  <si>
    <t>Fase 2</t>
  </si>
  <si>
    <t>Cámaras + modos + sistema de evidencia</t>
  </si>
  <si>
    <t>En curso</t>
  </si>
  <si>
    <t>Fase 3</t>
  </si>
  <si>
    <t>Ópticas + cobertura</t>
  </si>
  <si>
    <t>Pendiente</t>
  </si>
  <si>
    <t>Fase 4</t>
  </si>
  <si>
    <t>Iluminación + fotometría</t>
  </si>
  <si>
    <t>Fase 5</t>
  </si>
  <si>
    <t>Película + analógico</t>
  </si>
  <si>
    <t>Fase 6</t>
  </si>
  <si>
    <t>Compatibilidad + motores de decisión</t>
  </si>
  <si>
    <t>Fase 7</t>
  </si>
  <si>
    <t>Auditoría cruzada</t>
  </si>
  <si>
    <t>Fase 8</t>
  </si>
  <si>
    <t>Dataset de producción IRIS DP</t>
  </si>
  <si>
    <t>material_id</t>
  </si>
  <si>
    <t>categoria</t>
  </si>
  <si>
    <t>marca</t>
  </si>
  <si>
    <t>modelo</t>
  </si>
  <si>
    <t>fase_estudio</t>
  </si>
  <si>
    <t>prioridad</t>
  </si>
  <si>
    <t>estado_verificacion</t>
  </si>
  <si>
    <t>nivel_confianza</t>
  </si>
  <si>
    <t>campos_verificados</t>
  </si>
  <si>
    <t>fuente_principal</t>
  </si>
  <si>
    <t>url_fuente</t>
  </si>
  <si>
    <t>ultima_revision</t>
  </si>
  <si>
    <t>siguiente_accion</t>
  </si>
  <si>
    <t>apto_para_calculos</t>
  </si>
  <si>
    <t>arri_alexa35</t>
  </si>
  <si>
    <t>Cámara</t>
  </si>
  <si>
    <t>ARRI</t>
  </si>
  <si>
    <t>ALEXA 35</t>
  </si>
  <si>
    <t>Fase 2 — Cámaras y modos</t>
  </si>
  <si>
    <t>CRÍTICA</t>
  </si>
  <si>
    <t>VERIFICADO PARCIAL</t>
  </si>
  <si>
    <t>ALTA</t>
  </si>
  <si>
    <t>sensor_ancho_mm; sensor_alto_mm; mount; tipo_sensor; formato_sensor; max_fps; formatos_grabacion; aspect_ratios; modos_sensor</t>
  </si>
  <si>
    <t>ARRI — ALEXA 35 technical data</t>
  </si>
  <si>
    <t>https://www.arri.com/en/camera-systems/cameras/legacy-camera-systems/alexa-35</t>
  </si>
  <si>
    <t>Revisar campos pendientes</t>
  </si>
  <si>
    <t>PARCIAL — filtrar por campo</t>
  </si>
  <si>
    <t>arri_alexa_mini_lf</t>
  </si>
  <si>
    <t>ALEXA Mini LF</t>
  </si>
  <si>
    <t>CONTRADICTORIO</t>
  </si>
  <si>
    <t>sensor_ancho_mm; sensor_alto_mm; mount; tipo_sensor; formato_sensor; modos_sensor</t>
  </si>
  <si>
    <t>ARRI — ALEXA Mini LF product page + user manual</t>
  </si>
  <si>
    <t>https://www.arri.com/en/camera-systems/cameras/alexa-mini-lf</t>
  </si>
  <si>
    <t>NO</t>
  </si>
  <si>
    <t>arri_alexa_mini</t>
  </si>
  <si>
    <t>ALEXA Mini</t>
  </si>
  <si>
    <t>PENDIENTE</t>
  </si>
  <si>
    <t>arri_amira</t>
  </si>
  <si>
    <t>AMIRA</t>
  </si>
  <si>
    <t>arri_416</t>
  </si>
  <si>
    <t>416</t>
  </si>
  <si>
    <t>arri_alexa_65</t>
  </si>
  <si>
    <t>ALEXA 65</t>
  </si>
  <si>
    <t>arri_alexa_xt</t>
  </si>
  <si>
    <t>ALEXA XT</t>
  </si>
  <si>
    <t>arri_alexa_sxt</t>
  </si>
  <si>
    <t>ALEXA SXT</t>
  </si>
  <si>
    <t>arri_alexa_lf</t>
  </si>
  <si>
    <t>ALEXA LF</t>
  </si>
  <si>
    <t>arri_435</t>
  </si>
  <si>
    <t>435</t>
  </si>
  <si>
    <t>arri_265</t>
  </si>
  <si>
    <t>265</t>
  </si>
  <si>
    <t>arri_alexa_xt_plus</t>
  </si>
  <si>
    <t>ALEXA XT Plus</t>
  </si>
  <si>
    <t>arri_sr3</t>
  </si>
  <si>
    <t>SR3</t>
  </si>
  <si>
    <t>arri_416_plus</t>
  </si>
  <si>
    <t>416 Plus</t>
  </si>
  <si>
    <t>bm_ursa_12k</t>
  </si>
  <si>
    <t>Blackmagic</t>
  </si>
  <si>
    <t>URSA Mini Pro 12K</t>
  </si>
  <si>
    <t>bm_pyxis</t>
  </si>
  <si>
    <t>PYXIS 6K</t>
  </si>
  <si>
    <t>CORREGIDO Y VERIFICADO PARCIAL</t>
  </si>
  <si>
    <t>sensor_ancho_mm; sensor_alto_mm; mount; formato_sensor; aspect_ratio_sensor; diagonal_sensor_mm; fuente_datos</t>
  </si>
  <si>
    <t>Blackmagic Design — PYXIS 6K L technical specs</t>
  </si>
  <si>
    <t>https://www.blackmagicdesign.com/es/products/blackmagicpyxis/techspecs/W-BOX-09</t>
  </si>
  <si>
    <t>bm_pocket_6k_pro</t>
  </si>
  <si>
    <t>BMPCC 6K Pro</t>
  </si>
  <si>
    <t>bm_pocket_4k</t>
  </si>
  <si>
    <t>BMPCC 4K</t>
  </si>
  <si>
    <t>bm_ursa_g2</t>
  </si>
  <si>
    <t>URSA Mini Pro G2</t>
  </si>
  <si>
    <t>bm_ursa_4.6k</t>
  </si>
  <si>
    <t>URSA Mini 4.6K</t>
  </si>
  <si>
    <t>blackmagic_ursa_17k</t>
  </si>
  <si>
    <t>URSA Cine 17K</t>
  </si>
  <si>
    <t>sensor_ancho_mm; sensor_alto_mm; mount; formato_sensor; rango_dinamico_stops; formatos_grabacion</t>
  </si>
  <si>
    <t>Blackmagic Design — URSA Cine 17K 65 technical specs</t>
  </si>
  <si>
    <t>https://www.blackmagicdesign.com/es/products/blackmagicursacine/techspecs/W-URSA-73</t>
  </si>
  <si>
    <t>blackmagic_pocket_6k_g2</t>
  </si>
  <si>
    <t>BMPCC 6K G2</t>
  </si>
  <si>
    <t>canon_c500mk2</t>
  </si>
  <si>
    <t>Canon</t>
  </si>
  <si>
    <t>C500 Mark II</t>
  </si>
  <si>
    <t>canon_c300mk3</t>
  </si>
  <si>
    <t>C300 Mark III</t>
  </si>
  <si>
    <t>canon_c70</t>
  </si>
  <si>
    <t>C70</t>
  </si>
  <si>
    <t>canon_c50</t>
  </si>
  <si>
    <t>C50</t>
  </si>
  <si>
    <t>canon_c200</t>
  </si>
  <si>
    <t>C200</t>
  </si>
  <si>
    <t>canon_c300mk2</t>
  </si>
  <si>
    <t>C300 Mark II</t>
  </si>
  <si>
    <t>canon_1dc</t>
  </si>
  <si>
    <t>EOS-1D C</t>
  </si>
  <si>
    <t>canon_r5c</t>
  </si>
  <si>
    <t>EOS R5 C</t>
  </si>
  <si>
    <t>canon_c700</t>
  </si>
  <si>
    <t>C700 FF</t>
  </si>
  <si>
    <t>imax_15perf</t>
  </si>
  <si>
    <t>IMAX</t>
  </si>
  <si>
    <t>15/70 Film</t>
  </si>
  <si>
    <t>panasonic_varicam_lt</t>
  </si>
  <si>
    <t>Panasonic</t>
  </si>
  <si>
    <t>VARICAM LT</t>
  </si>
  <si>
    <t>panasonic_varicam_35</t>
  </si>
  <si>
    <t>VARICAM 35</t>
  </si>
  <si>
    <t>panasonic_eva1</t>
  </si>
  <si>
    <t>EVA1</t>
  </si>
  <si>
    <t>panasonic_s1h</t>
  </si>
  <si>
    <t>LUMIX S1H</t>
  </si>
  <si>
    <t>panasonic_varicam_pure</t>
  </si>
  <si>
    <t>VARICAM Pure</t>
  </si>
  <si>
    <t>panasonic_varicam_hs</t>
  </si>
  <si>
    <t>VARICAM HS</t>
  </si>
  <si>
    <t>panavision_dxl2</t>
  </si>
  <si>
    <t>Panavision</t>
  </si>
  <si>
    <t>DXL2</t>
  </si>
  <si>
    <t>panavision_millennium</t>
  </si>
  <si>
    <t>Millennium DXL</t>
  </si>
  <si>
    <t>panavision_millennium_xl2</t>
  </si>
  <si>
    <t>Millennium XL2</t>
  </si>
  <si>
    <t>phase_one_xf</t>
  </si>
  <si>
    <t>Phase One</t>
  </si>
  <si>
    <t>XF IQ4 150MP</t>
  </si>
  <si>
    <t>red_vraptor_vv</t>
  </si>
  <si>
    <t>RED</t>
  </si>
  <si>
    <t>V-RAPTOR 8K VV</t>
  </si>
  <si>
    <t>red_vraptor_xl</t>
  </si>
  <si>
    <t>V-RAPTOR XL 8K VV</t>
  </si>
  <si>
    <t>red_komodo</t>
  </si>
  <si>
    <t>KOMODO 6K</t>
  </si>
  <si>
    <t>red_komodo_x</t>
  </si>
  <si>
    <t>KOMODO-X 6K</t>
  </si>
  <si>
    <t>red_gemini</t>
  </si>
  <si>
    <t>GEMINI 5K</t>
  </si>
  <si>
    <t>red_ranger</t>
  </si>
  <si>
    <t>RANGER GEMINI</t>
  </si>
  <si>
    <t>red_weapon_vv</t>
  </si>
  <si>
    <t>WEAPON 8K VV</t>
  </si>
  <si>
    <t>red_monstro</t>
  </si>
  <si>
    <t>MONSTRO 8K VV</t>
  </si>
  <si>
    <t>red_scarlet_w</t>
  </si>
  <si>
    <t>SCARLET-W 5K</t>
  </si>
  <si>
    <t>red_ranger_monstro</t>
  </si>
  <si>
    <t>RANGER MONSTRO</t>
  </si>
  <si>
    <t>sony_venice2</t>
  </si>
  <si>
    <t>Sony</t>
  </si>
  <si>
    <t>VENICE 2 8K</t>
  </si>
  <si>
    <t>sony_venice</t>
  </si>
  <si>
    <t>VENICE</t>
  </si>
  <si>
    <t>sony_fx9</t>
  </si>
  <si>
    <t>FX9</t>
  </si>
  <si>
    <t>sony_fx6</t>
  </si>
  <si>
    <t>FX6</t>
  </si>
  <si>
    <t>MEDIA</t>
  </si>
  <si>
    <t>Sony — fuente oficial indicada en el Excel</t>
  </si>
  <si>
    <t>https://www.sony.com/electronics/support/camcorders-and-video-cameras-interchangeable-lens-camcorders/ilme-fx6v/specifications</t>
  </si>
  <si>
    <t>sony_fx3</t>
  </si>
  <si>
    <t>FX3</t>
  </si>
  <si>
    <t>sony_burano</t>
  </si>
  <si>
    <t>BURANO</t>
  </si>
  <si>
    <t>tipo_sensor; mount; iso_base_1; iso_base_2; rango_dinamico_stops</t>
  </si>
  <si>
    <t>Sony — BURANO manual MPC-2610, sección Especificaciones</t>
  </si>
  <si>
    <t>https://www.sony.com/electronics/support/res/manuals/5056/6739da6f06901102464e4751ebb152f3/50560985M.pdf</t>
  </si>
  <si>
    <t>sony_fr7</t>
  </si>
  <si>
    <t>FR7</t>
  </si>
  <si>
    <t>sony_f55</t>
  </si>
  <si>
    <t>F55</t>
  </si>
  <si>
    <t>sony_f5</t>
  </si>
  <si>
    <t>F5</t>
  </si>
  <si>
    <t>sony_fs7ii</t>
  </si>
  <si>
    <t>FS7 II</t>
  </si>
  <si>
    <t>sony_fs5</t>
  </si>
  <si>
    <t>FS5</t>
  </si>
  <si>
    <t>sony_f65</t>
  </si>
  <si>
    <t>F65</t>
  </si>
  <si>
    <t>sony_a7siii</t>
  </si>
  <si>
    <t>A7S III</t>
  </si>
  <si>
    <t>sony_f35</t>
  </si>
  <si>
    <t>F35</t>
  </si>
  <si>
    <t>sony_fr7_studio</t>
  </si>
  <si>
    <t>FR7 Studio Pack</t>
  </si>
  <si>
    <t>sony_venice_1_r</t>
  </si>
  <si>
    <t>VENICE Rialto</t>
  </si>
  <si>
    <t>phantom_flex4k</t>
  </si>
  <si>
    <t>Vision Research</t>
  </si>
  <si>
    <t>Phantom Flex4K</t>
  </si>
  <si>
    <t>phantom_t1340</t>
  </si>
  <si>
    <t>Phantom T1340</t>
  </si>
  <si>
    <t>arri_alexa_265</t>
  </si>
  <si>
    <t>ALEXA 265</t>
  </si>
  <si>
    <t>VERIFICADO</t>
  </si>
  <si>
    <t>sensor_ancho_mm; sensor_alto_mm; mount; formato_sensor; diagonal_sensor_mm; rango_dinamico_stops; rango_ei; formatos_grabacion; modos_sensor; max_fps; nd_interno</t>
  </si>
  <si>
    <t>ARRI Rental — ALEXA 265 technical data</t>
  </si>
  <si>
    <t>https://www.arrirental.com/en/cameras/digital-65-mm-cameras/alexa-265</t>
  </si>
  <si>
    <t>Revisión periódica</t>
  </si>
  <si>
    <t>SÍ — campos verificados</t>
  </si>
  <si>
    <t>blackmagic_ursa_cine_12k_lf</t>
  </si>
  <si>
    <t>Blackmagic Design</t>
  </si>
  <si>
    <t>URSA Cine 12K LF</t>
  </si>
  <si>
    <t>sensor_ancho_mm; sensor_alto_mm; formato_sensor; rango_dinamico_stops; formatos_grabacion; modos_sensor; mount</t>
  </si>
  <si>
    <t>Blackmagic Design — URSA Cine technical specifications</t>
  </si>
  <si>
    <t>https://www.blackmagicdesign.com/products/blackmagicursacine/techspecs</t>
  </si>
  <si>
    <t>arri_signature_12</t>
  </si>
  <si>
    <t>Óptica</t>
  </si>
  <si>
    <t>Signature Prime 12mm</t>
  </si>
  <si>
    <t>Fase 3 — Ópticas y cobertura</t>
  </si>
  <si>
    <t>arri_signature_15</t>
  </si>
  <si>
    <t>Signature Prime 15mm</t>
  </si>
  <si>
    <t>arri_signature_18</t>
  </si>
  <si>
    <t>Signature Prime 18mm</t>
  </si>
  <si>
    <t>arri_signature_21</t>
  </si>
  <si>
    <t>Signature Prime 21mm</t>
  </si>
  <si>
    <t>arri_signature_25</t>
  </si>
  <si>
    <t>Signature Prime 25mm</t>
  </si>
  <si>
    <t>arri_signature_29</t>
  </si>
  <si>
    <t>Signature Prime 29mm</t>
  </si>
  <si>
    <t>arri_signature_35</t>
  </si>
  <si>
    <t>Signature Prime 35mm</t>
  </si>
  <si>
    <t>arri_signature_40</t>
  </si>
  <si>
    <t>Signature Prime 40mm</t>
  </si>
  <si>
    <t>arri_signature_47</t>
  </si>
  <si>
    <t>Signature Prime 47mm</t>
  </si>
  <si>
    <t>arri_signature_58</t>
  </si>
  <si>
    <t>Signature Prime 58mm</t>
  </si>
  <si>
    <t>arri_signature_75</t>
  </si>
  <si>
    <t>Signature Prime 75mm</t>
  </si>
  <si>
    <t>arri_signature_95</t>
  </si>
  <si>
    <t>Signature Prime 95mm</t>
  </si>
  <si>
    <t>arri_signature_125</t>
  </si>
  <si>
    <t>Signature Prime 125mm</t>
  </si>
  <si>
    <t>arri_signature_150</t>
  </si>
  <si>
    <t>Signature Prime 150mm</t>
  </si>
  <si>
    <t>arri_signature_200</t>
  </si>
  <si>
    <t>Signature Prime 200mm</t>
  </si>
  <si>
    <t>arri_ultra_8</t>
  </si>
  <si>
    <t>Ultra Prime 8mm</t>
  </si>
  <si>
    <t>arri_ultra_10</t>
  </si>
  <si>
    <t>Ultra Prime 10mm</t>
  </si>
  <si>
    <t>arri_ultra_12</t>
  </si>
  <si>
    <t>Ultra Prime 12mm</t>
  </si>
  <si>
    <t>arri_ultra_14</t>
  </si>
  <si>
    <t>Ultra Prime 14mm</t>
  </si>
  <si>
    <t>arri_ultra_16</t>
  </si>
  <si>
    <t>Ultra Prime 16mm</t>
  </si>
  <si>
    <t>arri_ultra_20</t>
  </si>
  <si>
    <t>Ultra Prime 20mm</t>
  </si>
  <si>
    <t>arri_ultra_24</t>
  </si>
  <si>
    <t>Ultra Prime 24mm</t>
  </si>
  <si>
    <t>arri_ultra_32</t>
  </si>
  <si>
    <t>Ultra Prime 32mm</t>
  </si>
  <si>
    <t>arri_ultra_40</t>
  </si>
  <si>
    <t>Ultra Prime 40mm</t>
  </si>
  <si>
    <t>arri_ultra_50</t>
  </si>
  <si>
    <t>Ultra Prime 50mm</t>
  </si>
  <si>
    <t>arri_ultra_65</t>
  </si>
  <si>
    <t>Ultra Prime 65mm</t>
  </si>
  <si>
    <t>arri_ultra_85</t>
  </si>
  <si>
    <t>Ultra Prime 85mm</t>
  </si>
  <si>
    <t>arri_ultra_100</t>
  </si>
  <si>
    <t>Ultra Prime 100mm</t>
  </si>
  <si>
    <t>arri_ultra_135</t>
  </si>
  <si>
    <t>Ultra Prime 135mm</t>
  </si>
  <si>
    <t>arri_ultra_180</t>
  </si>
  <si>
    <t>Ultra Prime 180mm</t>
  </si>
  <si>
    <t>arri_ultra_200</t>
  </si>
  <si>
    <t>Ultra Prime 200mm</t>
  </si>
  <si>
    <t>arri_sig_280</t>
  </si>
  <si>
    <t>Signature Prime 280mm</t>
  </si>
  <si>
    <t>rehouse_abelcine_18</t>
  </si>
  <si>
    <t>AbelCine</t>
  </si>
  <si>
    <t>Rehoused Set 18mm</t>
  </si>
  <si>
    <t>rehouse_abelcine_25</t>
  </si>
  <si>
    <t>Rehoused Set 25mm</t>
  </si>
  <si>
    <t>rehouse_abelcine_35</t>
  </si>
  <si>
    <t>Rehoused Set 35mm</t>
  </si>
  <si>
    <t>rehouse_abelcine_50</t>
  </si>
  <si>
    <t>Rehoused Set 50mm</t>
  </si>
  <si>
    <t>rehouse_abelcine_75</t>
  </si>
  <si>
    <t>Rehoused Set 75mm</t>
  </si>
  <si>
    <t>rehouse_abelcine_100</t>
  </si>
  <si>
    <t>Rehoused Set 100mm</t>
  </si>
  <si>
    <t>angenieux_optimo_24_290</t>
  </si>
  <si>
    <t>Angenieux</t>
  </si>
  <si>
    <t>Optimo 24-290</t>
  </si>
  <si>
    <t>angenieux_optimo_15_40</t>
  </si>
  <si>
    <t>Optimo 15-40</t>
  </si>
  <si>
    <t>angenieux_optimo_28_340</t>
  </si>
  <si>
    <t>Optimo 28-340</t>
  </si>
  <si>
    <t>angenieux_ez1_30_90</t>
  </si>
  <si>
    <t>EZ-1 30-90 T2.0</t>
  </si>
  <si>
    <t>angenieux_ez2_15_40</t>
  </si>
  <si>
    <t>EZ-2 15-40 T2.0</t>
  </si>
  <si>
    <t>angenieux_ez3_45_135</t>
  </si>
  <si>
    <t>EZ-3 45-135 T3.0</t>
  </si>
  <si>
    <t>angenieux_optimo_ultra12</t>
  </si>
  <si>
    <t>Optimo Ultra 12x</t>
  </si>
  <si>
    <t>angenieux_optimo_prime_21</t>
  </si>
  <si>
    <t>Optimo Prime 21mm</t>
  </si>
  <si>
    <t>angenieux_optimo_prime_24</t>
  </si>
  <si>
    <t>Optimo Prime 24mm</t>
  </si>
  <si>
    <t>angenieux_optimo_prime_28</t>
  </si>
  <si>
    <t>Optimo Prime 28mm</t>
  </si>
  <si>
    <t>angenieux_optimo_prime_32</t>
  </si>
  <si>
    <t>Optimo Prime 32mm</t>
  </si>
  <si>
    <t>angenieux_optimo_prime_40</t>
  </si>
  <si>
    <t>Optimo Prime 40mm</t>
  </si>
  <si>
    <t>angenieux_optimo_prime_50</t>
  </si>
  <si>
    <t>Optimo Prime 50mm</t>
  </si>
  <si>
    <t>angenieux_optimo_prime_75</t>
  </si>
  <si>
    <t>Optimo Prime 75mm</t>
  </si>
  <si>
    <t>angenieux_optimo_prime_100</t>
  </si>
  <si>
    <t>Optimo Prime 100mm</t>
  </si>
  <si>
    <t>angenieux_optimo_prime_135</t>
  </si>
  <si>
    <t>Optimo Prime 135mm</t>
  </si>
  <si>
    <t>angenieux_ez1</t>
  </si>
  <si>
    <t>EZ-1 30-90mm T2.0 S35</t>
  </si>
  <si>
    <t>angenieux_ez2</t>
  </si>
  <si>
    <t>EZ-2 15-40mm T2.0 S35</t>
  </si>
  <si>
    <t>atlas_orion_32</t>
  </si>
  <si>
    <t>Atlas</t>
  </si>
  <si>
    <t>Orion Anamorphic 32mm</t>
  </si>
  <si>
    <t>atlas_orion_40</t>
  </si>
  <si>
    <t>Orion Anamorphic 40mm</t>
  </si>
  <si>
    <t>atlas_orion_50</t>
  </si>
  <si>
    <t>Orion Anamorphic 50mm</t>
  </si>
  <si>
    <t>atlas_orion_65</t>
  </si>
  <si>
    <t>Orion Anamorphic 65mm</t>
  </si>
  <si>
    <t>atlas_orion_80</t>
  </si>
  <si>
    <t>Orion Anamorphic 80mm</t>
  </si>
  <si>
    <t>atlas_orion_100</t>
  </si>
  <si>
    <t>Orion Anamorphic 100mm</t>
  </si>
  <si>
    <t>atlas_orion_135</t>
  </si>
  <si>
    <t>Orion 135mm</t>
  </si>
  <si>
    <t>canon_cne_14</t>
  </si>
  <si>
    <t>CN-E 14mm</t>
  </si>
  <si>
    <t>canon_cne_20</t>
  </si>
  <si>
    <t>CN-E 20mm</t>
  </si>
  <si>
    <t>canon_cne_24</t>
  </si>
  <si>
    <t>CN-E 24mm</t>
  </si>
  <si>
    <t>canon_cne_35</t>
  </si>
  <si>
    <t>CN-E 35mm</t>
  </si>
  <si>
    <t>canon_cne_50</t>
  </si>
  <si>
    <t>CN-E 50mm</t>
  </si>
  <si>
    <t>canon_cne_85</t>
  </si>
  <si>
    <t>CN-E 85mm</t>
  </si>
  <si>
    <t>canon_cne_135</t>
  </si>
  <si>
    <t>CN-E 135mm</t>
  </si>
  <si>
    <t>canon_k35_18</t>
  </si>
  <si>
    <t>K35 18mm</t>
  </si>
  <si>
    <t>canon_k35_24</t>
  </si>
  <si>
    <t>K35 24mm</t>
  </si>
  <si>
    <t>canon_k35_35</t>
  </si>
  <si>
    <t>K35 35mm</t>
  </si>
  <si>
    <t>canon_k35_55</t>
  </si>
  <si>
    <t>K35 55mm</t>
  </si>
  <si>
    <t>canon_k35_85</t>
  </si>
  <si>
    <t>K35 85mm</t>
  </si>
  <si>
    <t>canon_k35_135</t>
  </si>
  <si>
    <t>K35 135mm</t>
  </si>
  <si>
    <t>canon_sumire_14</t>
  </si>
  <si>
    <t>Sumire Prime 14mm</t>
  </si>
  <si>
    <t>canon_sumire_20</t>
  </si>
  <si>
    <t>Sumire Prime 20mm</t>
  </si>
  <si>
    <t>canon_sumire_35</t>
  </si>
  <si>
    <t>Sumire Prime 35mm</t>
  </si>
  <si>
    <t>canon_sumire_50</t>
  </si>
  <si>
    <t>Sumire Prime 50mm</t>
  </si>
  <si>
    <t>canon_sumire_85</t>
  </si>
  <si>
    <t>Sumire Prime 85mm</t>
  </si>
  <si>
    <t>canon_sumire_135</t>
  </si>
  <si>
    <t>Sumire Prime 135mm</t>
  </si>
  <si>
    <t>canon_sumire_24</t>
  </si>
  <si>
    <t>Sumire Prime 24mm</t>
  </si>
  <si>
    <t>cooke_s4_85</t>
  </si>
  <si>
    <t>Cooke</t>
  </si>
  <si>
    <t>S4/i 85mm</t>
  </si>
  <si>
    <t>cooke_s4_12</t>
  </si>
  <si>
    <t>S4/i 12mm</t>
  </si>
  <si>
    <t>cooke_s4_14</t>
  </si>
  <si>
    <t>S4/i 14mm</t>
  </si>
  <si>
    <t>cooke_s4_16</t>
  </si>
  <si>
    <t>S4/i 16mm</t>
  </si>
  <si>
    <t>cooke_s4_18</t>
  </si>
  <si>
    <t>S4/i 18mm</t>
  </si>
  <si>
    <t>cooke_s4_21</t>
  </si>
  <si>
    <t>S4/i 21mm</t>
  </si>
  <si>
    <t>cooke_s4_25</t>
  </si>
  <si>
    <t>S4/i 25mm</t>
  </si>
  <si>
    <t>cooke_s4_32</t>
  </si>
  <si>
    <t>S4/i 32mm</t>
  </si>
  <si>
    <t>cooke_s4_40</t>
  </si>
  <si>
    <t>S4/i 40mm</t>
  </si>
  <si>
    <t>cooke_s4_50</t>
  </si>
  <si>
    <t>S4/i 50mm</t>
  </si>
  <si>
    <t>cooke_s4_75</t>
  </si>
  <si>
    <t>S4/i 75mm</t>
  </si>
  <si>
    <t>cooke_s4_100</t>
  </si>
  <si>
    <t>S4/i 100mm</t>
  </si>
  <si>
    <t>cooke_s4_135</t>
  </si>
  <si>
    <t>S4/i 135mm</t>
  </si>
  <si>
    <t>cooke_s4_152</t>
  </si>
  <si>
    <t>S4/i 152mm</t>
  </si>
  <si>
    <t>cooke_s7_16</t>
  </si>
  <si>
    <t>S7/i Full Frame 16mm</t>
  </si>
  <si>
    <t>cooke_s7_18</t>
  </si>
  <si>
    <t>S7/i Full Frame 18mm</t>
  </si>
  <si>
    <t>cooke_s7_21</t>
  </si>
  <si>
    <t>S7/i Full Frame 21mm</t>
  </si>
  <si>
    <t>cooke_s7_25</t>
  </si>
  <si>
    <t>S7/i Full Frame 25mm</t>
  </si>
  <si>
    <t>cooke_s7_32</t>
  </si>
  <si>
    <t>S7/i Full Frame 32mm</t>
  </si>
  <si>
    <t>cooke_s7_40</t>
  </si>
  <si>
    <t>S7/i Full Frame 40mm</t>
  </si>
  <si>
    <t>cooke_s7_50</t>
  </si>
  <si>
    <t>S7/i Full Frame 50mm</t>
  </si>
  <si>
    <t>cooke_s7_75</t>
  </si>
  <si>
    <t>S7/i Full Frame 75mm</t>
  </si>
  <si>
    <t>cooke_s7_100</t>
  </si>
  <si>
    <t>S7/i Full Frame 100mm</t>
  </si>
  <si>
    <t>cooke_s7_135</t>
  </si>
  <si>
    <t>S7/i Full Frame 135mm</t>
  </si>
  <si>
    <t>cooke_s7_152</t>
  </si>
  <si>
    <t>S7/i Full Frame 152mm</t>
  </si>
  <si>
    <t>cooke_s8_18</t>
  </si>
  <si>
    <t>S8/i Full Frame 18mm</t>
  </si>
  <si>
    <t>cooke_s8_21</t>
  </si>
  <si>
    <t>S8/i Full Frame 21mm</t>
  </si>
  <si>
    <t>cooke_s8_25</t>
  </si>
  <si>
    <t>S8/i Full Frame 25mm</t>
  </si>
  <si>
    <t>cooke_s8_32</t>
  </si>
  <si>
    <t>S8/i Full Frame 32mm</t>
  </si>
  <si>
    <t>cooke_s8_40</t>
  </si>
  <si>
    <t>S8/i Full Frame 40mm</t>
  </si>
  <si>
    <t>cooke_s8_50</t>
  </si>
  <si>
    <t>S8/i Full Frame 50mm</t>
  </si>
  <si>
    <t>cooke_s8_75</t>
  </si>
  <si>
    <t>S8/i Full Frame 75mm</t>
  </si>
  <si>
    <t>cooke_s8_100</t>
  </si>
  <si>
    <t>S8/i Full Frame 100mm</t>
  </si>
  <si>
    <t>cooke_s8_135</t>
  </si>
  <si>
    <t>S8/i Full Frame 135mm</t>
  </si>
  <si>
    <t>cooke_speed_panchro_18</t>
  </si>
  <si>
    <t>Speed Panchro 18mm</t>
  </si>
  <si>
    <t>cooke_speed_panchro_25</t>
  </si>
  <si>
    <t>Speed Panchro 25mm</t>
  </si>
  <si>
    <t>cooke_speed_panchro_32</t>
  </si>
  <si>
    <t>Speed Panchro 32mm</t>
  </si>
  <si>
    <t>cooke_speed_panchro_40</t>
  </si>
  <si>
    <t>Speed Panchro 40mm</t>
  </si>
  <si>
    <t>cooke_speed_panchro_50</t>
  </si>
  <si>
    <t>Speed Panchro 50mm</t>
  </si>
  <si>
    <t>cooke_speed_panchro_75</t>
  </si>
  <si>
    <t>Speed Panchro 75mm</t>
  </si>
  <si>
    <t>cooke_speed_panchro_100</t>
  </si>
  <si>
    <t>Speed Panchro 100mm</t>
  </si>
  <si>
    <t>cooke_speed_panchro_152</t>
  </si>
  <si>
    <t>Speed Panchro 152mm</t>
  </si>
  <si>
    <t>cooke_super_baltar_20</t>
  </si>
  <si>
    <t>Super Baltar 20mm</t>
  </si>
  <si>
    <t>cooke_super_baltar_25</t>
  </si>
  <si>
    <t>Super Baltar 25mm</t>
  </si>
  <si>
    <t>cooke_super_baltar_35</t>
  </si>
  <si>
    <t>Super Baltar 35mm</t>
  </si>
  <si>
    <t>cooke_super_baltar_50</t>
  </si>
  <si>
    <t>Super Baltar 50mm</t>
  </si>
  <si>
    <t>cooke_super_baltar_75</t>
  </si>
  <si>
    <t>Super Baltar 75mm</t>
  </si>
  <si>
    <t>cooke_super_baltar_100</t>
  </si>
  <si>
    <t>Super Baltar 100mm</t>
  </si>
  <si>
    <t>cooke_super_baltar_152</t>
  </si>
  <si>
    <t>Super Baltar 152mm</t>
  </si>
  <si>
    <t>cooke_panchro_i_18</t>
  </si>
  <si>
    <t>Panchro/i Classic 18mm</t>
  </si>
  <si>
    <t>cooke_panchro_i_21</t>
  </si>
  <si>
    <t>Panchro/i Classic 21mm</t>
  </si>
  <si>
    <t>cooke_panchro_i_25</t>
  </si>
  <si>
    <t>Panchro/i Classic 25mm</t>
  </si>
  <si>
    <t>cooke_panchro_i_27</t>
  </si>
  <si>
    <t>Panchro/i Classic 27mm</t>
  </si>
  <si>
    <t>cooke_panchro_i_32</t>
  </si>
  <si>
    <t>Panchro/i Classic 32mm</t>
  </si>
  <si>
    <t>cooke_panchro_i_40</t>
  </si>
  <si>
    <t>Panchro/i Classic 40mm</t>
  </si>
  <si>
    <t>cooke_panchro_i_50</t>
  </si>
  <si>
    <t>Panchro/i Classic 50mm</t>
  </si>
  <si>
    <t>cooke_panchro_i_65</t>
  </si>
  <si>
    <t>Panchro/i Classic 65mm</t>
  </si>
  <si>
    <t>cooke_panchro_i_75</t>
  </si>
  <si>
    <t>Panchro/i Classic 75mm</t>
  </si>
  <si>
    <t>cooke_panchro_i_100</t>
  </si>
  <si>
    <t>Panchro/i Classic 100mm</t>
  </si>
  <si>
    <t>cooke_panchro_i_152</t>
  </si>
  <si>
    <t>Panchro/i Classic 152mm</t>
  </si>
  <si>
    <t>cooke_ana_ff_32</t>
  </si>
  <si>
    <t>Anamorphic/i Full Frame 32mm</t>
  </si>
  <si>
    <t>cooke_ana_ff_40</t>
  </si>
  <si>
    <t>Anamorphic/i Full Frame 40mm</t>
  </si>
  <si>
    <t>cooke_ana_ff_50</t>
  </si>
  <si>
    <t>Anamorphic/i Full Frame 50mm</t>
  </si>
  <si>
    <t>cooke_ana_ff_65</t>
  </si>
  <si>
    <t>Anamorphic/i Full Frame 65mm</t>
  </si>
  <si>
    <t>cooke_ana_ff_80</t>
  </si>
  <si>
    <t>Anamorphic/i Full Frame 80mm</t>
  </si>
  <si>
    <t>cooke_ana_ff_100</t>
  </si>
  <si>
    <t>Anamorphic/i Full Frame 100mm</t>
  </si>
  <si>
    <t>cooke_ana_ff_135</t>
  </si>
  <si>
    <t>Anamorphic/i Full Frame 135mm</t>
  </si>
  <si>
    <t>dzofilm_pictor_20_55</t>
  </si>
  <si>
    <t>DZOFilm</t>
  </si>
  <si>
    <t>Pictor 20-55 T2.8</t>
  </si>
  <si>
    <t>dzofilm_pictor_50_125</t>
  </si>
  <si>
    <t>Pictor 50-125 T2.8</t>
  </si>
  <si>
    <t>dzofilm_vespid_16</t>
  </si>
  <si>
    <t>Vespid Prime 16mm</t>
  </si>
  <si>
    <t>dzofilm_vespid_25</t>
  </si>
  <si>
    <t>Vespid Prime 25mm</t>
  </si>
  <si>
    <t>dzofilm_vespid_35</t>
  </si>
  <si>
    <t>Vespid Prime 35mm</t>
  </si>
  <si>
    <t>dzofilm_vespid_50</t>
  </si>
  <si>
    <t>Vespid Prime 50mm</t>
  </si>
  <si>
    <t>dzofilm_vespid_75</t>
  </si>
  <si>
    <t>Vespid Prime 75mm</t>
  </si>
  <si>
    <t>dzofilm_vespid_100</t>
  </si>
  <si>
    <t>Vespid Prime 100mm</t>
  </si>
  <si>
    <t>dzofilm_vespid_125</t>
  </si>
  <si>
    <t>Vespid Prime 125mm</t>
  </si>
  <si>
    <t>dzofilm_vespid_150</t>
  </si>
  <si>
    <t>Vespid Prime 150mm</t>
  </si>
  <si>
    <t>fujinon_premista_28_100</t>
  </si>
  <si>
    <t>Fujinon</t>
  </si>
  <si>
    <t>Premista 28-100 T2.9</t>
  </si>
  <si>
    <t>fujinon_premista_19_90</t>
  </si>
  <si>
    <t>Premista 19-90 T2.9</t>
  </si>
  <si>
    <t>fujinon_cabrio_85_300</t>
  </si>
  <si>
    <t>Cabrio 85-300 T2.9</t>
  </si>
  <si>
    <t>fujinon_premista_prime_14</t>
  </si>
  <si>
    <t>Premista Prime 14mm</t>
  </si>
  <si>
    <t>fujinon_premista_prime_18</t>
  </si>
  <si>
    <t>Premista Prime 18mm</t>
  </si>
  <si>
    <t>fujinon_premista_prime_21</t>
  </si>
  <si>
    <t>Premista Prime 21mm</t>
  </si>
  <si>
    <t>fujinon_premista_prime_25</t>
  </si>
  <si>
    <t>Premista Prime 25mm</t>
  </si>
  <si>
    <t>fujinon_premista_prime_35</t>
  </si>
  <si>
    <t>Premista Prime 35mm</t>
  </si>
  <si>
    <t>fujinon_premista_prime_50</t>
  </si>
  <si>
    <t>Premista Prime 50mm</t>
  </si>
  <si>
    <t>fujinon_premista_prime_85</t>
  </si>
  <si>
    <t>Premista Prime 85mm</t>
  </si>
  <si>
    <t>fujinon_premista_prime_125</t>
  </si>
  <si>
    <t>Premista Prime 125mm</t>
  </si>
  <si>
    <t>fujinon_premista_80_250</t>
  </si>
  <si>
    <t>Premista 80-250mm T2.9</t>
  </si>
  <si>
    <t>hawk_vlite_35</t>
  </si>
  <si>
    <t>Hawk</t>
  </si>
  <si>
    <t>V-Lite 35mm</t>
  </si>
  <si>
    <t>hawk_vlite_45</t>
  </si>
  <si>
    <t>V-Lite 45mm</t>
  </si>
  <si>
    <t>hawk_vlite_58</t>
  </si>
  <si>
    <t>V-Lite 58mm</t>
  </si>
  <si>
    <t>hawk_vlite_80</t>
  </si>
  <si>
    <t>V-Lite 80mm</t>
  </si>
  <si>
    <t>hawk_vlite_110</t>
  </si>
  <si>
    <t>V-Lite 110mm</t>
  </si>
  <si>
    <t>hawk_vlite_140</t>
  </si>
  <si>
    <t>V-Lite 140mm</t>
  </si>
  <si>
    <t>hawk_vlite_55</t>
  </si>
  <si>
    <t>V-Lite 55mm</t>
  </si>
  <si>
    <t>hawk_vlite_70</t>
  </si>
  <si>
    <t>V-Lite 70mm</t>
  </si>
  <si>
    <t>hawk_vlite_90</t>
  </si>
  <si>
    <t>V-Lite 90mm</t>
  </si>
  <si>
    <t>helios_58</t>
  </si>
  <si>
    <t>Helios</t>
  </si>
  <si>
    <t>44-2 58mm</t>
  </si>
  <si>
    <t>ironglass_28</t>
  </si>
  <si>
    <t>IronGlass</t>
  </si>
  <si>
    <t>Helios 44-2 28mm T2.0</t>
  </si>
  <si>
    <t>ironglass_37</t>
  </si>
  <si>
    <t>Helios 44-2 37mm T2.0</t>
  </si>
  <si>
    <t>ironglass_58</t>
  </si>
  <si>
    <t>Helios 44-2 58mm T2.0</t>
  </si>
  <si>
    <t>rehouse_keslow_20</t>
  </si>
  <si>
    <t>Keslow</t>
  </si>
  <si>
    <t>Vintage Rental 20mm</t>
  </si>
  <si>
    <t>rehouse_keslow_28</t>
  </si>
  <si>
    <t>Vintage Rental 28mm</t>
  </si>
  <si>
    <t>rehouse_keslow_40</t>
  </si>
  <si>
    <t>Vintage Rental 40mm</t>
  </si>
  <si>
    <t>rehouse_keslow_50</t>
  </si>
  <si>
    <t>Vintage Rental 50mm</t>
  </si>
  <si>
    <t>rehouse_keslow_85</t>
  </si>
  <si>
    <t>Vintage Rental 85mm</t>
  </si>
  <si>
    <t>kowa_anamorphic_40</t>
  </si>
  <si>
    <t>Kowa</t>
  </si>
  <si>
    <t>Anamorphic 40mm</t>
  </si>
  <si>
    <t>kowa_anamorphic_50</t>
  </si>
  <si>
    <t>Anamorphic 50mm</t>
  </si>
  <si>
    <t>kowa_anamorphic_75</t>
  </si>
  <si>
    <t>Anamorphic 75mm</t>
  </si>
  <si>
    <t>kowa_anamorphic_100</t>
  </si>
  <si>
    <t>Anamorphic 100mm</t>
  </si>
  <si>
    <t>kowa_prominar_40</t>
  </si>
  <si>
    <t>Prominar Anamorphic 40mm</t>
  </si>
  <si>
    <t>kowa_prominar_50</t>
  </si>
  <si>
    <t>Prominar Anamorphic 50mm</t>
  </si>
  <si>
    <t>kowa_prominar_75</t>
  </si>
  <si>
    <t>Prominar Anamorphic 75mm</t>
  </si>
  <si>
    <t>kowa_prominar_100</t>
  </si>
  <si>
    <t>Prominar Anamorphic 100mm</t>
  </si>
  <si>
    <t>leica_summilux_16</t>
  </si>
  <si>
    <t>Leica</t>
  </si>
  <si>
    <t>Summilux-C 16mm</t>
  </si>
  <si>
    <t>leica_summilux_18</t>
  </si>
  <si>
    <t>Summilux-C 18mm</t>
  </si>
  <si>
    <t>leica_summilux_21</t>
  </si>
  <si>
    <t>Summilux-C 21mm</t>
  </si>
  <si>
    <t>leica_summilux_25</t>
  </si>
  <si>
    <t>Summilux-C 25mm</t>
  </si>
  <si>
    <t>leica_summilux_29</t>
  </si>
  <si>
    <t>Summilux-C 29mm</t>
  </si>
  <si>
    <t>leica_summilux_35</t>
  </si>
  <si>
    <t>Summilux-C 35mm</t>
  </si>
  <si>
    <t>leica_summilux_40</t>
  </si>
  <si>
    <t>Summilux-C 40mm</t>
  </si>
  <si>
    <t>leica_summilux_50</t>
  </si>
  <si>
    <t>Summilux-C 50mm</t>
  </si>
  <si>
    <t>leica_summilux_65</t>
  </si>
  <si>
    <t>Summilux-C 65mm</t>
  </si>
  <si>
    <t>leica_summilux_75</t>
  </si>
  <si>
    <t>Summilux-C 75mm</t>
  </si>
  <si>
    <t>leica_summilux_100</t>
  </si>
  <si>
    <t>Summilux-C 100mm</t>
  </si>
  <si>
    <t>leica_summilux_135</t>
  </si>
  <si>
    <t>Summilux-C 135mm</t>
  </si>
  <si>
    <t>leica_thalia_24</t>
  </si>
  <si>
    <t>Thalia 24mm</t>
  </si>
  <si>
    <t>leica_thalia_35</t>
  </si>
  <si>
    <t>Thalia 35mm</t>
  </si>
  <si>
    <t>leica_thalia_55</t>
  </si>
  <si>
    <t>Thalia 55mm</t>
  </si>
  <si>
    <t>leica_thalia_70</t>
  </si>
  <si>
    <t>Thalia 70mm</t>
  </si>
  <si>
    <t>leica_thalia_95</t>
  </si>
  <si>
    <t>Thalia 95mm</t>
  </si>
  <si>
    <t>leica_thalia_135</t>
  </si>
  <si>
    <t>Thalia 135mm</t>
  </si>
  <si>
    <t>leica_thalia_180</t>
  </si>
  <si>
    <t>Thalia 180mm</t>
  </si>
  <si>
    <t>leica_r_19</t>
  </si>
  <si>
    <t>R (rehoused) 19mm</t>
  </si>
  <si>
    <t>leica_r_24</t>
  </si>
  <si>
    <t>R (rehoused) 24mm</t>
  </si>
  <si>
    <t>leica_r_35</t>
  </si>
  <si>
    <t>R (rehoused) 35mm</t>
  </si>
  <si>
    <t>leica_r_50</t>
  </si>
  <si>
    <t>R (rehoused) 50mm</t>
  </si>
  <si>
    <t>leica_r_80</t>
  </si>
  <si>
    <t>R (rehoused) 80mm</t>
  </si>
  <si>
    <t>leica_r_100</t>
  </si>
  <si>
    <t>R (rehoused) 100mm</t>
  </si>
  <si>
    <t>leitz_m08_18</t>
  </si>
  <si>
    <t>Leitz</t>
  </si>
  <si>
    <t>M 0.8 18mm</t>
  </si>
  <si>
    <t>leitz_m08_21</t>
  </si>
  <si>
    <t>M 0.8 21mm</t>
  </si>
  <si>
    <t>leitz_m08_24</t>
  </si>
  <si>
    <t>M 0.8 24mm</t>
  </si>
  <si>
    <t>leitz_m08_28</t>
  </si>
  <si>
    <t>M 0.8 28mm</t>
  </si>
  <si>
    <t>leitz_m08_35</t>
  </si>
  <si>
    <t>M 0.8 35mm</t>
  </si>
  <si>
    <t>leitz_m08_40</t>
  </si>
  <si>
    <t>M 0.8 40mm</t>
  </si>
  <si>
    <t>leitz_m08_50</t>
  </si>
  <si>
    <t>M 0.8 50mm</t>
  </si>
  <si>
    <t>leitz_m08_75</t>
  </si>
  <si>
    <t>M 0.8 75mm</t>
  </si>
  <si>
    <t>leitz_m08_90</t>
  </si>
  <si>
    <t>M 0.8 90mm</t>
  </si>
  <si>
    <t>leitz_m08_125</t>
  </si>
  <si>
    <t>M 0.8 125mm</t>
  </si>
  <si>
    <t>lomo_square_front_35</t>
  </si>
  <si>
    <t>Lomo</t>
  </si>
  <si>
    <t>Square Front Anamorphic 35mm</t>
  </si>
  <si>
    <t>lomo_square_front_50</t>
  </si>
  <si>
    <t>Square Front Anamorphic 50mm</t>
  </si>
  <si>
    <t>lomo_square_front_75</t>
  </si>
  <si>
    <t>Square Front Anamorphic 75mm</t>
  </si>
  <si>
    <t>lomo_square_front_100</t>
  </si>
  <si>
    <t>Square Front Anamorphic 100mm</t>
  </si>
  <si>
    <t>panavision_c_25</t>
  </si>
  <si>
    <t>C Series 25mm</t>
  </si>
  <si>
    <t>panavision_c_32</t>
  </si>
  <si>
    <t>C Series 32mm</t>
  </si>
  <si>
    <t>panavision_c_40</t>
  </si>
  <si>
    <t>C Series 40mm</t>
  </si>
  <si>
    <t>panavision_c_50</t>
  </si>
  <si>
    <t>C Series 50mm</t>
  </si>
  <si>
    <t>panavision_c_75</t>
  </si>
  <si>
    <t>C Series 75mm</t>
  </si>
  <si>
    <t>panavision_c_100</t>
  </si>
  <si>
    <t>C Series 100mm</t>
  </si>
  <si>
    <t>panavision_c_135</t>
  </si>
  <si>
    <t>C Series 135mm</t>
  </si>
  <si>
    <t>panavision_g_24</t>
  </si>
  <si>
    <t>G Series 24mm</t>
  </si>
  <si>
    <t>panavision_g_35</t>
  </si>
  <si>
    <t>G Series 35mm</t>
  </si>
  <si>
    <t>panavision_g_50</t>
  </si>
  <si>
    <t>G Series 50mm</t>
  </si>
  <si>
    <t>panavision_g_75</t>
  </si>
  <si>
    <t>G Series 75mm</t>
  </si>
  <si>
    <t>panavision_g_100</t>
  </si>
  <si>
    <t>G Series 100mm</t>
  </si>
  <si>
    <t>panavision_g_135</t>
  </si>
  <si>
    <t>G Series 135mm</t>
  </si>
  <si>
    <t>panavision_e_35</t>
  </si>
  <si>
    <t>E Series Anamorphic 35mm</t>
  </si>
  <si>
    <t>panavision_e_40</t>
  </si>
  <si>
    <t>E Series Anamorphic 40mm</t>
  </si>
  <si>
    <t>panavision_e_50</t>
  </si>
  <si>
    <t>E Series Anamorphic 50mm</t>
  </si>
  <si>
    <t>panavision_e_75</t>
  </si>
  <si>
    <t>E Series Anamorphic 75mm</t>
  </si>
  <si>
    <t>panavision_e_100</t>
  </si>
  <si>
    <t>E Series Anamorphic 100mm</t>
  </si>
  <si>
    <t>panavision_e_135</t>
  </si>
  <si>
    <t>E Series Anamorphic 135mm</t>
  </si>
  <si>
    <t>panavision_e_180</t>
  </si>
  <si>
    <t>E Series Anamorphic 180mm</t>
  </si>
  <si>
    <t>panavision_t_27</t>
  </si>
  <si>
    <t>T Series Anamorphic 27mm</t>
  </si>
  <si>
    <t>panavision_t_35</t>
  </si>
  <si>
    <t>T Series Anamorphic 35mm</t>
  </si>
  <si>
    <t>panavision_t_40</t>
  </si>
  <si>
    <t>T Series Anamorphic 40mm</t>
  </si>
  <si>
    <t>panavision_t_50</t>
  </si>
  <si>
    <t>T Series Anamorphic 50mm</t>
  </si>
  <si>
    <t>panavision_t_75</t>
  </si>
  <si>
    <t>T Series Anamorphic 75mm</t>
  </si>
  <si>
    <t>panavision_t_100</t>
  </si>
  <si>
    <t>T Series Anamorphic 100mm</t>
  </si>
  <si>
    <t>slr_anam_18</t>
  </si>
  <si>
    <t>SLR Magic</t>
  </si>
  <si>
    <t>Anamorphot CINE 18mm</t>
  </si>
  <si>
    <t>slr_anam_25</t>
  </si>
  <si>
    <t>Anamorphot CINE 25mm</t>
  </si>
  <si>
    <t>slr_anam_32</t>
  </si>
  <si>
    <t>Anamorphot CINE 32mm</t>
  </si>
  <si>
    <t>slr_anam_50</t>
  </si>
  <si>
    <t>Anamorphot CINE 50mm</t>
  </si>
  <si>
    <t>slr_anam_75</t>
  </si>
  <si>
    <t>Anamorphot CINE 75mm</t>
  </si>
  <si>
    <t>schneider_xenon_18</t>
  </si>
  <si>
    <t>Schneider</t>
  </si>
  <si>
    <t>Xenon FF 18mm</t>
  </si>
  <si>
    <t>schneider_xenon_25</t>
  </si>
  <si>
    <t>Xenon FF 25mm</t>
  </si>
  <si>
    <t>schneider_xenon_35</t>
  </si>
  <si>
    <t>Xenon FF 35mm</t>
  </si>
  <si>
    <t>schneider_xenon_50</t>
  </si>
  <si>
    <t>Xenon FF 50mm</t>
  </si>
  <si>
    <t>schneider_xenon_75</t>
  </si>
  <si>
    <t>Xenon FF 75mm</t>
  </si>
  <si>
    <t>schneider_xenon_95</t>
  </si>
  <si>
    <t>Xenon FF 95mm</t>
  </si>
  <si>
    <t>schneider_xenon_ff_18</t>
  </si>
  <si>
    <t>Xenon Full Frame 18mm</t>
  </si>
  <si>
    <t>schneider_xenon_ff_21</t>
  </si>
  <si>
    <t>Xenon Full Frame 21mm</t>
  </si>
  <si>
    <t>schneider_xenon_ff_25</t>
  </si>
  <si>
    <t>Xenon Full Frame 25mm</t>
  </si>
  <si>
    <t>schneider_xenon_ff_29</t>
  </si>
  <si>
    <t>Xenon Full Frame 29mm</t>
  </si>
  <si>
    <t>schneider_xenon_ff_35</t>
  </si>
  <si>
    <t>Xenon Full Frame 35mm</t>
  </si>
  <si>
    <t>schneider_xenon_ff_50</t>
  </si>
  <si>
    <t>Xenon Full Frame 50mm</t>
  </si>
  <si>
    <t>schneider_xenon_ff_75</t>
  </si>
  <si>
    <t>Xenon Full Frame 75mm</t>
  </si>
  <si>
    <t>schneider_xenon_ff_100</t>
  </si>
  <si>
    <t>Xenon Full Frame 100mm</t>
  </si>
  <si>
    <t>schneider_xenon_ff_135</t>
  </si>
  <si>
    <t>Xenon Full Frame 135mm</t>
  </si>
  <si>
    <t>sigma_cine_14</t>
  </si>
  <si>
    <t>Sigma</t>
  </si>
  <si>
    <t>Cine FF 14mm</t>
  </si>
  <si>
    <t>sigma_cine_20</t>
  </si>
  <si>
    <t>Cine FF 20mm</t>
  </si>
  <si>
    <t>sigma_cine_24</t>
  </si>
  <si>
    <t>Cine FF 24mm</t>
  </si>
  <si>
    <t>sigma_cine_28</t>
  </si>
  <si>
    <t>Cine FF 28mm</t>
  </si>
  <si>
    <t>sigma_cine_35</t>
  </si>
  <si>
    <t>Cine FF 35mm</t>
  </si>
  <si>
    <t>sigma_cine_40</t>
  </si>
  <si>
    <t>Cine FF 40mm</t>
  </si>
  <si>
    <t>sigma_cine_50</t>
  </si>
  <si>
    <t>Cine FF 50mm</t>
  </si>
  <si>
    <t>sigma_cine_85</t>
  </si>
  <si>
    <t>Cine FF 85mm</t>
  </si>
  <si>
    <t>sigma_cine_105</t>
  </si>
  <si>
    <t>Cine FF 105mm</t>
  </si>
  <si>
    <t>sigma_cine_135</t>
  </si>
  <si>
    <t>Cine FF 135mm</t>
  </si>
  <si>
    <t>sigma_cine_classic_14</t>
  </si>
  <si>
    <t>Cine FF Classic 14mm</t>
  </si>
  <si>
    <t>sigma_cine_classic_20</t>
  </si>
  <si>
    <t>Cine FF Classic 20mm</t>
  </si>
  <si>
    <t>sigma_cine_classic_24</t>
  </si>
  <si>
    <t>Cine FF Classic 24mm</t>
  </si>
  <si>
    <t>sigma_cine_classic_28</t>
  </si>
  <si>
    <t>Cine FF Classic 28mm</t>
  </si>
  <si>
    <t>sigma_cine_classic_35</t>
  </si>
  <si>
    <t>Cine FF Classic 35mm</t>
  </si>
  <si>
    <t>sigma_cine_classic_40</t>
  </si>
  <si>
    <t>Cine FF Classic 40mm</t>
  </si>
  <si>
    <t>sigma_cine_classic_50</t>
  </si>
  <si>
    <t>Cine FF Classic 50mm</t>
  </si>
  <si>
    <t>sigma_cine_classic_85</t>
  </si>
  <si>
    <t>Cine FF Classic 85mm</t>
  </si>
  <si>
    <t>sigma_cine_classic_105</t>
  </si>
  <si>
    <t>Cine FF Classic 105mm</t>
  </si>
  <si>
    <t>sigma_cine_classic_135</t>
  </si>
  <si>
    <t>Cine FF Classic 135mm</t>
  </si>
  <si>
    <t>sony_cinealta_24_480</t>
  </si>
  <si>
    <t>CineAlta 24-480 T3.5</t>
  </si>
  <si>
    <t>tls_rehoused_25</t>
  </si>
  <si>
    <t>TLS</t>
  </si>
  <si>
    <t>Rehoused Vintage 25mm</t>
  </si>
  <si>
    <t>tls_rehoused_32</t>
  </si>
  <si>
    <t>Rehoused Vintage 32mm</t>
  </si>
  <si>
    <t>tls_rehoused_50</t>
  </si>
  <si>
    <t>Rehoused Vintage 50mm</t>
  </si>
  <si>
    <t>tls_rehoused_75</t>
  </si>
  <si>
    <t>Rehoused Vintage 75mm</t>
  </si>
  <si>
    <t>tls_rehoused_100</t>
  </si>
  <si>
    <t>Rehoused Vintage 100mm</t>
  </si>
  <si>
    <t>tokina_vista_18</t>
  </si>
  <si>
    <t>Tokina</t>
  </si>
  <si>
    <t>Vista 18mm</t>
  </si>
  <si>
    <t>tokina_vista_25</t>
  </si>
  <si>
    <t>Vista 25mm</t>
  </si>
  <si>
    <t>tokina_vista_35</t>
  </si>
  <si>
    <t>Vista 35mm</t>
  </si>
  <si>
    <t>tokina_vista_50</t>
  </si>
  <si>
    <t>Vista 50mm</t>
  </si>
  <si>
    <t>tokina_vista_65</t>
  </si>
  <si>
    <t>Vista 65mm</t>
  </si>
  <si>
    <t>tokina_vista_85</t>
  </si>
  <si>
    <t>Vista 85mm</t>
  </si>
  <si>
    <t>tokina_vista_105</t>
  </si>
  <si>
    <t>Vista 105mm</t>
  </si>
  <si>
    <t>tokina_vista_cine_18</t>
  </si>
  <si>
    <t>Vista Cinema 18mm</t>
  </si>
  <si>
    <t>tokina_vista_cine_25</t>
  </si>
  <si>
    <t>Vista Cinema 25mm</t>
  </si>
  <si>
    <t>tokina_vista_cine_35</t>
  </si>
  <si>
    <t>Vista Cinema 35mm</t>
  </si>
  <si>
    <t>tokina_vista_cine_50</t>
  </si>
  <si>
    <t>Vista Cinema 50mm</t>
  </si>
  <si>
    <t>tokina_vista_cine_65</t>
  </si>
  <si>
    <t>Vista Cinema 65mm</t>
  </si>
  <si>
    <t>tokina_vista_cine_85</t>
  </si>
  <si>
    <t>Vista Cinema 85mm</t>
  </si>
  <si>
    <t>tokina_vista_cine_105</t>
  </si>
  <si>
    <t>Vista Cinema 105mm</t>
  </si>
  <si>
    <t>vantage_one_35</t>
  </si>
  <si>
    <t>Vantage</t>
  </si>
  <si>
    <t>One 35mm T1.0</t>
  </si>
  <si>
    <t>vantage_one_40</t>
  </si>
  <si>
    <t>One 40mm T1.0</t>
  </si>
  <si>
    <t>vantage_one_50</t>
  </si>
  <si>
    <t>One 50mm T1.0</t>
  </si>
  <si>
    <t>vantage_one_65</t>
  </si>
  <si>
    <t>One 65mm T1.0</t>
  </si>
  <si>
    <t>vantage_one_75</t>
  </si>
  <si>
    <t>One 75mm T1.0</t>
  </si>
  <si>
    <t>vantage_one_100</t>
  </si>
  <si>
    <t>One 100mm T1.0</t>
  </si>
  <si>
    <t>vantage_one_135</t>
  </si>
  <si>
    <t>One 135mm T1.0</t>
  </si>
  <si>
    <t>zeiss_mp_12</t>
  </si>
  <si>
    <t>Zeiss</t>
  </si>
  <si>
    <t>Master Prime 12mm</t>
  </si>
  <si>
    <t>zeiss_mp_14</t>
  </si>
  <si>
    <t>Master Prime 14mm</t>
  </si>
  <si>
    <t>zeiss_mp_18</t>
  </si>
  <si>
    <t>Master Prime 18mm</t>
  </si>
  <si>
    <t>zeiss_mp_21</t>
  </si>
  <si>
    <t>Master Prime 21mm</t>
  </si>
  <si>
    <t>zeiss_mp_25</t>
  </si>
  <si>
    <t>Master Prime 25mm</t>
  </si>
  <si>
    <t>zeiss_mp_27</t>
  </si>
  <si>
    <t>Master Prime 27mm</t>
  </si>
  <si>
    <t>zeiss_mp_32</t>
  </si>
  <si>
    <t>Master Prime 32mm</t>
  </si>
  <si>
    <t>zeiss_mp_35</t>
  </si>
  <si>
    <t>Master Prime 35mm</t>
  </si>
  <si>
    <t>zeiss_mp_40</t>
  </si>
  <si>
    <t>Master Prime 40mm</t>
  </si>
  <si>
    <t>zeiss_mp_50</t>
  </si>
  <si>
    <t>Master Prime 50mm</t>
  </si>
  <si>
    <t>zeiss_mp_65</t>
  </si>
  <si>
    <t>Master Prime 65mm</t>
  </si>
  <si>
    <t>zeiss_mp_85</t>
  </si>
  <si>
    <t>Master Prime 85mm</t>
  </si>
  <si>
    <t>zeiss_mp_100</t>
  </si>
  <si>
    <t>Master Prime 100mm</t>
  </si>
  <si>
    <t>zeiss_mp_135</t>
  </si>
  <si>
    <t>Master Prime 135mm</t>
  </si>
  <si>
    <t>zeiss_sp_15</t>
  </si>
  <si>
    <t>Supreme Prime 15mm</t>
  </si>
  <si>
    <t>zeiss_sp_18</t>
  </si>
  <si>
    <t>Supreme Prime 18mm</t>
  </si>
  <si>
    <t>zeiss_sp_21</t>
  </si>
  <si>
    <t>Supreme Prime 21mm</t>
  </si>
  <si>
    <t>zeiss_sp_25</t>
  </si>
  <si>
    <t>Supreme Prime 25mm</t>
  </si>
  <si>
    <t>zeiss_sp_29</t>
  </si>
  <si>
    <t>Supreme Prime 29mm</t>
  </si>
  <si>
    <t>zeiss_sp_35</t>
  </si>
  <si>
    <t>Supreme Prime 35mm</t>
  </si>
  <si>
    <t>zeiss_sp_50</t>
  </si>
  <si>
    <t>Supreme Prime 50mm</t>
  </si>
  <si>
    <t>zeiss_sp_65</t>
  </si>
  <si>
    <t>Supreme Prime 65mm</t>
  </si>
  <si>
    <t>zeiss_sp_85</t>
  </si>
  <si>
    <t>Supreme Prime 85mm</t>
  </si>
  <si>
    <t>zeiss_sp_100</t>
  </si>
  <si>
    <t>Supreme Prime 100mm</t>
  </si>
  <si>
    <t>zeiss_sp_125</t>
  </si>
  <si>
    <t>Supreme Prime 125mm</t>
  </si>
  <si>
    <t>zeiss_sp_150</t>
  </si>
  <si>
    <t>Supreme Prime 150mm</t>
  </si>
  <si>
    <t>zeiss_sp_200</t>
  </si>
  <si>
    <t>Supreme Prime 200mm</t>
  </si>
  <si>
    <t>zeiss_super_speed_mk1_16</t>
  </si>
  <si>
    <t>Super Speed Mk I 16mm</t>
  </si>
  <si>
    <t>zeiss_super_speed_mk1_20</t>
  </si>
  <si>
    <t>Super Speed Mk I 20mm</t>
  </si>
  <si>
    <t>zeiss_super_speed_mk1_24</t>
  </si>
  <si>
    <t>Super Speed Mk I 24mm</t>
  </si>
  <si>
    <t>zeiss_super_speed_mk1_35</t>
  </si>
  <si>
    <t>Super Speed Mk I 35mm</t>
  </si>
  <si>
    <t>zeiss_super_speed_mk1_50</t>
  </si>
  <si>
    <t>Super Speed Mk I 50mm</t>
  </si>
  <si>
    <t>zeiss_super_speed_mk1_85</t>
  </si>
  <si>
    <t>Super Speed Mk I 85mm</t>
  </si>
  <si>
    <t>zeiss_super_speed_mk2_16</t>
  </si>
  <si>
    <t>Super Speed Mk II 16mm</t>
  </si>
  <si>
    <t>zeiss_super_speed_mk2_20</t>
  </si>
  <si>
    <t>Super Speed Mk II 20mm</t>
  </si>
  <si>
    <t>zeiss_super_speed_mk2_24</t>
  </si>
  <si>
    <t>Super Speed Mk II 24mm</t>
  </si>
  <si>
    <t>zeiss_super_speed_mk2_35</t>
  </si>
  <si>
    <t>Super Speed Mk II 35mm</t>
  </si>
  <si>
    <t>zeiss_super_speed_mk2_50</t>
  </si>
  <si>
    <t>Super Speed Mk II 50mm</t>
  </si>
  <si>
    <t>zeiss_super_speed_mk2_85</t>
  </si>
  <si>
    <t>Super Speed Mk II 85mm</t>
  </si>
  <si>
    <t>zeiss_super_speed_mk3_16</t>
  </si>
  <si>
    <t>Super Speed Mk III 16mm</t>
  </si>
  <si>
    <t>zeiss_super_speed_mk3_20</t>
  </si>
  <si>
    <t>Super Speed Mk III 20mm</t>
  </si>
  <si>
    <t>zeiss_super_speed_mk3_24</t>
  </si>
  <si>
    <t>Super Speed Mk III 24mm</t>
  </si>
  <si>
    <t>zeiss_super_speed_mk3_35</t>
  </si>
  <si>
    <t>Super Speed Mk III 35mm</t>
  </si>
  <si>
    <t>zeiss_super_speed_mk3_50</t>
  </si>
  <si>
    <t>Super Speed Mk III 50mm</t>
  </si>
  <si>
    <t>zeiss_super_speed_mk3_85</t>
  </si>
  <si>
    <t>Super Speed Mk III 85mm</t>
  </si>
  <si>
    <t>zeiss_ma_35</t>
  </si>
  <si>
    <t>Master Anamorphic 35mm</t>
  </si>
  <si>
    <t>zeiss_ma_40</t>
  </si>
  <si>
    <t>Master Anamorphic 40mm</t>
  </si>
  <si>
    <t>zeiss_ma_50</t>
  </si>
  <si>
    <t>Master Anamorphic 50mm</t>
  </si>
  <si>
    <t>zeiss_ma_75</t>
  </si>
  <si>
    <t>Master Anamorphic 75mm</t>
  </si>
  <si>
    <t>zeiss_ma_100</t>
  </si>
  <si>
    <t>Master Anamorphic 100mm</t>
  </si>
  <si>
    <t>zeiss_ma_135</t>
  </si>
  <si>
    <t>Master Anamorphic 135mm</t>
  </si>
  <si>
    <t>canon_fd_24_14</t>
  </si>
  <si>
    <t>FD 24mm f/1.4</t>
  </si>
  <si>
    <t>canon_fd_24_20</t>
  </si>
  <si>
    <t>FD 24mm f/2.0</t>
  </si>
  <si>
    <t>canon_fd_24_28</t>
  </si>
  <si>
    <t>FD 24mm f/2.8</t>
  </si>
  <si>
    <t>canon_fd_28_20</t>
  </si>
  <si>
    <t>FD 28mm f/2.0</t>
  </si>
  <si>
    <t>canon_fd_28_28</t>
  </si>
  <si>
    <t>FD 28mm f/2.8</t>
  </si>
  <si>
    <t>canon_fd_35_20</t>
  </si>
  <si>
    <t>FD 35mm f/2.0</t>
  </si>
  <si>
    <t>canon_fd_35_28</t>
  </si>
  <si>
    <t>FD 35mm f/2.8</t>
  </si>
  <si>
    <t>canon_fd_50_12_a</t>
  </si>
  <si>
    <t>FD 50mm f/1.2 (v1)</t>
  </si>
  <si>
    <t>canon_fd_50_12_b</t>
  </si>
  <si>
    <t>FD 50mm f/1.2 (v2)</t>
  </si>
  <si>
    <t>canon_fd_50_14</t>
  </si>
  <si>
    <t>FD 50mm f/1.4</t>
  </si>
  <si>
    <t>canon_fd_50_18</t>
  </si>
  <si>
    <t>FD 50mm f/1.8</t>
  </si>
  <si>
    <t>canon_fd_50_20</t>
  </si>
  <si>
    <t>FD 50mm f/2.0</t>
  </si>
  <si>
    <t>canon_fd_50_35_macro</t>
  </si>
  <si>
    <t>FD 50mm f/3.5 Macro</t>
  </si>
  <si>
    <t>canon_fd_85_12</t>
  </si>
  <si>
    <t>FD 85mm f/1.2</t>
  </si>
  <si>
    <t>canon_fd_85_18</t>
  </si>
  <si>
    <t>FD 85mm f/1.8</t>
  </si>
  <si>
    <t>canon_fd_100_20</t>
  </si>
  <si>
    <t>FD 100mm f/2.0</t>
  </si>
  <si>
    <t>dzofilm_pictor_12_25</t>
  </si>
  <si>
    <t>DZOFILM</t>
  </si>
  <si>
    <t>Pictor Zoom 12-25mm</t>
  </si>
  <si>
    <t>dzofilm_pictor_14_30</t>
  </si>
  <si>
    <t>Pictor Zoom 14-30mm</t>
  </si>
  <si>
    <t>dzofilm_tango_18_90</t>
  </si>
  <si>
    <t>Tango Zoom 18-90mm</t>
  </si>
  <si>
    <t>blazar_mantis_50</t>
  </si>
  <si>
    <t>BLAZAR</t>
  </si>
  <si>
    <t>MANTIS 50mm</t>
  </si>
  <si>
    <t>blazar_mantis_75</t>
  </si>
  <si>
    <t>MANTIS 75mm</t>
  </si>
  <si>
    <t>blazar_mantis_100</t>
  </si>
  <si>
    <t>MANTIS 100mm</t>
  </si>
  <si>
    <t>blazar_mantis_135</t>
  </si>
  <si>
    <t>MANTIS 135mm</t>
  </si>
  <si>
    <t>blazar_remus_33</t>
  </si>
  <si>
    <t>REMUS 33mm</t>
  </si>
  <si>
    <t>blazar_remus_45</t>
  </si>
  <si>
    <t>REMUS 45mm</t>
  </si>
  <si>
    <t>blazar_remus_50</t>
  </si>
  <si>
    <t>REMUS 50mm</t>
  </si>
  <si>
    <t>blazar_remus_65</t>
  </si>
  <si>
    <t>REMUS 65mm</t>
  </si>
  <si>
    <t>blazar_remus_85</t>
  </si>
  <si>
    <t>REMUS 85mm</t>
  </si>
  <si>
    <t>blazar_remus_100</t>
  </si>
  <si>
    <t>REMUS 100mm</t>
  </si>
  <si>
    <t>blazar_remus_125</t>
  </si>
  <si>
    <t>REMUS 125mm</t>
  </si>
  <si>
    <t>blazar_remus_s35_35</t>
  </si>
  <si>
    <t>REMUS S35 35mm</t>
  </si>
  <si>
    <t>blazar_talon_50</t>
  </si>
  <si>
    <t>TALON 50mm</t>
  </si>
  <si>
    <t>blazar_viper_35</t>
  </si>
  <si>
    <t>Viper 35mm</t>
  </si>
  <si>
    <t>blazar_viper_50</t>
  </si>
  <si>
    <t>Viper 50mm</t>
  </si>
  <si>
    <t>blazar_viper_75</t>
  </si>
  <si>
    <t>Viper 75mm</t>
  </si>
  <si>
    <t>zeiss_standard_speed_mkii_16mm</t>
  </si>
  <si>
    <t>ZEISS</t>
  </si>
  <si>
    <t>Standard Speed MKII</t>
  </si>
  <si>
    <t>zeiss_standard_speed_mkii_20mm</t>
  </si>
  <si>
    <t>zeiss_standard_speed_mkii_24mm</t>
  </si>
  <si>
    <t>zeiss_standard_speed_mkii_28mm</t>
  </si>
  <si>
    <t>zeiss_standard_speed_mkii_32mm</t>
  </si>
  <si>
    <t>zeiss_standard_speed_mkii_40mm</t>
  </si>
  <si>
    <t>zeiss_standard_speed_mkii_50mm</t>
  </si>
  <si>
    <t>zeiss_standard_speed_mkii_65mm</t>
  </si>
  <si>
    <t>zeiss_standard_speed_mkii_85mm</t>
  </si>
  <si>
    <t>zeiss_standard_speed_mkii_100mm</t>
  </si>
  <si>
    <t>zeiss_super_speed_mki_18mm</t>
  </si>
  <si>
    <t>Super Speed MKI</t>
  </si>
  <si>
    <t>zeiss_super_speed_mki_25mm</t>
  </si>
  <si>
    <t>zeiss_super_speed_mki_35mm</t>
  </si>
  <si>
    <t>zeiss_super_speed_mki_50mm</t>
  </si>
  <si>
    <t>zeiss_super_speed_mki_85mm</t>
  </si>
  <si>
    <t>zeiss_super_speed_mkii_iii_18mm</t>
  </si>
  <si>
    <t>Super Speed MKII/III</t>
  </si>
  <si>
    <t>zeiss_super_speed_mkii_iii_25mm</t>
  </si>
  <si>
    <t>zeiss_super_speed_mkii_iii_35mm</t>
  </si>
  <si>
    <t>zeiss_super_speed_mkii_iii_50mm</t>
  </si>
  <si>
    <t>zeiss_super_speed_mkii_iii_65mm</t>
  </si>
  <si>
    <t>zeiss_super_speed_mkii_iii_85mm</t>
  </si>
  <si>
    <t>arri_zeiss_master_prime_75mm</t>
  </si>
  <si>
    <t>ARRI/ZEISS</t>
  </si>
  <si>
    <t>Master Prime</t>
  </si>
  <si>
    <t>arri_zeiss_master_prime_100mm</t>
  </si>
  <si>
    <t>arri_zeiss_master_prime_135mm</t>
  </si>
  <si>
    <t>arri_zeiss_master_prime_150mm</t>
  </si>
  <si>
    <t>arri_zeiss_ultra_prime_8mm</t>
  </si>
  <si>
    <t>Ultra Prime</t>
  </si>
  <si>
    <t>zeiss_supreme_prime_15mm</t>
  </si>
  <si>
    <t>Supreme Prime</t>
  </si>
  <si>
    <t>zeiss_supreme_prime_18mm</t>
  </si>
  <si>
    <t>zeiss_supreme_prime_21mm</t>
  </si>
  <si>
    <t>zeiss_supreme_prime_25mm</t>
  </si>
  <si>
    <t>zeiss_supreme_prime_35mm</t>
  </si>
  <si>
    <t>zeiss_supreme_prime_50mm</t>
  </si>
  <si>
    <t>zeiss_supreme_prime_85mm</t>
  </si>
  <si>
    <t>zeiss_supreme_prime_135mm</t>
  </si>
  <si>
    <t>zeiss_tls_standard_speed_16mm</t>
  </si>
  <si>
    <t>TLS Standard Speed</t>
  </si>
  <si>
    <t>zeiss_tls_standard_speed_20mm</t>
  </si>
  <si>
    <t>zeiss_tls_standard_speed_24mm</t>
  </si>
  <si>
    <t>zeiss_tls_standard_speed_28mm</t>
  </si>
  <si>
    <t>zeiss_tls_standard_speed_32mm</t>
  </si>
  <si>
    <t>zeiss_tls_standard_speed_40mm</t>
  </si>
  <si>
    <t>zeiss_tls_standard_speed_50mm</t>
  </si>
  <si>
    <t>zeiss_tls_standard_speed_85mm</t>
  </si>
  <si>
    <t>ancient_optics_statera_35mm</t>
  </si>
  <si>
    <t>Ancient Optics</t>
  </si>
  <si>
    <t>Statera</t>
  </si>
  <si>
    <t>ancient_optics_statera_50mm</t>
  </si>
  <si>
    <t>ancient_optics_statera_75mm</t>
  </si>
  <si>
    <t>ancient_optics_statera_100mm</t>
  </si>
  <si>
    <t>ancient_optics_statera_135mm</t>
  </si>
  <si>
    <t>arri_enso_10_5</t>
  </si>
  <si>
    <t>Ensō Prime 10.5mm</t>
  </si>
  <si>
    <t>distancia_focal; t_stop_min; mount; tipo_optica</t>
  </si>
  <si>
    <t>ARRI Ensō Prime technical documentation</t>
  </si>
  <si>
    <t>https://www.arri.com/resource/blob/389646/5797289cce139989ffd094dcf0c1d545/ens%C5%8D-prime-lenses-user-manual-data.pdf</t>
  </si>
  <si>
    <t>arri_enso_14</t>
  </si>
  <si>
    <t>Ensō Prime 14mm</t>
  </si>
  <si>
    <t>arri_enso_18</t>
  </si>
  <si>
    <t>Ensō Prime 18mm</t>
  </si>
  <si>
    <t>arri_enso_21</t>
  </si>
  <si>
    <t>Ensō Prime 21mm</t>
  </si>
  <si>
    <t>arri_enso_24</t>
  </si>
  <si>
    <t>Ensō Prime 24mm</t>
  </si>
  <si>
    <t>arri_enso_28</t>
  </si>
  <si>
    <t>Ensō Prime 28mm</t>
  </si>
  <si>
    <t>arri_enso_32</t>
  </si>
  <si>
    <t>Ensō Prime 32mm</t>
  </si>
  <si>
    <t>arri_enso_40</t>
  </si>
  <si>
    <t>Ensō Prime 40mm</t>
  </si>
  <si>
    <t>arri_enso_47</t>
  </si>
  <si>
    <t>Ensō Prime 47mm</t>
  </si>
  <si>
    <t>arri_enso_58</t>
  </si>
  <si>
    <t>Ensō Prime 58mm</t>
  </si>
  <si>
    <t>arri_enso_75</t>
  </si>
  <si>
    <t>Ensō Prime 75mm</t>
  </si>
  <si>
    <t>arri_enso_105</t>
  </si>
  <si>
    <t>Ensō Prime 105mm</t>
  </si>
  <si>
    <t>arri_enso_150</t>
  </si>
  <si>
    <t>Ensō Prime 150mm</t>
  </si>
  <si>
    <t>arri_enso_250</t>
  </si>
  <si>
    <t>Ensō Prime 250mm</t>
  </si>
  <si>
    <t>arri_skypanel_s360</t>
  </si>
  <si>
    <t>Iluminación</t>
  </si>
  <si>
    <t>SkyPanel S360-C</t>
  </si>
  <si>
    <t>Fase 4 — Iluminación y fotometría</t>
  </si>
  <si>
    <t>arri_skypanel_s120</t>
  </si>
  <si>
    <t>SkyPanel S120-C</t>
  </si>
  <si>
    <t>arri_skypanel_s60</t>
  </si>
  <si>
    <t>SkyPanel S60-C</t>
  </si>
  <si>
    <t>arri_skypanel_s30</t>
  </si>
  <si>
    <t>SkyPanel S30-C</t>
  </si>
  <si>
    <t>arri_orbiter</t>
  </si>
  <si>
    <t>Orbiter</t>
  </si>
  <si>
    <t>arri_l7c</t>
  </si>
  <si>
    <t>L7-C</t>
  </si>
  <si>
    <t>arri_t24</t>
  </si>
  <si>
    <t>T24</t>
  </si>
  <si>
    <t>arri_t12</t>
  </si>
  <si>
    <t>T12</t>
  </si>
  <si>
    <t>arri_t5</t>
  </si>
  <si>
    <t>T5</t>
  </si>
  <si>
    <t>arri_t2</t>
  </si>
  <si>
    <t>T2</t>
  </si>
  <si>
    <t>arri_m18</t>
  </si>
  <si>
    <t>M18</t>
  </si>
  <si>
    <t>arri_m40</t>
  </si>
  <si>
    <t>M40</t>
  </si>
  <si>
    <t>arri_softbox_balloon</t>
  </si>
  <si>
    <t>Skypanel Balloon</t>
  </si>
  <si>
    <t>arri_m12</t>
  </si>
  <si>
    <t>M12</t>
  </si>
  <si>
    <t>arri_m8</t>
  </si>
  <si>
    <t>M8</t>
  </si>
  <si>
    <t>arri_l5_c</t>
  </si>
  <si>
    <t>L5-C</t>
  </si>
  <si>
    <t>arri_s60_c_skypanel</t>
  </si>
  <si>
    <t>SkyPanel S60-C (CW)</t>
  </si>
  <si>
    <t>aputure_storm_1200</t>
  </si>
  <si>
    <t>Aputure</t>
  </si>
  <si>
    <t>STORM 1200d</t>
  </si>
  <si>
    <t>aputure_ls600d</t>
  </si>
  <si>
    <t>LS 600d</t>
  </si>
  <si>
    <t>aputure_ls600c</t>
  </si>
  <si>
    <t>LS 600c Pro</t>
  </si>
  <si>
    <t>aputure_ls300x</t>
  </si>
  <si>
    <t>LS 300x</t>
  </si>
  <si>
    <t>aputure_ls120d</t>
  </si>
  <si>
    <t>LS 120d II</t>
  </si>
  <si>
    <t>aputure_mc_pro</t>
  </si>
  <si>
    <t>MC Pro</t>
  </si>
  <si>
    <t>aputure_infinibar</t>
  </si>
  <si>
    <t>INFINIBAR PB12</t>
  </si>
  <si>
    <t>aputure_amaran_200x</t>
  </si>
  <si>
    <t>Amaran 200x</t>
  </si>
  <si>
    <t>aputure_amaran_pt4c</t>
  </si>
  <si>
    <t>Amaran PT4c</t>
  </si>
  <si>
    <t>aputure_ls600x</t>
  </si>
  <si>
    <t>LS 600x Pro</t>
  </si>
  <si>
    <t>aputure_ls1200d</t>
  </si>
  <si>
    <t>LS 1200d Pro</t>
  </si>
  <si>
    <t>aputure_nova_p300c</t>
  </si>
  <si>
    <t>Nova P300c</t>
  </si>
  <si>
    <t>aputure_mc_4light</t>
  </si>
  <si>
    <t>MC 4-Light Kit</t>
  </si>
  <si>
    <t>aputure_storm_800</t>
  </si>
  <si>
    <t>STORM 800</t>
  </si>
  <si>
    <t>aputure_infinibar_x8</t>
  </si>
  <si>
    <t>INFINIBAR X8</t>
  </si>
  <si>
    <t>astera_titan</t>
  </si>
  <si>
    <t>Astera</t>
  </si>
  <si>
    <t>Titan Tube</t>
  </si>
  <si>
    <t>astera_helios</t>
  </si>
  <si>
    <t>Helios Tube</t>
  </si>
  <si>
    <t>astera_hyperion</t>
  </si>
  <si>
    <t>Hyperion</t>
  </si>
  <si>
    <t>astera_ax3</t>
  </si>
  <si>
    <t>AX3 LightDrop</t>
  </si>
  <si>
    <t>astera_nova</t>
  </si>
  <si>
    <t>Nova P60</t>
  </si>
  <si>
    <t>astera_titan_tube_x</t>
  </si>
  <si>
    <t>Titan Tube X</t>
  </si>
  <si>
    <t>chroma_q_spaceforce</t>
  </si>
  <si>
    <t>Chroma-Q</t>
  </si>
  <si>
    <t>Space Force</t>
  </si>
  <si>
    <t>chroma_q_storm</t>
  </si>
  <si>
    <t>Storm Force 5</t>
  </si>
  <si>
    <t>chroma_q_studio_force</t>
  </si>
  <si>
    <t>Studio Force 12</t>
  </si>
  <si>
    <t>chroma_q_liteforce</t>
  </si>
  <si>
    <t>LiteForce 12</t>
  </si>
  <si>
    <t>cineo_matchstix</t>
  </si>
  <si>
    <t>Cineo</t>
  </si>
  <si>
    <t>Matchstix</t>
  </si>
  <si>
    <t>creamsource_vortex8</t>
  </si>
  <si>
    <t>Creamsource</t>
  </si>
  <si>
    <t>Vortex8</t>
  </si>
  <si>
    <t>creamsource_doppio</t>
  </si>
  <si>
    <t>Doppio+</t>
  </si>
  <si>
    <t>creamsource_doppio_plus</t>
  </si>
  <si>
    <t>Doppio+ RGB</t>
  </si>
  <si>
    <t>creamsource_vortex4</t>
  </si>
  <si>
    <t>Vortex4</t>
  </si>
  <si>
    <t>dedolight_dled7</t>
  </si>
  <si>
    <t>Dedolight</t>
  </si>
  <si>
    <t>DLED7</t>
  </si>
  <si>
    <t>dedolight_dled4</t>
  </si>
  <si>
    <t>DLED4</t>
  </si>
  <si>
    <t>dedolight_dled12</t>
  </si>
  <si>
    <t>DLED12</t>
  </si>
  <si>
    <t>dedolight_tungsten_150</t>
  </si>
  <si>
    <t>Tungsten 150W</t>
  </si>
  <si>
    <t>elinchrom_fs300</t>
  </si>
  <si>
    <t>Elinchrom</t>
  </si>
  <si>
    <t>FS 300</t>
  </si>
  <si>
    <t>elinchrom_fs150</t>
  </si>
  <si>
    <t>FS 150</t>
  </si>
  <si>
    <t>elinchrom_elc_500</t>
  </si>
  <si>
    <t>ELC 500</t>
  </si>
  <si>
    <t>elinchrom_elb_500</t>
  </si>
  <si>
    <t>ELB 500 TTL</t>
  </si>
  <si>
    <t>kinoflo_celestial</t>
  </si>
  <si>
    <t>Kino Flo</t>
  </si>
  <si>
    <t>Celeb 850 DMX</t>
  </si>
  <si>
    <t>kinoflo_freestyle</t>
  </si>
  <si>
    <t>Freestyle 31</t>
  </si>
  <si>
    <t>kinoflo_mosaic</t>
  </si>
  <si>
    <t>Mosaic 2x4</t>
  </si>
  <si>
    <t>kino_flo_select</t>
  </si>
  <si>
    <t>Select 30</t>
  </si>
  <si>
    <t>litegear_litemat</t>
  </si>
  <si>
    <t>LiteGear</t>
  </si>
  <si>
    <t>LiteMat 4</t>
  </si>
  <si>
    <t>litepanels_gemini2x1</t>
  </si>
  <si>
    <t>Litepanels</t>
  </si>
  <si>
    <t>Gemini 2x1</t>
  </si>
  <si>
    <t>litepanels_gemini1x1</t>
  </si>
  <si>
    <t>Gemini 1x1</t>
  </si>
  <si>
    <t>litepanels_astra6x</t>
  </si>
  <si>
    <t>Astra 6X</t>
  </si>
  <si>
    <t>litepanels_divac</t>
  </si>
  <si>
    <t>Diva/C</t>
  </si>
  <si>
    <t>litepanels_gemini_1x1_hard</t>
  </si>
  <si>
    <t>Gemini 1x1 Hard</t>
  </si>
  <si>
    <t>litepanels_astrax</t>
  </si>
  <si>
    <t>Astra X8</t>
  </si>
  <si>
    <t>litepanels_divac_2</t>
  </si>
  <si>
    <t>Diva/C 2</t>
  </si>
  <si>
    <t>mole_20k</t>
  </si>
  <si>
    <t>Mole-Richardson</t>
  </si>
  <si>
    <t>20K Tungsten</t>
  </si>
  <si>
    <t>mole_10k</t>
  </si>
  <si>
    <t>10K Tungsten</t>
  </si>
  <si>
    <t>mole_5k</t>
  </si>
  <si>
    <t>5K Tungsten</t>
  </si>
  <si>
    <t>mole_2k</t>
  </si>
  <si>
    <t>2K Tungsten</t>
  </si>
  <si>
    <t>mole_1k</t>
  </si>
  <si>
    <t>1K Tungsten</t>
  </si>
  <si>
    <t>mole_650</t>
  </si>
  <si>
    <t>650W Tungsten</t>
  </si>
  <si>
    <t>mole_led_20k</t>
  </si>
  <si>
    <t>LED 20K</t>
  </si>
  <si>
    <t>mole_baby_solar</t>
  </si>
  <si>
    <t>Baby Solar 750W</t>
  </si>
  <si>
    <t>mole_inkie</t>
  </si>
  <si>
    <t>Inkie 650W</t>
  </si>
  <si>
    <t>nanlite_forza500</t>
  </si>
  <si>
    <t>Nanlite</t>
  </si>
  <si>
    <t>Forza 500</t>
  </si>
  <si>
    <t>nanlite_pavotube</t>
  </si>
  <si>
    <t>PavoTube II 30X</t>
  </si>
  <si>
    <t>nanlite_forza_720b</t>
  </si>
  <si>
    <t>Forza 720B</t>
  </si>
  <si>
    <t>nanlite_pavotube_6c</t>
  </si>
  <si>
    <t>PavoTube 6C II</t>
  </si>
  <si>
    <t>nanlux_1200</t>
  </si>
  <si>
    <t>Nanlux</t>
  </si>
  <si>
    <t>Evoke 1200</t>
  </si>
  <si>
    <t>nanlux_500</t>
  </si>
  <si>
    <t>Evoke 500</t>
  </si>
  <si>
    <t>nanlux_evoke_1200b</t>
  </si>
  <si>
    <t>Evoke 1200B</t>
  </si>
  <si>
    <t>nanlux_dyno_1200c</t>
  </si>
  <si>
    <t>Dyno 1200C</t>
  </si>
  <si>
    <t>practical_bulb_60w</t>
  </si>
  <si>
    <t>Practical</t>
  </si>
  <si>
    <t>Edison 60W</t>
  </si>
  <si>
    <t>practical_led_strip</t>
  </si>
  <si>
    <t>LED Strip RGB</t>
  </si>
  <si>
    <t>practical_candle</t>
  </si>
  <si>
    <t>Candle LED</t>
  </si>
  <si>
    <t>quasar_science_rainbow</t>
  </si>
  <si>
    <t>Quasar Science</t>
  </si>
  <si>
    <t>Rainbow 2</t>
  </si>
  <si>
    <t>quasar_science_crossfade</t>
  </si>
  <si>
    <t>Crossfade X</t>
  </si>
  <si>
    <t>quasar_science_double_rainbow</t>
  </si>
  <si>
    <t>Double Rainbow 2</t>
  </si>
  <si>
    <t>aputure_ls_600d_pro</t>
  </si>
  <si>
    <t>LS 600d Pro</t>
  </si>
  <si>
    <t>aputure_ls_1200d_pro</t>
  </si>
  <si>
    <t>aputure_infinibar_pb6</t>
  </si>
  <si>
    <t>Infinibar PB6</t>
  </si>
  <si>
    <t>amaran_f22x</t>
  </si>
  <si>
    <t>amaran</t>
  </si>
  <si>
    <t>F22x</t>
  </si>
  <si>
    <t>amaran_f22c</t>
  </si>
  <si>
    <t>F22c</t>
  </si>
  <si>
    <t>nanlite_pavotube_ii_30x</t>
  </si>
  <si>
    <t>nanlite_pavotube_ii_15x</t>
  </si>
  <si>
    <t>PavoTube II 15X</t>
  </si>
  <si>
    <t>astera_ax9_powerpar</t>
  </si>
  <si>
    <t>AX9 PowerPAR</t>
  </si>
  <si>
    <t>arri_skypanel_s60-c</t>
  </si>
  <si>
    <t>litepanels_gemini_2x1_hard</t>
  </si>
  <si>
    <t>Gemini 2x1 Hard</t>
  </si>
  <si>
    <t>litepanels_gemini_2x1_soft</t>
  </si>
  <si>
    <t>Gemini 2x1 Soft</t>
  </si>
  <si>
    <t>creamsource_vortex24</t>
  </si>
  <si>
    <t>Vortex24</t>
  </si>
  <si>
    <t>DedoLight</t>
  </si>
  <si>
    <t>aputure_storm_1200x</t>
  </si>
  <si>
    <t>STORM 1200x</t>
  </si>
  <si>
    <t>potencia_w; temp_min; temp_max; cct; cri; tlci; ssi; control</t>
  </si>
  <si>
    <t>Aputure — STORM 1200x Technical Specifications and Photometrics</t>
  </si>
  <si>
    <t>https://help.aputure.com/en/storm-1200x-technical-specifications-and-photometries</t>
  </si>
  <si>
    <t>FILM::Kodak::50D</t>
  </si>
  <si>
    <t>Película</t>
  </si>
  <si>
    <t>Kodak</t>
  </si>
  <si>
    <t>50D</t>
  </si>
  <si>
    <t>Fase 5 — Película y analógico</t>
  </si>
  <si>
    <t>producto;ISO_EI;balance_color;cat_35mm;cat_16mm</t>
  </si>
  <si>
    <t>Kodak — VISION3 50D 5203/7203</t>
  </si>
  <si>
    <t>https://www.kodak.com/en/motion/product/camera-films/50d-5203-7203/</t>
  </si>
  <si>
    <t>FILM::Kodak::200T</t>
  </si>
  <si>
    <t>200T</t>
  </si>
  <si>
    <t>Kodak — VISION3 200T 5213/7213</t>
  </si>
  <si>
    <t>https://www.kodak.com/en/motion/product/camera-films/200t-5213-7213/</t>
  </si>
  <si>
    <t>FILM::Kodak::250D</t>
  </si>
  <si>
    <t>250D</t>
  </si>
  <si>
    <t>Kodak — catálogo oficial de películas</t>
  </si>
  <si>
    <t>https://www.kodak.com/en/motion/products/camera-films/</t>
  </si>
  <si>
    <t>FILM::Kodak::500T</t>
  </si>
  <si>
    <t>500T</t>
  </si>
  <si>
    <t>FILM::Kodak::200D</t>
  </si>
  <si>
    <t>200D</t>
  </si>
  <si>
    <t>FILM::Kodak::DOUBLE-X</t>
  </si>
  <si>
    <t>DOUBLE-X</t>
  </si>
  <si>
    <t>producto;cat_35mm;cat_16mm</t>
  </si>
  <si>
    <t>Kodak — EASTMAN DOUBLE-X 5222/7222</t>
  </si>
  <si>
    <t>https://www.kodak.com/en/motion/product/camera-films/eastman-double-x-black-white-5222-7222/</t>
  </si>
  <si>
    <t>FILM::Kodak::100D</t>
  </si>
  <si>
    <t>100D</t>
  </si>
  <si>
    <t>producto;ISO_EI;cat_35mm;cat_16mm;cat_s8</t>
  </si>
  <si>
    <t>Kodak — EKTACHROME 100D 5294/7294</t>
  </si>
  <si>
    <t>https://www.kodak.com/en/motion/product/camera-films/ektachrome/</t>
  </si>
  <si>
    <t>FILM::Kodak::7266</t>
  </si>
  <si>
    <t>7266</t>
  </si>
  <si>
    <t>producto;cat_16mm;cat_s8</t>
  </si>
  <si>
    <t>Kodak — TRI-X 7266</t>
  </si>
  <si>
    <t>FILM::None::None</t>
  </si>
  <si>
    <t>arri_alexa35::4.6K 3:2 Open Gate</t>
  </si>
  <si>
    <t>Modo de cámara</t>
  </si>
  <si>
    <t>arri_alexa35::4.6K 16:9</t>
  </si>
  <si>
    <t>arri_alexa35::4K 16:9</t>
  </si>
  <si>
    <t>arri_alexa35::4K 2:1</t>
  </si>
  <si>
    <t>arri_alexa35::3.8K 16:9</t>
  </si>
  <si>
    <t>arri_alexa35::3.3K 6:5</t>
  </si>
  <si>
    <t>arri_alexa35::3K 1:1</t>
  </si>
  <si>
    <t>arri_alexa35::2.7K 8:9</t>
  </si>
  <si>
    <t>arri_alexa_mini_lf::4.5K LF 3:2 OG</t>
  </si>
  <si>
    <t>arri_alexa_mini_lf::4.5K LF 2.39</t>
  </si>
  <si>
    <t>arri_alexa_mini_lf::4.3K LF 16:9</t>
  </si>
  <si>
    <t>arri_alexa_mini_lf::3.4K S35 3:2</t>
  </si>
  <si>
    <t>arri_alexa_mini_lf::3.2K S35 16:9</t>
  </si>
  <si>
    <t>arri_alexa_mini_lf::2.8K S35 4:3</t>
  </si>
  <si>
    <t>sony_burano::FF 8.6K 17:9</t>
  </si>
  <si>
    <t>sony_burano::FF 8.6K 16:9</t>
  </si>
  <si>
    <t>sony_burano::FFc 6K 17:9</t>
  </si>
  <si>
    <t>sony_burano::FFc 6K 16:9</t>
  </si>
  <si>
    <t>sony_burano::FF 5.8K 6:5</t>
  </si>
  <si>
    <t>sony_burano::S35 5.8K 17:9</t>
  </si>
  <si>
    <t>sony_burano::S35 5.8K 16:9</t>
  </si>
  <si>
    <t>sony_burano::S35 4.3K 4:3</t>
  </si>
  <si>
    <t>sony_burano::S35c 4K 17:9</t>
  </si>
  <si>
    <t>sony_burano::S35c 3.8K 16:9</t>
  </si>
  <si>
    <t>blackmagic_pyxis_6k::Open Gate 3:2</t>
  </si>
  <si>
    <t>blackmagic_pyxis_6k::Anamorphic 6:5</t>
  </si>
  <si>
    <t>blackmagic_pyxis_6k::6K 16:9</t>
  </si>
  <si>
    <t>blackmagic_pyxis_6k::6K DCI 17:9</t>
  </si>
  <si>
    <t>blackmagic_pyxis_6k::6K 2.4:1</t>
  </si>
  <si>
    <t>blackmagic_pyxis_6k::S35 4:3</t>
  </si>
  <si>
    <t>blackmagic_pyxis_6k::4K 16:9</t>
  </si>
  <si>
    <t>blackmagic_pyxis_6k::4K DCI 17:9</t>
  </si>
  <si>
    <t>blackmagic_pyxis_6k::S16 16:9</t>
  </si>
  <si>
    <t>blackmagic_ursa_cine_17k::17K 2.2:1 Open Gate</t>
  </si>
  <si>
    <t>blackmagic_ursa_cine_17k::17K 2:1</t>
  </si>
  <si>
    <t>blackmagic_ursa_cine_17k::17K 17:9</t>
  </si>
  <si>
    <t>blackmagic_ursa_cine_17k::17K 16:9</t>
  </si>
  <si>
    <t>blackmagic_ursa_cine_17k::17K 2.4:1</t>
  </si>
  <si>
    <t>blackmagic_ursa_cine_17k::12K 3:2</t>
  </si>
  <si>
    <t>blackmagic_ursa_cine_17k::12K 16:9</t>
  </si>
  <si>
    <t>blackmagic_ursa_cine_17k::12K 17:9</t>
  </si>
  <si>
    <t>blackmagic_ursa_cine_17k::12K 2.4:1</t>
  </si>
  <si>
    <t>blackmagic_ursa_cine_17k::12K 6:5</t>
  </si>
  <si>
    <t>arri_alexa35_xtreme::None</t>
  </si>
  <si>
    <t>None::None</t>
  </si>
  <si>
    <t>ALEXA 35 Xtreme</t>
  </si>
  <si>
    <t>None::4.6K 3:2 Open Gate</t>
  </si>
  <si>
    <t>None::4.6K 16:9</t>
  </si>
  <si>
    <t>None::3.8K 2.39:1</t>
  </si>
  <si>
    <t>arri_alexa_mini_lf::None</t>
  </si>
  <si>
    <t>None::4.5K LF 3:2 Open Gate</t>
  </si>
  <si>
    <t>None::4.5K LF 2.39:1</t>
  </si>
  <si>
    <t>sony_fx9::None</t>
  </si>
  <si>
    <t>None::FF 6K</t>
  </si>
  <si>
    <t>None::FF 5K Crop</t>
  </si>
  <si>
    <t>blackmagic_pyxis_6k_pl::None</t>
  </si>
  <si>
    <t>PYXIS 6K PL</t>
  </si>
  <si>
    <t>None::6K Open Gate</t>
  </si>
  <si>
    <t>None::6K 2.4:1</t>
  </si>
  <si>
    <t>None::Super 35 4:3</t>
  </si>
  <si>
    <t>blackmagic_ursa_cine_17k_65::None</t>
  </si>
  <si>
    <t>URSA Cine 17K 65</t>
  </si>
  <si>
    <t>None::17K 2.2:1 Open Gate</t>
  </si>
  <si>
    <t>None::17K 16:9</t>
  </si>
  <si>
    <t>None::12K 3:2</t>
  </si>
  <si>
    <t>arri_alexa_265::6.5K 2.12:1 Open Gate</t>
  </si>
  <si>
    <t>modo_sensor; res_x; res_y; aspect_ratio; gate_ancho_mm; gate_alto_mm; codec; fps_max</t>
  </si>
  <si>
    <t>arri_alexa_265::5.1K 1.65:1</t>
  </si>
  <si>
    <t>arri_alexa_265::4.5K LF 3:2</t>
  </si>
  <si>
    <t>IRIS DP — Base de material técnico y sistema de evidencia</t>
  </si>
  <si>
    <t>v1.7 — Fase 1 verificación</t>
  </si>
  <si>
    <t>v1.8 — Fase 2: ampliación + reorganización + trazabilidad</t>
  </si>
  <si>
    <t>Base de conocimiento para relacionar cámara + sensor/gate + formato + óptica + exposición + iluminación + película y ayudar a tomar decisiones técnicas de fotografía.</t>
  </si>
  <si>
    <t>Principio</t>
  </si>
  <si>
    <t>No usar un dato aislado. La utilidad está en las relaciones entre datos y en la trazabilidad de cada dato a su fuente.</t>
  </si>
  <si>
    <t>REGLA ABSOLUTA: NO INVENTAR. Cada especificación debe poder rastrearse a una fuente; si no, queda PENDIENTE.</t>
  </si>
  <si>
    <t>Mapa_Sistema / Flujo_Eleccion / Fuentes_Informacion / Control_Datos / Funciones_Futuras / Pendientes_Investigacion</t>
  </si>
  <si>
    <t>La verificación es por CAMPO, no solo por equipo. Un equipo puede estar parcialmente verificado.</t>
  </si>
  <si>
    <t>Se utiliza como referencia metodológica para diseñar calculadoras y relaciones; no se presupone API pública ni permiso para scraping/reutilización.</t>
  </si>
  <si>
    <t>Si hay discrepancia entre fuentes, el campo se marca CONTRADICTORIO hasta resolverla.</t>
  </si>
  <si>
    <t>Los campos críticos deben contrastarse con documentación del fabricante cuando exista. Los datos dudosos se registran en Control_Datos.</t>
  </si>
  <si>
    <t>Las fuentes oficiales/fabricante tienen prioridad para especificaciones técnicas.</t>
  </si>
  <si>
    <t>Completar cámaras ARRI/Sony/Blackmagic por modo de grabación y área activa; después cruzarlas automáticamente con las ópticas.</t>
  </si>
  <si>
    <t>v1.5 — ampliación técnica</t>
  </si>
  <si>
    <t>Se incorporan alternativas y fuentes externas a PHFX (CineD, Cinematography.tools, CVP, ARRI Photometric, LEE, Kodak), nuevas funciones de motor técnico, pantallas propuestas, trazabilidad de datos y campos fotométricos/energéticos para futuras fases.</t>
  </si>
  <si>
    <t>La nueva capa 00_* / 01_* controla evidencia, fases, compatibilidad y evolución; las hojas originales se conservan para compatibilidad.</t>
  </si>
  <si>
    <t>FASE 2 — ampliación técnica</t>
  </si>
  <si>
    <t>Se incorporan nuevas líneas de investigación: metadatos de lentes/VFX, calidad espectral de iluminación, energía, media/data, matching de lentes y escenarios completos.</t>
  </si>
  <si>
    <t>Objetivo: que el catálogo evolucione hacia un motor de decisiones técnicas, manteniendo trazabilidad de fuentes y explicaciones de cada recomendación.</t>
  </si>
  <si>
    <t>PROTOCOLO DE VERIFICACIÓN</t>
  </si>
  <si>
    <t>Solo se marca VERIFICADO un campo cuando existe evidencia trazable en una fuente identificable. No se rellenan huecos por inferencia.</t>
  </si>
  <si>
    <t>El campo concreto ha sido contrastado con una fuente primaria o documentación oficial y coincide con el dato del Excel.</t>
  </si>
  <si>
    <t>Solo una parte de los campos del registro ha sido contrastada; el resto sigue sin quedar asegurado.</t>
  </si>
  <si>
    <t>Existe una discrepancia entre el dato del Excel y una fuente, o entre dos fuentes oficiales. No usar ese dato para cálculos hasta resolverla.</t>
  </si>
  <si>
    <t>No se ha contrastado todavía. El dato se conserva, pero no debe considerarse asegurado.</t>
  </si>
  <si>
    <t>REGLA DE NO INVENCIÓN</t>
  </si>
  <si>
    <t>Nunca completar un dato faltante con una estimación, memoria, promedio de familia o valor de otro modelo. Si no hay evidencia, se deja vacío/PENDIENTE.</t>
  </si>
  <si>
    <t>TRAZABILIDAD</t>
  </si>
  <si>
    <t>Cada verificación debe indicar hoja, registro, campo, valor, fuente, URL, fecha y observación/evidencia.</t>
  </si>
  <si>
    <t>FASE 1</t>
  </si>
  <si>
    <t>Cámaras seleccionadas + película Kodak existente. Ópticas, luces y modos se amplían en fases posteriores.</t>
  </si>
  <si>
    <t>IRIS DP — Lista de equipo</t>
  </si>
  <si>
    <t>1. Exporta desde la app → edita en Excel → importa de nuevo.</t>
  </si>
  <si>
    <t>2. Pestaña "Proyecto": equipo asignado al proyecto (editable).</t>
  </si>
  <si>
    <t xml:space="preserve">   Columnas: orden, tipo, external_id, marca, modelo, fuente, estado, notas</t>
  </si>
  <si>
    <t xml:space="preserve">   tipo: camera | lens | light</t>
  </si>
  <si>
    <t xml:space="preserve">   fuente: rental | owned | borrowed</t>
  </si>
  <si>
    <t xml:space="preserve">   estado: available | pending | confirmed</t>
  </si>
  <si>
    <t>3. Pestañas Cámaras / Ópticas / Luces: catálogo completo.</t>
  </si>
  <si>
    <t xml:space="preserve">   es_custom=true → se importa como equipo personalizado.</t>
  </si>
  <si>
    <t xml:space="preserve">   es_custom=false → referencia del catálogo (no se modifica al importar).</t>
  </si>
  <si>
    <t xml:space="preserve">   accion: mantener (default) | eliminar (solo custom)</t>
  </si>
  <si>
    <t>v1.1 — ampliación técnica iniciada. Auditoría y fuentes incluidas.</t>
  </si>
  <si>
    <t>Zooms: usar focal_min_mm/focal_max_mm. No usar 0 como focal.</t>
  </si>
  <si>
    <t>Cobertura: depende del image circle y del gate activo; FF/S35 es solo una clasificación.</t>
  </si>
  <si>
    <t>Prioridad de verificación: fabricante → CineD → VFXCamDB/SensorSizes/openMVG/LUMOLIST.</t>
  </si>
  <si>
    <t>orden</t>
  </si>
  <si>
    <t>tipo</t>
  </si>
  <si>
    <t>external_id</t>
  </si>
  <si>
    <t>fuente</t>
  </si>
  <si>
    <t>estado</t>
  </si>
  <si>
    <t>notas</t>
  </si>
  <si>
    <t>sensor_ancho_mm</t>
  </si>
  <si>
    <t>sensor_alto_mm</t>
  </si>
  <si>
    <t>mount</t>
  </si>
  <si>
    <t>vintage</t>
  </si>
  <si>
    <t>luka_compatible</t>
  </si>
  <si>
    <t>es_custom</t>
  </si>
  <si>
    <t>accion</t>
  </si>
  <si>
    <t>iso_base</t>
  </si>
  <si>
    <t>iso_dual</t>
  </si>
  <si>
    <t>tipo_sensor</t>
  </si>
  <si>
    <t>formato_sensor</t>
  </si>
  <si>
    <t>diagonal_sensor_mm</t>
  </si>
  <si>
    <t>aspect_ratio_sensor</t>
  </si>
  <si>
    <t>iso_base_1</t>
  </si>
  <si>
    <t>iso_base_2</t>
  </si>
  <si>
    <t>tipo_iso_base</t>
  </si>
  <si>
    <t>rango_ei</t>
  </si>
  <si>
    <t>rango_dinamico_stops</t>
  </si>
  <si>
    <t>formatos_grabacion</t>
  </si>
  <si>
    <t>aspect_ratios</t>
  </si>
  <si>
    <t>modos_sensor</t>
  </si>
  <si>
    <t>max_fps</t>
  </si>
  <si>
    <t>nd_interno</t>
  </si>
  <si>
    <t>fuente_datos</t>
  </si>
  <si>
    <t>estado_dato</t>
  </si>
  <si>
    <t>fuente_verificacion</t>
  </si>
  <si>
    <t>url_verificacion</t>
  </si>
  <si>
    <t>fecha_verificacion</t>
  </si>
  <si>
    <t>observacion_verificacion</t>
  </si>
  <si>
    <t>prioridad_verificacion</t>
  </si>
  <si>
    <t>LPL</t>
  </si>
  <si>
    <t>mantener</t>
  </si>
  <si>
    <t>CMOS Bayer ARRI ALEV 4</t>
  </si>
  <si>
    <t>Super 35</t>
  </si>
  <si>
    <t>EI 160–6400</t>
  </si>
  <si>
    <t>4.6K 3:2 Open Gate; 4.6K 16:9; 4K 16:9; 4K 2:1; 3.8K 16:9; 3.3K 6:5; 3K 1:1; 2.7K 8:9; 2K 16:9 S16</t>
  </si>
  <si>
    <t>3:2; 16:9; 2:1; 6:5; 1:1; 8:9</t>
  </si>
  <si>
    <t>4.6K OG 28.0×19.2; 4.6K 16:9 28.0×15.7; 4K 16:9 24.9×14.0; 4K 2:1 24.9×12.4; 3.8K 16:9 23.3×13.1; 3.3K 6:5 20.22×16.95; 3K 1:1 18.7×18.7; 2.7K 8:9 16.7×18.7; 2K S16 12.4×7.0 mm</t>
  </si>
  <si>
    <t>verificado_oficial</t>
  </si>
  <si>
    <t>2026-08-09</t>
  </si>
  <si>
    <t>La fuente oficial confirma 27.99×19.22 mm, Super 35 ALEV 4, LPL, 0.75–120 fps y los modos/áreas activas principales. No se marca toda la fila como verificada porque campos como ISO/EI y otros metadatos requieren contraste específico.</t>
  </si>
  <si>
    <t>CMOS</t>
  </si>
  <si>
    <t>Large Format</t>
  </si>
  <si>
    <t>EI 160–3200</t>
  </si>
  <si>
    <t>14+</t>
  </si>
  <si>
    <t>4.5K LF 3:2 Open Gate; 4.5K LF 2.39:1; 4.3K/3.8K LF 16:9; 2.8K LF 1:1; 3.4K S35 3:2; 3.2K S35 16:9; 2.8K S35 4:3; 2.8K S35 16:9</t>
  </si>
  <si>
    <t>3:2; 2.39:1; 16:9; 1:1; 4:3</t>
  </si>
  <si>
    <t>LF OG 4448×3096; LF 2.39 4448×1856; S35 3:2 3424×2202; S35 16:9 3200×1800; S35 4:3 2880×2160</t>
  </si>
  <si>
    <t>Las dimensiones 36.70×25.54 mm y LPL coinciden con ARRI. Hay una discrepancia oficial sobre la velocidad máxima: la página de producto indica 0.75–90 fps mientras el manual consultado indica 0.75–100 fps. El campo max_fps=100 NO debe considerarse resuelto.</t>
  </si>
  <si>
    <t>PL</t>
  </si>
  <si>
    <t>heredado_v0 / pendiente_verificación</t>
  </si>
  <si>
    <t>B4</t>
  </si>
  <si>
    <t>Cámara de película 16mm, no aplica ISO digital</t>
  </si>
  <si>
    <t>Cámara de película 35mm, no aplica ISO digital</t>
  </si>
  <si>
    <t>Cámara de película 65mm, no aplica ISO digital</t>
  </si>
  <si>
    <t>L</t>
  </si>
  <si>
    <t>CMOS HDR</t>
  </si>
  <si>
    <t>Full Frame</t>
  </si>
  <si>
    <t>Dual Native ISO</t>
  </si>
  <si>
    <t>6048×4032 3:2; 4832×4032 6:5; 6048×3408 16:9; 6048×3200 17:9; 6048×2520 2.4:1; 4096×3072 S35 4:3; 4096×2304 4K 16:9; 4096×2160 17:9; 2112×1184 S16; 1920×1080</t>
  </si>
  <si>
    <t>3:2; 6:5; 16:9; 17:9; 2.4:1; 4:3</t>
  </si>
  <si>
    <t>Full Frame 36×24 mm; S35 4:3; S16 16:9</t>
  </si>
  <si>
    <t>Fase 1: se corrigió el tamaño del sensor a 36×24 mm y se mantuvo montura L usando la ficha oficial de PYXIS 6K L. La URL original correspondía a la variante PL. La diagonal se dejó vacía por no estar explícitamente documentada en la fuente consultada.</t>
  </si>
  <si>
    <t>EF</t>
  </si>
  <si>
    <t>MFT</t>
  </si>
  <si>
    <t>Modelo G1 original, sin dual ISO (llegó en G2)</t>
  </si>
  <si>
    <t>RGBW CMOS</t>
  </si>
  <si>
    <t>65mm</t>
  </si>
  <si>
    <t>17K 2.2:1 OG; 17K 2:1; 17K 17:9; 17K 16:9; 17K 2.4:1; 12K 3:2/16:9/17:9/2.4:1/6:5; 8K 2.2:1/2:1/3:2/16:9/17:9/2.4:1; 4K equivalentes</t>
  </si>
  <si>
    <t>2.2:1; 2:1; 17:9; 16:9; 2.4:1; 3:2; 6:5</t>
  </si>
  <si>
    <t>50.81×23.32 mm effective; multiple full-width/full-height windows</t>
  </si>
  <si>
    <t>La fuente oficial confirma 50.81×23.32 mm, formato 65 mm, montura PL intercambiable con LPL y los formatos 17K/12K/8K/4K. La fila contiene otros campos que requieren verificación independiente.</t>
  </si>
  <si>
    <t>Sensor DGO (Dual Gain Output) interno, no es ISO dual seleccionable</t>
  </si>
  <si>
    <t>RF</t>
  </si>
  <si>
    <t>Valor aproximado, verificar con ficha oficial</t>
  </si>
  <si>
    <t>Película, ISO depende del stock usado, no aplica</t>
  </si>
  <si>
    <t>Valores para V-Log; en modo foto los base ISO son distintos (100/640)</t>
  </si>
  <si>
    <t>Mismo sensor que VariCam 35/LT, verificar</t>
  </si>
  <si>
    <t>Millennium DXL original (sensor RED Weapon), valor aproximado</t>
  </si>
  <si>
    <t>PV</t>
  </si>
  <si>
    <t>XF</t>
  </si>
  <si>
    <t>Sensor 8K; con sensor 6K instalado pasa a ser 500/2500</t>
  </si>
  <si>
    <t>E</t>
  </si>
  <si>
    <t>ISO 800 / 12800 (Cine EI; D55)</t>
  </si>
  <si>
    <t>XAVC-I/L; 4K DCI 4096×2160; 4K UHD 3840×2160; HD 1920×1080</t>
  </si>
  <si>
    <t>17:9; 16:9</t>
  </si>
  <si>
    <t>Full-frame; S&amp;Q 100/120 fps con aprox. 10% crop; high-speed adicionales según scan area</t>
  </si>
  <si>
    <t>Variable ND 1/4–1/128</t>
  </si>
  <si>
    <t>La URL oficial está registrada en el Excel, pero no se pudo recuperar de forma fiable durante esta fase. Por política de seguridad no se eleva el registro a VERIFICADO sin evidencia accesible.</t>
  </si>
  <si>
    <t>Valor S-Cinetone; en S-Log3 es 640/12800</t>
  </si>
  <si>
    <t>Full Frame / Super 35</t>
  </si>
  <si>
    <t>ISO 800 / 3200 (Cine EI; D55)</t>
  </si>
  <si>
    <t>FF 8.6K 17:9/16:9; FFc 6K 17:9/16:9; FF 5.8K 6:5; FFc 3.8K 16:9; S35 5.8K 17:9/16:9; S35 4.3K 4:3; S35c 4K 17:9; S35c 3.8K 16:9; S35 1.9K 16:9</t>
  </si>
  <si>
    <t>17:9; 16:9; 6:5; 4:3</t>
  </si>
  <si>
    <t>FF 8.6K 16:9 35.9×20.2; FF 8.6K 17:9 35.9×18.9; FFc 6K 16:9 33.6×18.9; FFc 6K 17:9 33.6×17.7; FF 5.8K 6:5 24.2×20.2; S35 5.8K 16:9 24×13.5; S35 5.8K 17:9 24×12.6; S35 4.3K 4:3 23.6×17.7; S35c 4K 17:9 17×9; S35c 3.8K 16:9 16×9</t>
  </si>
  <si>
    <t>Variable ND electrónico</t>
  </si>
  <si>
    <t>El manual oficial confirma sensor CMOS de formato completo 35 mm, ISO 800/3200 en Cine EI, montura PL con adaptador y E sin adaptador, y latitud de 16 pasos. El tamaño 35.9×24.0 mm de la fila no queda confirmado en esta fuente concreta y no se marca como verificado.</t>
  </si>
  <si>
    <t>Mismo sensor que FX6</t>
  </si>
  <si>
    <t>Tras actualización de firmware 4.00; antes era 3200</t>
  </si>
  <si>
    <t>Valor S-Log3/Cine</t>
  </si>
  <si>
    <t>Sensor CCD antiguo, valor aproximado (T10≈ISO430-500 según fuente)</t>
  </si>
  <si>
    <t>Mismo sensor que FX6/FR7</t>
  </si>
  <si>
    <t>VENICE Rialto usa el mismo sensor 6K que VENICE</t>
  </si>
  <si>
    <t>Valor color; versión monocromo es ISO 800</t>
  </si>
  <si>
    <t>Valor color; versión monocromo es ISO 16000</t>
  </si>
  <si>
    <t>65 mm; A3X Rev.B; 6.5K/5.1K/4.5K LF; ARRIRAW.</t>
  </si>
  <si>
    <t>añadir</t>
  </si>
  <si>
    <t>CMOS Bayer ARRI A3X Rev.B</t>
  </si>
  <si>
    <t>65 mm</t>
  </si>
  <si>
    <t>MXF/ARRIRAW</t>
  </si>
  <si>
    <t>2.12:1; 1.65:1; 3:2</t>
  </si>
  <si>
    <t>6.5K 2.12:1 Open Gate; 5.1K 1.65:1; 4.5K LF 3:2</t>
  </si>
  <si>
    <t>Cartucho de filtros: Clear a ND2.7 en pasos de 1 stop</t>
  </si>
  <si>
    <t>ARRI Rental technical data</t>
  </si>
  <si>
    <t>verificado_fuente_oficial</t>
  </si>
  <si>
    <t>Fuente oficial ARRI. EI 160–6400 no se interpreta como ISO base. FPS máximos por modo deben usarse desde Modos_Cámara.</t>
  </si>
  <si>
    <t>PL (intercambiable según configuración)</t>
  </si>
  <si>
    <t>Large Format RGBW; 12K; 16 stops.</t>
  </si>
  <si>
    <t>Blackmagic RAW</t>
  </si>
  <si>
    <t>3:2; 16:9; 17:9; 2.4:1; 6:5</t>
  </si>
  <si>
    <t>12K 3:2; 12K 16:9; 12K 17:9; 12K 2.4:1; 12K 6:5; 8K/4K según modo</t>
  </si>
  <si>
    <t>Sí, según ficha técnica</t>
  </si>
  <si>
    <t>Blackmagic Design technical specifications</t>
  </si>
  <si>
    <t>Fuente oficial. No se marca toda la fila como verificada: faltan desgloses por modo/fps y condiciones exactas.</t>
  </si>
  <si>
    <t>distancia_focal</t>
  </si>
  <si>
    <t>t_stop_min</t>
  </si>
  <si>
    <t>cobertura</t>
  </si>
  <si>
    <t>anamorfica</t>
  </si>
  <si>
    <t>focal_min_mm</t>
  </si>
  <si>
    <t>focal_max_mm</t>
  </si>
  <si>
    <t>image_circle_mm</t>
  </si>
  <si>
    <t>min_focus_m</t>
  </si>
  <si>
    <t>max_focus</t>
  </si>
  <si>
    <t>squeeze</t>
  </si>
  <si>
    <t>tipo_optica</t>
  </si>
  <si>
    <t>front_diameter_mm</t>
  </si>
  <si>
    <t>longitud_mm</t>
  </si>
  <si>
    <t>peso_g</t>
  </si>
  <si>
    <t>LF</t>
  </si>
  <si>
    <t>∞</t>
  </si>
  <si>
    <t>esférica / foto</t>
  </si>
  <si>
    <t>{"weightKg":2.5,"year":2021}</t>
  </si>
  <si>
    <t>S35</t>
  </si>
  <si>
    <t>https://www.cined.com/lens-database/?id=1450&amp;lens=spherical-primes</t>
  </si>
  <si>
    <t>verificado_CineD</t>
  </si>
  <si>
    <t>FF</t>
  </si>
  <si>
    <t>revisar_zoom / focal no estructurada</t>
  </si>
  <si>
    <t>{"weightKg":2.0,"year":2016}</t>
  </si>
  <si>
    <t>{"weightKg":1.9,"year":2016}</t>
  </si>
  <si>
    <t>anamórfica</t>
  </si>
  <si>
    <t>{"weightKg":1.8,"year":2018}</t>
  </si>
  <si>
    <t>{"year":2019}</t>
  </si>
  <si>
    <t>{"weightKg":2.1,"lengthMm":178.0,"year":2019}</t>
  </si>
  <si>
    <t>{"weightKg":1.9,"lengthMm":165.0,"year":2019}</t>
  </si>
  <si>
    <t>{"weightKg":1.8,"lengthMm":162.0,"year":2019}</t>
  </si>
  <si>
    <t>{"weightKg":2.0,"lengthMm":168.0,"year":2019}</t>
  </si>
  <si>
    <t>{"weightKg":2.2,"lengthMm":175.0,"year":2019}</t>
  </si>
  <si>
    <t>{"weightKg":2.4,"lengthMm":185.0,"year":2019}</t>
  </si>
  <si>
    <t>{"weightKg":2.6,"lengthMm":195.0,"year":2019}</t>
  </si>
  <si>
    <t>PL, EF</t>
  </si>
  <si>
    <t>esférica</t>
  </si>
  <si>
    <t>https://www.cined.com/lens-database/?lens=spherical-zooms</t>
  </si>
  <si>
    <t>{"weightKg":1.4,"year":2020}</t>
  </si>
  <si>
    <t>{"weightKg":1.1,"year":2020}</t>
  </si>
  <si>
    <t>{"weightKg":1.0,"year":2020}</t>
  </si>
  <si>
    <t>{"weightKg":0.9,"year":2020}</t>
  </si>
  <si>
    <t>{"weightKg":1.2,"year":2020}</t>
  </si>
  <si>
    <t>{"weightKg":1.3,"year":2020}</t>
  </si>
  <si>
    <t>{"weightKg":5.2,"year":2019}</t>
  </si>
  <si>
    <t>{"weightKg":2.0,"year":2012}</t>
  </si>
  <si>
    <t>{"year":2017}</t>
  </si>
  <si>
    <t>{"year":2015}</t>
  </si>
  <si>
    <t>{"weightKg":0.4,"year":2020}</t>
  </si>
  <si>
    <t>{"year":2018}</t>
  </si>
  <si>
    <t>{"weightKg":1.2,"year":2016}</t>
  </si>
  <si>
    <t>{"weightKg":0.9,"year":2022}</t>
  </si>
  <si>
    <t>{"weightKg":1.5,"year":2018}</t>
  </si>
  <si>
    <t>{"weightKg":1.6,"year":2021}</t>
  </si>
  <si>
    <t>{"weightKg":1.5,"year":2021}</t>
  </si>
  <si>
    <t>{"weightKg":1.4,"year":2021}</t>
  </si>
  <si>
    <t>{"weightKg":1.8,"year":2021}</t>
  </si>
  <si>
    <t>{"weightKg":2.0,"year":2021}</t>
  </si>
  <si>
    <t>corregido/verificado_CineD</t>
  </si>
  <si>
    <t>{"weightKg":2.3,"year":2014}</t>
  </si>
  <si>
    <t>{"weightKg":2.4,"year":2014}</t>
  </si>
  <si>
    <t>{"weightKg":2.5,"year":2014}</t>
  </si>
  <si>
    <t>{"weightKg":2.8,"year":2014}</t>
  </si>
  <si>
    <t>{"weightKg":3.1,"year":2014}</t>
  </si>
  <si>
    <t>{"weightKg":3.4,"year":2014}</t>
  </si>
  <si>
    <t>FD</t>
  </si>
  <si>
    <t>https://www.cined.com/lens-database/?lens=photo-primes</t>
  </si>
  <si>
    <t>PL, EF, RF, L, E, Z</t>
  </si>
  <si>
    <t>https://www.cined.com/lens-database/?lens=anamorphic-primes</t>
  </si>
  <si>
    <t>16mm</t>
  </si>
  <si>
    <t>T2.1</t>
  </si>
  <si>
    <t>Datos ampliados desde CineD; generación conservada.</t>
  </si>
  <si>
    <t>Prime cine</t>
  </si>
  <si>
    <t>https://www.cined.com/lens-database/</t>
  </si>
  <si>
    <t>Familia añadida</t>
  </si>
  <si>
    <t>20mm</t>
  </si>
  <si>
    <t>24mm</t>
  </si>
  <si>
    <t>28mm</t>
  </si>
  <si>
    <t>32mm</t>
  </si>
  <si>
    <t>40mm</t>
  </si>
  <si>
    <t>50mm</t>
  </si>
  <si>
    <t>85mm</t>
  </si>
  <si>
    <t>100mm</t>
  </si>
  <si>
    <t>18mm</t>
  </si>
  <si>
    <t>T1.4</t>
  </si>
  <si>
    <t>Bay</t>
  </si>
  <si>
    <t>25mm</t>
  </si>
  <si>
    <t>35mm</t>
  </si>
  <si>
    <t>T1.3</t>
  </si>
  <si>
    <t>Verificado CineD</t>
  </si>
  <si>
    <t>75mm</t>
  </si>
  <si>
    <t>S35/FF verify</t>
  </si>
  <si>
    <t>PL LDS</t>
  </si>
  <si>
    <t>Verificar cobertura</t>
  </si>
  <si>
    <t>135mm</t>
  </si>
  <si>
    <t>150mm</t>
  </si>
  <si>
    <t>8mm</t>
  </si>
  <si>
    <t>T2.8</t>
  </si>
  <si>
    <t>15mm</t>
  </si>
  <si>
    <t>T1.8</t>
  </si>
  <si>
    <t>PL/i, LPL</t>
  </si>
  <si>
    <t>Familia adicional descubierta en CineD.</t>
  </si>
  <si>
    <t>T1.5</t>
  </si>
  <si>
    <t>21mm</t>
  </si>
  <si>
    <t>T2.4</t>
  </si>
  <si>
    <t>Anamorphic prime</t>
  </si>
  <si>
    <t>T2.2</t>
  </si>
  <si>
    <t>PL, LPL</t>
  </si>
  <si>
    <t>T2.9</t>
  </si>
  <si>
    <t>LF/FF según documentación de familia</t>
  </si>
  <si>
    <t>ARRI Ensō Prime; datos de familia y documentación técnica oficial.</t>
  </si>
  <si>
    <t>prime</t>
  </si>
  <si>
    <t>Focal/T-stop/montura documentados. No completar MOD, peso, longitud o círculo de imagen sin la ficha específica del modelo.</t>
  </si>
  <si>
    <t>tipo_luz</t>
  </si>
  <si>
    <t>potencia_w</t>
  </si>
  <si>
    <t>temp_min</t>
  </si>
  <si>
    <t>temp_max</t>
  </si>
  <si>
    <t>tecnologia</t>
  </si>
  <si>
    <t>fuente_luz</t>
  </si>
  <si>
    <t>cct</t>
  </si>
  <si>
    <t>cri</t>
  </si>
  <si>
    <t>tlci</t>
  </si>
  <si>
    <t>ssi</t>
  </si>
  <si>
    <t>control</t>
  </si>
  <si>
    <t>dimming</t>
  </si>
  <si>
    <t>montaje</t>
  </si>
  <si>
    <t>led_panel</t>
  </si>
  <si>
    <t>2800–10000 K</t>
  </si>
  <si>
    <t>led</t>
  </si>
  <si>
    <t>2000–6500 K</t>
  </si>
  <si>
    <t>fresnel</t>
  </si>
  <si>
    <t>3200–3200 K</t>
  </si>
  <si>
    <t>hmi</t>
  </si>
  <si>
    <t>5600–5600 K</t>
  </si>
  <si>
    <t>balloon</t>
  </si>
  <si>
    <t>2700–6500 K</t>
  </si>
  <si>
    <t>2000–10000 K</t>
  </si>
  <si>
    <t>led_tube</t>
  </si>
  <si>
    <t>1800–20000 K</t>
  </si>
  <si>
    <t>3200–5600 K</t>
  </si>
  <si>
    <t>2700–10000 K</t>
  </si>
  <si>
    <t>practical</t>
  </si>
  <si>
    <t>2700–2700 K</t>
  </si>
  <si>
    <t>1800–2200 K</t>
  </si>
  <si>
    <t>2000–6000 K</t>
  </si>
  <si>
    <t>LED COB</t>
  </si>
  <si>
    <t>5600K</t>
  </si>
  <si>
    <t>Ampliación; verificar ficha exacta antes de usar como dato contractual.</t>
  </si>
  <si>
    <t>Verificar ficha exacta</t>
  </si>
  <si>
    <t>LED</t>
  </si>
  <si>
    <t>5600K–5600K</t>
  </si>
  <si>
    <t>DMX / CRMX / App</t>
  </si>
  <si>
    <t>0–100%</t>
  </si>
  <si>
    <t>Fabricante</t>
  </si>
  <si>
    <t>Registro ampliado</t>
  </si>
  <si>
    <t>LED Pixel Bar</t>
  </si>
  <si>
    <t>2500K</t>
  </si>
  <si>
    <t>7500K</t>
  </si>
  <si>
    <t>2500K–7500K</t>
  </si>
  <si>
    <t>LED Flexible Panel</t>
  </si>
  <si>
    <t>LED Tube</t>
  </si>
  <si>
    <t>2700K</t>
  </si>
  <si>
    <t>12000K</t>
  </si>
  <si>
    <t>2700K–12000K</t>
  </si>
  <si>
    <t>LED Point Source</t>
  </si>
  <si>
    <t>3200K</t>
  </si>
  <si>
    <t>6500K</t>
  </si>
  <si>
    <t>3200K–6500K</t>
  </si>
  <si>
    <t>LED Panel</t>
  </si>
  <si>
    <t>2800K</t>
  </si>
  <si>
    <t>10000K</t>
  </si>
  <si>
    <t>2800K–10000K</t>
  </si>
  <si>
    <t>2700K–10000K</t>
  </si>
  <si>
    <t>2200K</t>
  </si>
  <si>
    <t>2200K–10000K</t>
  </si>
  <si>
    <t>LED Fresnel</t>
  </si>
  <si>
    <t>2700K–6500K</t>
  </si>
  <si>
    <t>LED point-source</t>
  </si>
  <si>
    <t>Consumo máximo 1450 W; potencia de salida máxima 1200 W; IP65.</t>
  </si>
  <si>
    <t>2500–10000 K</t>
  </si>
  <si>
    <t>95+</t>
  </si>
  <si>
    <t>87 (D56); 87 (D32)</t>
  </si>
  <si>
    <t>On-board; Sidus Link; DMX/RDM; CRMX; sACN/Art-Net</t>
  </si>
  <si>
    <t>Aputure technical specifications and photometrics</t>
  </si>
  <si>
    <t>Separar consumo eléctrico máximo (1450 W) de potencia de salida máxima (1200 W). La fotometría depende de CCT, modo y accesorio.</t>
  </si>
  <si>
    <t>camera_external_id</t>
  </si>
  <si>
    <t>modo_sensor</t>
  </si>
  <si>
    <t>res_x</t>
  </si>
  <si>
    <t>res_y</t>
  </si>
  <si>
    <t>aspect_ratio</t>
  </si>
  <si>
    <t>gate_ancho_mm</t>
  </si>
  <si>
    <t>gate_alto_mm</t>
  </si>
  <si>
    <t>crop_x</t>
  </si>
  <si>
    <t>crop_y</t>
  </si>
  <si>
    <t>codec</t>
  </si>
  <si>
    <t>fps_max</t>
  </si>
  <si>
    <t>campo_extra_15</t>
  </si>
  <si>
    <t>campo_extra_16</t>
  </si>
  <si>
    <t>4.6K 3:2 Open Gate</t>
  </si>
  <si>
    <t>3:2</t>
  </si>
  <si>
    <t>ARRIRAW/ProRes</t>
  </si>
  <si>
    <t>4.6K 16:9</t>
  </si>
  <si>
    <t>16:9</t>
  </si>
  <si>
    <t>4K 16:9</t>
  </si>
  <si>
    <t>4K 2:1</t>
  </si>
  <si>
    <t>2:1</t>
  </si>
  <si>
    <t>3.8K 16:9</t>
  </si>
  <si>
    <t>3.3K 6:5</t>
  </si>
  <si>
    <t>6:5</t>
  </si>
  <si>
    <t>3K 1:1</t>
  </si>
  <si>
    <t>1:1</t>
  </si>
  <si>
    <t>2.7K 8:9</t>
  </si>
  <si>
    <t>8:9</t>
  </si>
  <si>
    <t>4.5K LF 3:2 OG</t>
  </si>
  <si>
    <t>4.5K LF 2.39</t>
  </si>
  <si>
    <t>2.39:1</t>
  </si>
  <si>
    <t>4.3K LF 16:9</t>
  </si>
  <si>
    <t>3.4K S35 3:2</t>
  </si>
  <si>
    <t>3.2K S35 16:9</t>
  </si>
  <si>
    <t>2.8K S35 4:3</t>
  </si>
  <si>
    <t>4:3</t>
  </si>
  <si>
    <t>FF 8.6K 17:9</t>
  </si>
  <si>
    <t>17:9</t>
  </si>
  <si>
    <t>X-OCN/XAVC</t>
  </si>
  <si>
    <t>—</t>
  </si>
  <si>
    <t>FF 8.6K 16:9</t>
  </si>
  <si>
    <t>FFc 6K 17:9</t>
  </si>
  <si>
    <t>FFc 6K 16:9</t>
  </si>
  <si>
    <t>FF 5.8K 6:5</t>
  </si>
  <si>
    <t>S35 5.8K 17:9</t>
  </si>
  <si>
    <t>S35 5.8K 16:9</t>
  </si>
  <si>
    <t>S35 4.3K 4:3</t>
  </si>
  <si>
    <t>S35c 4K 17:9</t>
  </si>
  <si>
    <t>S35c 3.8K 16:9</t>
  </si>
  <si>
    <t>blackmagic_pyxis_6k</t>
  </si>
  <si>
    <t>Open Gate 3:2</t>
  </si>
  <si>
    <t>BRAW</t>
  </si>
  <si>
    <t>Anamorphic 6:5</t>
  </si>
  <si>
    <t>6K 16:9</t>
  </si>
  <si>
    <t>6K DCI 17:9</t>
  </si>
  <si>
    <t>6K 2.4:1</t>
  </si>
  <si>
    <t>2.4:1</t>
  </si>
  <si>
    <t>S35 4:3</t>
  </si>
  <si>
    <t>4K DCI 17:9</t>
  </si>
  <si>
    <t>S16 16:9</t>
  </si>
  <si>
    <t>blackmagic_ursa_cine_17k</t>
  </si>
  <si>
    <t>17K 2.2:1 Open Gate</t>
  </si>
  <si>
    <t>2.2:1</t>
  </si>
  <si>
    <t>17K 2:1</t>
  </si>
  <si>
    <t>17K 17:9</t>
  </si>
  <si>
    <t>17K 16:9</t>
  </si>
  <si>
    <t>17K 2.4:1</t>
  </si>
  <si>
    <t>12K 3:2</t>
  </si>
  <si>
    <t>12K 16:9</t>
  </si>
  <si>
    <t>12K 17:9</t>
  </si>
  <si>
    <t>12K 2.4:1</t>
  </si>
  <si>
    <t>12K 6:5</t>
  </si>
  <si>
    <t>arri_alexa35_xtreme</t>
  </si>
  <si>
    <t>1.00x</t>
  </si>
  <si>
    <t>ARRIRAW/ProRes/ARRICORE</t>
  </si>
  <si>
    <t>0.818x</t>
  </si>
  <si>
    <t>3.8K 2.39:1</t>
  </si>
  <si>
    <t>0.833x</t>
  </si>
  <si>
    <t>0.510x</t>
  </si>
  <si>
    <t>4.5K LF 3:2 Open Gate</t>
  </si>
  <si>
    <t>4.5K LF 2.39:1</t>
  </si>
  <si>
    <t>0.599x</t>
  </si>
  <si>
    <t>FF 6K</t>
  </si>
  <si>
    <t>1.89:1</t>
  </si>
  <si>
    <t>XAVC/RAW externo</t>
  </si>
  <si>
    <t>FF 5K Crop</t>
  </si>
  <si>
    <t>XAVC</t>
  </si>
  <si>
    <t>blackmagic_pyxis_6k_pl</t>
  </si>
  <si>
    <t>6K Open Gate</t>
  </si>
  <si>
    <t>0.625x</t>
  </si>
  <si>
    <t>Super 35 4:3</t>
  </si>
  <si>
    <t>0.677x</t>
  </si>
  <si>
    <t>0.761x</t>
  </si>
  <si>
    <t>blackmagic_ursa_cine_17k_65</t>
  </si>
  <si>
    <t>2.18:1</t>
  </si>
  <si>
    <t>0.816x</t>
  </si>
  <si>
    <t>0.702x</t>
  </si>
  <si>
    <t>6.5K 2.12:1 Open Gate</t>
  </si>
  <si>
    <t>2.12:1</t>
  </si>
  <si>
    <t>ARRIRAW</t>
  </si>
  <si>
    <t>FPS máximos oficiales del modo: 29/60 fps.</t>
  </si>
  <si>
    <t>5.1K 1.65:1</t>
  </si>
  <si>
    <t>1.65:1</t>
  </si>
  <si>
    <t>FPS máximos oficiales del modo: 37/60 fps.</t>
  </si>
  <si>
    <t>4.5K LF 3:2</t>
  </si>
  <si>
    <t>FPS máximos oficiales del modo: 43/60 fps.</t>
  </si>
  <si>
    <t>fabricante</t>
  </si>
  <si>
    <t>familia</t>
  </si>
  <si>
    <t>producto</t>
  </si>
  <si>
    <t>cat_35mm</t>
  </si>
  <si>
    <t>cat_16mm</t>
  </si>
  <si>
    <t>cat_s8</t>
  </si>
  <si>
    <t>ISO_EI</t>
  </si>
  <si>
    <t>balance_color</t>
  </si>
  <si>
    <t>formato</t>
  </si>
  <si>
    <t>perforación</t>
  </si>
  <si>
    <t>base</t>
  </si>
  <si>
    <t>VISION3</t>
  </si>
  <si>
    <t>5203</t>
  </si>
  <si>
    <t>7203</t>
  </si>
  <si>
    <t>negativo color</t>
  </si>
  <si>
    <t>Daylight</t>
  </si>
  <si>
    <t>16/35mm</t>
  </si>
  <si>
    <t>BH 35mm; 1R/2R 16mm</t>
  </si>
  <si>
    <t>Estar</t>
  </si>
  <si>
    <t>Exterior día</t>
  </si>
  <si>
    <t>verificado_Kodak</t>
  </si>
  <si>
    <t>La ficha oficial confirma 50D, 5203/7203 y uso daylight; la tabla de especificaciones de Kodak aporta formatos/perforaciones. No se marca toda la fila sin verificar cada campo.</t>
  </si>
  <si>
    <t>5213</t>
  </si>
  <si>
    <t>7213</t>
  </si>
  <si>
    <t>Tungsten</t>
  </si>
  <si>
    <t>Interiores/tungsteno</t>
  </si>
  <si>
    <t>La ficha oficial confirma 200-speed tungsten y 5213/7213; las especificaciones oficiales detallan formatos y perforaciones.</t>
  </si>
  <si>
    <t>5207</t>
  </si>
  <si>
    <t>7207</t>
  </si>
  <si>
    <t>Día / transición</t>
  </si>
  <si>
    <t>No se ha abierto la ficha técnica específica en esta fase. Se mantiene pendiente.</t>
  </si>
  <si>
    <t>5219</t>
  </si>
  <si>
    <t>7219</t>
  </si>
  <si>
    <t>16/35/65mm</t>
  </si>
  <si>
    <t>Noche / baja luz</t>
  </si>
  <si>
    <t>VERITA</t>
  </si>
  <si>
    <t>5206</t>
  </si>
  <si>
    <t>7206</t>
  </si>
  <si>
    <t>según formato</t>
  </si>
  <si>
    <t>Emulsión daylight actual</t>
  </si>
  <si>
    <t>EASTMAN</t>
  </si>
  <si>
    <t>5222</t>
  </si>
  <si>
    <t>7222</t>
  </si>
  <si>
    <t>negativo B/N</t>
  </si>
  <si>
    <t>Variable</t>
  </si>
  <si>
    <t>Acetato</t>
  </si>
  <si>
    <t>B/N clásico</t>
  </si>
  <si>
    <t>La ficha oficial confirma EASTMAN DOUBLE-X 5222/7222. El valor ISO/EI de 250 de la fila no se marca como asegurado en esta fase.</t>
  </si>
  <si>
    <t>EKTACHROME</t>
  </si>
  <si>
    <t>5294</t>
  </si>
  <si>
    <t>7294</t>
  </si>
  <si>
    <t>reversible color</t>
  </si>
  <si>
    <t>S8/16/35mm</t>
  </si>
  <si>
    <t>BH 35mm; 1R/2R 16mm; 1R S8</t>
  </si>
  <si>
    <t>E-6</t>
  </si>
  <si>
    <t>La fuente oficial confirma 100D, 5294/7294 y disponibilidad en 35 mm, Super 8 y 16 mm.</t>
  </si>
  <si>
    <t>TRI-X</t>
  </si>
  <si>
    <t>reversible B/N</t>
  </si>
  <si>
    <t>S8/16mm</t>
  </si>
  <si>
    <t>1R/2R según presentación</t>
  </si>
  <si>
    <t>Reversible B/N</t>
  </si>
  <si>
    <t>La página oficial de catálogo identifica TRI-X 7266. El ISO/EI=200 de la fila queda pendiente de ficha técnica específica.</t>
  </si>
  <si>
    <t>Color negative</t>
  </si>
  <si>
    <t>35mm / 16mm / 65mm</t>
  </si>
  <si>
    <t>hoja</t>
  </si>
  <si>
    <t>elemento</t>
  </si>
  <si>
    <t>hallazgo</t>
  </si>
  <si>
    <t>acción</t>
  </si>
  <si>
    <t>criterio/fuente</t>
  </si>
  <si>
    <t>Ópticas</t>
  </si>
  <si>
    <t>DZOFilm Pictor 20-55 / 50-125</t>
  </si>
  <si>
    <t>focal=0 en v0</t>
  </si>
  <si>
    <t>separar focal_min/focal_max</t>
  </si>
  <si>
    <t>CineD</t>
  </si>
  <si>
    <t>corregido</t>
  </si>
  <si>
    <t>Zeiss Master Prime</t>
  </si>
  <si>
    <t>T-stop v0 1.4; CineD 1.3</t>
  </si>
  <si>
    <t>corregido a 1.3</t>
  </si>
  <si>
    <t>Cámaras</t>
  </si>
  <si>
    <t>Blackmagic URSA Cine 17K</t>
  </si>
  <si>
    <t>sensor v0 55.8×31.3; oficial 50.81×23.32</t>
  </si>
  <si>
    <t>Canon FD</t>
  </si>
  <si>
    <t>familia ausente</t>
  </si>
  <si>
    <t>añadida primera tanda de primes</t>
  </si>
  <si>
    <t>añadido</t>
  </si>
  <si>
    <t>añadidas Mantis/Remus/Talon/Viper</t>
  </si>
  <si>
    <t>Zooms</t>
  </si>
  <si>
    <t>schema no separaba rango focal</t>
  </si>
  <si>
    <t>nuevos focal_min_mm/focal_max_mm</t>
  </si>
  <si>
    <t>mejora estructural</t>
  </si>
  <si>
    <t>implementado</t>
  </si>
  <si>
    <t>Cobertura</t>
  </si>
  <si>
    <t>FF/S35 no sustituye image circle</t>
  </si>
  <si>
    <t>añadir image_circle_mm + gate</t>
  </si>
  <si>
    <t>CineD Coverage Tool</t>
  </si>
  <si>
    <t>parcial</t>
  </si>
  <si>
    <t>Aspect ratio</t>
  </si>
  <si>
    <t>ratio del sensor ≠ ratio del gate grabado</t>
  </si>
  <si>
    <t>hoja Modos_Cámara</t>
  </si>
  <si>
    <t>fabricantes</t>
  </si>
  <si>
    <t>implementado parcial</t>
  </si>
  <si>
    <t>BAJA</t>
  </si>
  <si>
    <t>Luces</t>
  </si>
  <si>
    <t>CRI/TLCI/SSI</t>
  </si>
  <si>
    <t>faltan variables clave</t>
  </si>
  <si>
    <t>tanda específica de iluminación</t>
  </si>
  <si>
    <t>pendiente</t>
  </si>
  <si>
    <t>varía por formato y SKU</t>
  </si>
  <si>
    <t>normalizar por presentación</t>
  </si>
  <si>
    <t>iniciado</t>
  </si>
  <si>
    <t>Alta</t>
  </si>
  <si>
    <t>Sony FX9</t>
  </si>
  <si>
    <t>Sensor 35.7×18.8 mm corresponde al FF 6K scan; el modo FF 5K es un recorte.</t>
  </si>
  <si>
    <t>Añadir modo específico y no tratar 35.7×18.8 como todos los modos.</t>
  </si>
  <si>
    <t>Sony Pro</t>
  </si>
  <si>
    <t>Corregido/añadido</t>
  </si>
  <si>
    <t>Blackmagic URSA Cine 17K 65</t>
  </si>
  <si>
    <t>Sensor efectivo oficial 50.81×23.32 mm y múltiples gates 17K/12K/8K/4K.</t>
  </si>
  <si>
    <t>Separar sensor físico de área activa por modo.</t>
  </si>
  <si>
    <t>Verificado</t>
  </si>
  <si>
    <t>ARRI ALEXA Mini LF</t>
  </si>
  <si>
    <t>Los modos LF y S35 tienen áreas activas distintas.</t>
  </si>
  <si>
    <t>Mantener dimensiones por modo en Modos_Cámara.</t>
  </si>
  <si>
    <t>Media</t>
  </si>
  <si>
    <t>DZOFILM Vespid Retro</t>
  </si>
  <si>
    <t>Faltaba familia completa en la base ampliada.</t>
  </si>
  <si>
    <t>Añadir 16/25/35/50/75/100/125 mm con IC y close focus.</t>
  </si>
  <si>
    <t>Añadido</t>
  </si>
  <si>
    <t>Atlas Mercury</t>
  </si>
  <si>
    <t>La familia Mercury es anamórfica 1.5x y full-frame; el conjunto inicial incluía solo parte de la familia.</t>
  </si>
  <si>
    <t>Añadir 24/27 mm de la base CineD y continuar con 36/42/54/72/95/138 en siguiente tanda.</t>
  </si>
  <si>
    <t>CineD / Atlas</t>
  </si>
  <si>
    <t>Ampliado</t>
  </si>
  <si>
    <t>Sigma Cine</t>
  </si>
  <si>
    <t>Faltaban zooms cine relevantes frente a la prioridad del usuario.</t>
  </si>
  <si>
    <t>Registrar familias zoom y completar ficha detallada después.</t>
  </si>
  <si>
    <t>CineD / Sigma</t>
  </si>
  <si>
    <t>Fuentes</t>
  </si>
  <si>
    <t>PHFX</t>
  </si>
  <si>
    <t>Colección de herramientas web; no se identifica una API pública documentada.</t>
  </si>
  <si>
    <t>Usarla como referencia metodológica y de contraste; no asumir permiso para scraping.</t>
  </si>
  <si>
    <t>Documentado</t>
  </si>
  <si>
    <t>ZEISS Super Speed / Standard Speed</t>
  </si>
  <si>
    <t>CineD diferencia generaciones MKI, MKII/III y S16.</t>
  </si>
  <si>
    <t>Mantener generación en el modelo y cobertura separada.</t>
  </si>
  <si>
    <t>ZEISS Supreme Prime</t>
  </si>
  <si>
    <t>Familia adicional con círculo de imagen 46.3 mm en CineD.</t>
  </si>
  <si>
    <t>Añadir por su utilidad FF/LF.</t>
  </si>
  <si>
    <t>Ancient Optics Statera</t>
  </si>
  <si>
    <t>Anamórfico 1.5x con cobertura FF.</t>
  </si>
  <si>
    <t>Interesante como alternativa premium.</t>
  </si>
  <si>
    <t>uso</t>
  </si>
  <si>
    <t>cámaras, sensores, gates, formatos</t>
  </si>
  <si>
    <t>primaria</t>
  </si>
  <si>
    <t>scan modes, ISO, formatos</t>
  </si>
  <si>
    <t>sensores, BRAW, ISO, resoluciones</t>
  </si>
  <si>
    <t>CineD Lens Database</t>
  </si>
  <si>
    <t>image circle, close focus, dimensiones, peso</t>
  </si>
  <si>
    <t>especializada</t>
  </si>
  <si>
    <t>CineD Lens Coverage Tool</t>
  </si>
  <si>
    <t>lente ↔ sensor/gate</t>
  </si>
  <si>
    <t>tiene en cuenta recording format</t>
  </si>
  <si>
    <t>VFXCamDB</t>
  </si>
  <si>
    <t>cámaras/sensores/gates</t>
  </si>
  <si>
    <t>contraste</t>
  </si>
  <si>
    <t>SensorSizes</t>
  </si>
  <si>
    <t>tamaños de sensor</t>
  </si>
  <si>
    <t>openMVG CameraSensorSizeDatabase</t>
  </si>
  <si>
    <t>base abierta</t>
  </si>
  <si>
    <t>stocks, ISO, balance, perforaciones</t>
  </si>
  <si>
    <t>LUMOLIST</t>
  </si>
  <si>
    <t>referencias de equipo</t>
  </si>
  <si>
    <t>complementaria</t>
  </si>
  <si>
    <t>Sony Cine / Sony Pro</t>
  </si>
  <si>
    <t>VENICE, VENICE 2, BURANO, FX9</t>
  </si>
  <si>
    <t>https://sony-cinematography.com/venice/ ; https://www.sony.com/electronics/support/professional-cameras-digital-cinema-cameras/mpc-2610</t>
  </si>
  <si>
    <t>Atlas Lens Co.</t>
  </si>
  <si>
    <t>Mercury anamórfico 1.5x</t>
  </si>
  <si>
    <t>https://atlaslensco.com/</t>
  </si>
  <si>
    <t>ancho_mm</t>
  </si>
  <si>
    <t>alto_mm</t>
  </si>
  <si>
    <t>diagonal_mm</t>
  </si>
  <si>
    <t>perforaciones</t>
  </si>
  <si>
    <t>Film</t>
  </si>
  <si>
    <t>16mm 1-perf</t>
  </si>
  <si>
    <t>1.37:1</t>
  </si>
  <si>
    <t>1-perf</t>
  </si>
  <si>
    <t>Frame aproximado</t>
  </si>
  <si>
    <t>Super 16</t>
  </si>
  <si>
    <t>1.69:1</t>
  </si>
  <si>
    <t>Área típica S16</t>
  </si>
  <si>
    <t>35mm 2-perf</t>
  </si>
  <si>
    <t>2-perf</t>
  </si>
  <si>
    <t>Techniscope</t>
  </si>
  <si>
    <t>35mm 3-perf</t>
  </si>
  <si>
    <t>3-perf</t>
  </si>
  <si>
    <t>Super 35 aprox.</t>
  </si>
  <si>
    <t>35mm Academy 4-perf</t>
  </si>
  <si>
    <t>4-perf</t>
  </si>
  <si>
    <t>Academy</t>
  </si>
  <si>
    <t>35mm Super 35 4-perf</t>
  </si>
  <si>
    <t>1.33:1</t>
  </si>
  <si>
    <t>Extracción S35 variable</t>
  </si>
  <si>
    <t>VistaVision 8-perf</t>
  </si>
  <si>
    <t>1.51:1</t>
  </si>
  <si>
    <t>8-perf</t>
  </si>
  <si>
    <t>Horizontal 35mm</t>
  </si>
  <si>
    <t>65mm 5-perf</t>
  </si>
  <si>
    <t>2.20:1</t>
  </si>
  <si>
    <t>5-perf</t>
  </si>
  <si>
    <t>Cámara 65mm</t>
  </si>
  <si>
    <t>70mm 5-perf</t>
  </si>
  <si>
    <t>Proyección/copia</t>
  </si>
  <si>
    <t>IMAX 70mm 15-perf</t>
  </si>
  <si>
    <t>1.34:1</t>
  </si>
  <si>
    <t>15-perf</t>
  </si>
  <si>
    <t>Horizontal 15-perf</t>
  </si>
  <si>
    <t>Digital</t>
  </si>
  <si>
    <t>Full Frame 36×24</t>
  </si>
  <si>
    <t>1.50:1</t>
  </si>
  <si>
    <t>N/A</t>
  </si>
  <si>
    <t>Referencia FF</t>
  </si>
  <si>
    <t>Super 35 24.89×18.67</t>
  </si>
  <si>
    <t>Referencia S35</t>
  </si>
  <si>
    <t>herramienta</t>
  </si>
  <si>
    <t>utilidad</t>
  </si>
  <si>
    <t>posible_integracion</t>
  </si>
  <si>
    <t>acceso</t>
  </si>
  <si>
    <t>PHFX shotPrep</t>
  </si>
  <si>
    <t>Formato, extracción, delivery y FOV</t>
  </si>
  <si>
    <t>Planificador de formato/FOV</t>
  </si>
  <si>
    <t>https://phfx.com/tools/shotPrep/</t>
  </si>
  <si>
    <t>Web</t>
  </si>
  <si>
    <t>PHFX formatCompare</t>
  </si>
  <si>
    <t>Crop factors y HFOV</t>
  </si>
  <si>
    <t>Comparador sensor/gate</t>
  </si>
  <si>
    <t>https://phfx.com/tools/formatCompare/</t>
  </si>
  <si>
    <t>PHFX lensPrep</t>
  </si>
  <si>
    <t>Lente y working distance</t>
  </si>
  <si>
    <t>Lente + sensor + sujeto + distancia</t>
  </si>
  <si>
    <t>https://phfx.com/tools/lensPrep/</t>
  </si>
  <si>
    <t>PHFX depthOfFieldCalc</t>
  </si>
  <si>
    <t>Profundidad de campo</t>
  </si>
  <si>
    <t>DOF con cámara/formato/focal/T-stop</t>
  </si>
  <si>
    <t>https://phfx.com/tools/depthOfFieldCalc/</t>
  </si>
  <si>
    <t>PHFX exposureTable</t>
  </si>
  <si>
    <t>Exposición por FPS/shutter/ISO</t>
  </si>
  <si>
    <t>Calculadora de exposición</t>
  </si>
  <si>
    <t>https://phfx.com/tools/exposureTable/</t>
  </si>
  <si>
    <t>PHFX lightBright</t>
  </si>
  <si>
    <t>Intensidad vs distancia</t>
  </si>
  <si>
    <t>Pre-light de iluminación</t>
  </si>
  <si>
    <t>https://phfx.com/tools/lightBright/</t>
  </si>
  <si>
    <t>PHFX filmCalc</t>
  </si>
  <si>
    <t>Cálculo de película</t>
  </si>
  <si>
    <t>Planificación analógica</t>
  </si>
  <si>
    <t>https://phfx.com/tools/filmCalc/</t>
  </si>
  <si>
    <t>PHFX ratioToRes</t>
  </si>
  <si>
    <t>Resoluciones por aspect ratio</t>
  </si>
  <si>
    <t>Delivery/export</t>
  </si>
  <si>
    <t>https://phfx.com/tools/ratioToRes/</t>
  </si>
  <si>
    <t>PHFX lensData</t>
  </si>
  <si>
    <t>Cobertura por lente/sensor</t>
  </si>
  <si>
    <t>Referencia para motor de cobertura</t>
  </si>
  <si>
    <t>https://phfx.com/tools/lensData/</t>
  </si>
  <si>
    <t>Especificaciones de lentes</t>
  </si>
  <si>
    <t>Fuente principal de ópticas</t>
  </si>
  <si>
    <t>Cinematography.tools</t>
  </si>
  <si>
    <t>Calculadoras FOV, DOF, hiperfocal y fórmulas cinematográficas</t>
  </si>
  <si>
    <t>Motor técnico interno: FOV/DOF/hiperfocal</t>
  </si>
  <si>
    <t>https://cinematography.tools/</t>
  </si>
  <si>
    <t>Web pública; no asumir API</t>
  </si>
  <si>
    <t>metodología/cálculos; implementar fórmulas propias</t>
  </si>
  <si>
    <t>CineD Camera Database</t>
  </si>
  <si>
    <t>Modos de grabación, resolución, FPS, codec, tiempos y comparativas de cámaras</t>
  </si>
  <si>
    <t>Base de datos de cámaras + validación</t>
  </si>
  <si>
    <t>https://www.cined.com/camera-database/</t>
  </si>
  <si>
    <t>Web pública</t>
  </si>
  <si>
    <t>fuente secundaria; contrastar datos críticos con fabricante</t>
  </si>
  <si>
    <t>Datos técnicos de ópticas cine/foto, primes/zooms, esféricas/anamórficas</t>
  </si>
  <si>
    <t>Base de datos de lentes</t>
  </si>
  <si>
    <t>fichas de lentes + contraste</t>
  </si>
  <si>
    <t>Cámara + modo + lente + círculo de imagen + crop/FOV</t>
  </si>
  <si>
    <t>Comprobador de compatibilidad</t>
  </si>
  <si>
    <t>https://www.cined.com/lens-coverage-tool/</t>
  </si>
  <si>
    <t>referencia metodológica; no asumir integración/API</t>
  </si>
  <si>
    <t>CVP Camera/Lens Coverage</t>
  </si>
  <si>
    <t>Cobertura, comparación de sensores, FOV, equivalencia de focal y matching A/B</t>
  </si>
  <si>
    <t>Comparador cámara/lente A-B</t>
  </si>
  <si>
    <t>https://cvp.com/tools/cameralens</t>
  </si>
  <si>
    <t>Web pública / iframe</t>
  </si>
  <si>
    <t>referencia visual y validación cruzada</t>
  </si>
  <si>
    <t>ARRI Photometric Data</t>
  </si>
  <si>
    <t>Fotometría de luminarias: intensidad, distribución, beam/field y datos por accesorio</t>
  </si>
  <si>
    <t>Motor de pre-light/fotometría</t>
  </si>
  <si>
    <t>https://www.arri.com/en/lighting/lighting-tools/photometric-data</t>
  </si>
  <si>
    <t>Web oficial</t>
  </si>
  <si>
    <t>fuente primaria para luminarias ARRI; revisar condiciones de medición</t>
  </si>
  <si>
    <t>LEE Filters</t>
  </si>
  <si>
    <t>Filtros de iluminación, transmisión y familias de corrección/difusión</t>
  </si>
  <si>
    <t>Calculadora de filtros/transmisión</t>
  </si>
  <si>
    <t>https://leefilters.com/lighting/</t>
  </si>
  <si>
    <t>fuente primaria de filtros; datos dependen del producto</t>
  </si>
  <si>
    <t>Kodak Motion Picture Film</t>
  </si>
  <si>
    <t>Stocks de película, gauges, emulsiones y fichas técnicas</t>
  </si>
  <si>
    <t>Planificador analógico</t>
  </si>
  <si>
    <t>fuente primaria para stocks Kodak</t>
  </si>
  <si>
    <t>bloque</t>
  </si>
  <si>
    <t>dato</t>
  </si>
  <si>
    <t>se relaciona con</t>
  </si>
  <si>
    <t>qué permite calcular/decidir</t>
  </si>
  <si>
    <t>por qué es importante</t>
  </si>
  <si>
    <t>nivel de dependencia</t>
  </si>
  <si>
    <t>sensor: ancho, alto, diagonal, resolución</t>
  </si>
  <si>
    <t>formato, aspect ratio, lente</t>
  </si>
  <si>
    <t>área de imagen, crop, FOV, cobertura, resolución útil</t>
  </si>
  <si>
    <t>Define qué parte de la imagen registra realmente la cámara</t>
  </si>
  <si>
    <t>Crítico</t>
  </si>
  <si>
    <t>gate / modo de sensor</t>
  </si>
  <si>
    <t>sensor, aspect ratio, lente, FPS</t>
  </si>
  <si>
    <t>área activa, crop, FOV, lectura</t>
  </si>
  <si>
    <t>Un mismo sensor puede comportarse como varios formatos</t>
  </si>
  <si>
    <t>FPS / shutter</t>
  </si>
  <si>
    <t>modo de grabación, exposición, luz</t>
  </si>
  <si>
    <t>tiempo de exposición, motion blur, necesidad de luz</t>
  </si>
  <si>
    <t>Afecta exposición y movimiento</t>
  </si>
  <si>
    <t>Alto</t>
  </si>
  <si>
    <t>ISO base / dual native ISO</t>
  </si>
  <si>
    <t>modo, iluminación, exposición</t>
  </si>
  <si>
    <t>rango de exposición y elección de luz</t>
  </si>
  <si>
    <t>Evita elegir ISO sin conocer el comportamiento real del modo</t>
  </si>
  <si>
    <t>Formato</t>
  </si>
  <si>
    <t>aspect ratio</t>
  </si>
  <si>
    <t>gate, sensor, resolución, lente</t>
  </si>
  <si>
    <t>recorte vertical/horizontal, resolución final, FOV</t>
  </si>
  <si>
    <t>El aspect ratio puede recortar el sensor y cambiar el encuadre</t>
  </si>
  <si>
    <t>perforaciones / gate de película</t>
  </si>
  <si>
    <t>película, cámara, área de imagen, lente</t>
  </si>
  <si>
    <t>frame real, FOV, cobertura, consumo de negativo</t>
  </si>
  <si>
    <t>En analógico determina el área expuesta y el consumo</t>
  </si>
  <si>
    <t>focal</t>
  </si>
  <si>
    <t>sensor/gate, distancia, plano</t>
  </si>
  <si>
    <t>FOV, magnificación, distancia de cámara</t>
  </si>
  <si>
    <t>Una focal no tiene un ángulo de visión universal</t>
  </si>
  <si>
    <t>círculo de imagen</t>
  </si>
  <si>
    <t>sensor/gate, aspect ratio</t>
  </si>
  <si>
    <t>si cubre o viñetea</t>
  </si>
  <si>
    <t>Permite descartar combinaciones incompatibles</t>
  </si>
  <si>
    <t>close focus / foco mínimo</t>
  </si>
  <si>
    <t>focal, sensor, sujeto</t>
  </si>
  <si>
    <t>distancia mínima, macro/primer plano</t>
  </si>
  <si>
    <t>Determina si una lente sirve para el plano previsto</t>
  </si>
  <si>
    <t>T-stop / apertura</t>
  </si>
  <si>
    <t>ISO, FPS, shutter, luz</t>
  </si>
  <si>
    <t>exposición, profundidad de campo</t>
  </si>
  <si>
    <t>Conecta la óptica con la iluminación necesaria</t>
  </si>
  <si>
    <t>anamorfosis / squeeze</t>
  </si>
  <si>
    <t>sensor, aspect ratio, desanamorfización</t>
  </si>
  <si>
    <t>FOV horizontal, imagen final</t>
  </si>
  <si>
    <t>Una lente anamórfica altera la geometría efectiva</t>
  </si>
  <si>
    <t>montura / flange</t>
  </si>
  <si>
    <t>cámara, adaptadores</t>
  </si>
  <si>
    <t>compatibilidad mecánica</t>
  </si>
  <si>
    <t>Una óptica puede ser ópticamente válida pero físicamente incompatible</t>
  </si>
  <si>
    <t>potencia / fotometría</t>
  </si>
  <si>
    <t>ISO, T-stop, shutter, distancia</t>
  </si>
  <si>
    <t>nivel de exposición esperado</t>
  </si>
  <si>
    <t>Permite comprobar si el paquete de luces es suficiente</t>
  </si>
  <si>
    <t>CCT / espectro / CRI / TLCI / SSI</t>
  </si>
  <si>
    <t>cámara, película, filtros, color</t>
  </si>
  <si>
    <t>compatibilidad cromática y mezcla de fuentes</t>
  </si>
  <si>
    <t>Dos fuentes a igual Kelvin no necesariamente se registran igual</t>
  </si>
  <si>
    <t>ISO nominal</t>
  </si>
  <si>
    <t>luz, apertura, shutter, push/pull</t>
  </si>
  <si>
    <t>exposición y cantidad de luz</t>
  </si>
  <si>
    <t>Conecta stock con el resto del sistema de captura</t>
  </si>
  <si>
    <t>balance de color</t>
  </si>
  <si>
    <t>CCT, filtros, iluminación</t>
  </si>
  <si>
    <t>corrección de color esperada</t>
  </si>
  <si>
    <t>Permite decidir tungsteno/daylight y filtrado</t>
  </si>
  <si>
    <t>formato / perforación</t>
  </si>
  <si>
    <t>cámara, gate, lente</t>
  </si>
  <si>
    <t>área expuesta, FOV, consumo</t>
  </si>
  <si>
    <t>La misma película puede existir en varios formatos</t>
  </si>
  <si>
    <t>Escena</t>
  </si>
  <si>
    <t>distancia cámara-sujeto</t>
  </si>
  <si>
    <t>focal, sensor, encuadre</t>
  </si>
  <si>
    <t>FOV y perspectiva</t>
  </si>
  <si>
    <t>La perspectiva depende principalmente de la posición de cámara</t>
  </si>
  <si>
    <t>tamaño de sujeto / plano</t>
  </si>
  <si>
    <t>focal, distancia, sensor</t>
  </si>
  <si>
    <t>encuadre y cobertura</t>
  </si>
  <si>
    <t>Permite buscar material a partir del plano deseado</t>
  </si>
  <si>
    <t>Resultado</t>
  </si>
  <si>
    <t>resolución / delivery</t>
  </si>
  <si>
    <t>aspect ratio, sensor/gate</t>
  </si>
  <si>
    <t>resolución útil y crop</t>
  </si>
  <si>
    <t>Evita diseñar una captura que luego no aprovecha el formato final</t>
  </si>
  <si>
    <t>fotometría: lux/fc + distancia + beam/field + accesorio</t>
  </si>
  <si>
    <t>luminaria, modificador, exposición, distancia</t>
  </si>
  <si>
    <t>lux sobre sujeto, cobertura de haz, diafragma estimado, potencia requerida</t>
  </si>
  <si>
    <t>Los vatios por sí solos no describen la luz que llega al sujeto</t>
  </si>
  <si>
    <t>potencia real y modos de consumo</t>
  </si>
  <si>
    <t>luces, cargadores, cámara, generador, horas</t>
  </si>
  <si>
    <t>kW pico, consumo energético, autonomía, margen</t>
  </si>
  <si>
    <t>Permite construir un paquete eléctrico viable</t>
  </si>
  <si>
    <t>image circle</t>
  </si>
  <si>
    <t>lente + gate/modo</t>
  </si>
  <si>
    <t>cobertura real + margen</t>
  </si>
  <si>
    <t>Evita inferir cobertura solo por S35/FF</t>
  </si>
  <si>
    <t>distortion / breathing / transmission</t>
  </si>
  <si>
    <t>lente + focal + distancia</t>
  </si>
  <si>
    <t>riesgo visual y comportamiento en foco</t>
  </si>
  <si>
    <t>La compatibilidad geométrica no describe por sí sola el look</t>
  </si>
  <si>
    <t>Medio</t>
  </si>
  <si>
    <t>Datos</t>
  </si>
  <si>
    <t>fuente + fecha + confianza</t>
  </si>
  <si>
    <t>cada campo técnico</t>
  </si>
  <si>
    <t>trazabilidad, auditoría, alertas de revisión</t>
  </si>
  <si>
    <t>Un dato sin procedencia no debe tener el mismo peso que uno verificado</t>
  </si>
  <si>
    <t>Decisión</t>
  </si>
  <si>
    <t>configuración A/B</t>
  </si>
  <si>
    <t>cámara + modo + lente + distancia</t>
  </si>
  <si>
    <t>matching de focal/FOV y consecuencias del cambio</t>
  </si>
  <si>
    <t>Permite adaptar paquetes sin perder intención de plano</t>
  </si>
  <si>
    <t>paso</t>
  </si>
  <si>
    <t>pregunta</t>
  </si>
  <si>
    <t>datos necesarios</t>
  </si>
  <si>
    <t>resultado</t>
  </si>
  <si>
    <t>si falla</t>
  </si>
  <si>
    <t>¿Qué formato final necesito?</t>
  </si>
  <si>
    <t>aspect ratio, resolución, plataforma/delivery</t>
  </si>
  <si>
    <t>marco objetivo</t>
  </si>
  <si>
    <t>revisar crop/gate</t>
  </si>
  <si>
    <t>Crítica</t>
  </si>
  <si>
    <t>¿Qué formato de captura usaré?</t>
  </si>
  <si>
    <t>digital/16/35/65/IMAX, gate, perforaciones</t>
  </si>
  <si>
    <t>área de imagen real</t>
  </si>
  <si>
    <t>revisar cámara/película</t>
  </si>
  <si>
    <t>¿Qué cámara/gate registra ese área?</t>
  </si>
  <si>
    <t>sensor, modo, resolución, FPS, crop</t>
  </si>
  <si>
    <t>sensor activo</t>
  </si>
  <si>
    <t>buscar otro modo/cámara</t>
  </si>
  <si>
    <t>¿Qué focal necesito para el plano?</t>
  </si>
  <si>
    <t>sensor/gate, distancia, tamaño sujeto</t>
  </si>
  <si>
    <t>FOV y encuadre</t>
  </si>
  <si>
    <t>cambiar focal o posición</t>
  </si>
  <si>
    <t>¿La lente cubre el área?</t>
  </si>
  <si>
    <t>círculo de imagen + área del gate</t>
  </si>
  <si>
    <t>compatibilidad de cobertura</t>
  </si>
  <si>
    <t>viñeteo / cambiar lente</t>
  </si>
  <si>
    <t>¿La lente enfoca donde necesito?</t>
  </si>
  <si>
    <t>close focus, focal, sujeto</t>
  </si>
  <si>
    <t>distancia mínima de foco</t>
  </si>
  <si>
    <t>usar dioptría/macro/otra lente</t>
  </si>
  <si>
    <t>¿Qué apertura necesito?</t>
  </si>
  <si>
    <t>T-stop, DOF, look</t>
  </si>
  <si>
    <t>profundidad de campo</t>
  </si>
  <si>
    <t>cambiar lente/ND/posición</t>
  </si>
  <si>
    <t>¿Tengo ISO base adecuado?</t>
  </si>
  <si>
    <t>ISO base por modo</t>
  </si>
  <si>
    <t>sensibilidad de trabajo</t>
  </si>
  <si>
    <t>cambiar modo/ISO</t>
  </si>
  <si>
    <t>¿Tengo luz suficiente?</t>
  </si>
  <si>
    <t>T-stop, ISO, shutter, FPS, fotometría</t>
  </si>
  <si>
    <t>nivel de exposición</t>
  </si>
  <si>
    <t>aumentar luz/abrir diafragma/subir ISO</t>
  </si>
  <si>
    <t>¿La luz es cromáticamente compatible?</t>
  </si>
  <si>
    <t>CCT, espectro, CRI/TLCI/SSI</t>
  </si>
  <si>
    <t>mezcla de fuentes</t>
  </si>
  <si>
    <t>corregir/filtrar/cambiar fuente</t>
  </si>
  <si>
    <t>¿El sistema completo es físicamente compatible?</t>
  </si>
  <si>
    <t>mount, flange, accesorios</t>
  </si>
  <si>
    <t>paquete utilizable</t>
  </si>
  <si>
    <t>adaptar o sustituir</t>
  </si>
  <si>
    <t>¿El resultado conserva lo buscado?</t>
  </si>
  <si>
    <t>FOV, DOF, movimiento, color, textura</t>
  </si>
  <si>
    <t>validación final</t>
  </si>
  <si>
    <t>iterar selección</t>
  </si>
  <si>
    <t>(8)</t>
  </si>
  <si>
    <t>¿La exposición es viable con la luz disponible?</t>
  </si>
  <si>
    <t>ISO, T-stop, FPS, shutter, lux/footcandles</t>
  </si>
  <si>
    <t>luz requerida / margen de exposición</t>
  </si>
  <si>
    <t>revisar luminaria, distancia, modificación o ISO</t>
  </si>
  <si>
    <t>(9)</t>
  </si>
  <si>
    <t>¿La luminaria produce la calidad y cobertura deseadas?</t>
  </si>
  <si>
    <t>tipo de fuente, beam/field, accesorio, distancia</t>
  </si>
  <si>
    <t>candidatos de luminaria + modificadores</t>
  </si>
  <si>
    <t>cambiar fuente/accesorio/distancia</t>
  </si>
  <si>
    <t>(10)</t>
  </si>
  <si>
    <t>¿El paquete cabe en las restricciones de energía?</t>
  </si>
  <si>
    <t>potencia real, horas, generador/baterías, margen</t>
  </si>
  <si>
    <t>kW pico + consumo estimado</t>
  </si>
  <si>
    <t>reducir/cambiar equipo o energía</t>
  </si>
  <si>
    <t>(11)</t>
  </si>
  <si>
    <t>¿Los datos utilizados son fiables?</t>
  </si>
  <si>
    <t>fuente, fecha, estado, conflicto</t>
  </si>
  <si>
    <t>semáforo de confianza + tareas de verificación</t>
  </si>
  <si>
    <t>no bloquear decisión crítica con dato dudoso</t>
  </si>
  <si>
    <t>(12)</t>
  </si>
  <si>
    <t>¿Quiero guardar esta configuración para repetirla?</t>
  </si>
  <si>
    <t>todos los parámetros del plano</t>
  </si>
  <si>
    <t>Shot Config / preset / lista de material</t>
  </si>
  <si>
    <t>guardar como configuración reutilizable</t>
  </si>
  <si>
    <t>ámbito</t>
  </si>
  <si>
    <t>datos que aporta</t>
  </si>
  <si>
    <t>fiabilidad orientativa</t>
  </si>
  <si>
    <t>uso recomendado</t>
  </si>
  <si>
    <t>riesgo/limitación</t>
  </si>
  <si>
    <t>fecha_revision</t>
  </si>
  <si>
    <t>Base de datos web</t>
  </si>
  <si>
    <t>focal, apertura, close focus, círculo de imagen, montura, dimensiones, peso, cobertura</t>
  </si>
  <si>
    <t>Alta para fichas publicadas</t>
  </si>
  <si>
    <t>Fuente principal + contraste</t>
  </si>
  <si>
    <t>Variantes/generaciones pueden compartir nombre</t>
  </si>
  <si>
    <t>VFX Camera Database</t>
  </si>
  <si>
    <t>Cámaras/sensores</t>
  </si>
  <si>
    <t>formatos, sensores, modos y datos de cámara</t>
  </si>
  <si>
    <t>Alta / revisar ficha</t>
  </si>
  <si>
    <t>Cámaras y modos</t>
  </si>
  <si>
    <t>Los modos pueden variar por firmware</t>
  </si>
  <si>
    <t>Sensors Sizes</t>
  </si>
  <si>
    <t>Sensores/formats</t>
  </si>
  <si>
    <t>dimensiones y comparativas de sensores</t>
  </si>
  <si>
    <t>Alta como referencia dimensional</t>
  </si>
  <si>
    <t>Contraste de tamaño</t>
  </si>
  <si>
    <t>No sustituye documentación del fabricante</t>
  </si>
  <si>
    <t>Repositorio GitHub</t>
  </si>
  <si>
    <t>Sensores</t>
  </si>
  <si>
    <t>dimensiones de sensores/modelos</t>
  </si>
  <si>
    <t>Alta como fuente técnica secundaria</t>
  </si>
  <si>
    <t>Código abierto</t>
  </si>
  <si>
    <t>Cross-check</t>
  </si>
  <si>
    <t>Cobertura depende de contribuciones</t>
  </si>
  <si>
    <t>PHFX Tools</t>
  </si>
  <si>
    <t>Herramientas web</t>
  </si>
  <si>
    <t>Formato/lentes/exposición/iluminación/película</t>
  </si>
  <si>
    <t>FOV, lens data, DOF, exposure, film, formatos, luz</t>
  </si>
  <si>
    <t>Alta como referencia metodológica</t>
  </si>
  <si>
    <t>Web pública; API no asumida</t>
  </si>
  <si>
    <t>Diseño de calculadoras y validación cruzada</t>
  </si>
  <si>
    <t>No asumir licencia de reutilización/scraping/API</t>
  </si>
  <si>
    <t>Fabricantes</t>
  </si>
  <si>
    <t>Documentación oficial</t>
  </si>
  <si>
    <t>Cámaras/lentes/luces/película</t>
  </si>
  <si>
    <t>especificaciones, manuales, curvas, modos, fotometría</t>
  </si>
  <si>
    <t>Muy alta cuando existe ficha/manual</t>
  </si>
  <si>
    <t>Fuente primaria para dato crítico</t>
  </si>
  <si>
    <t>Puede faltar información histórica</t>
  </si>
  <si>
    <t>LUMOlist / Lumolist</t>
  </si>
  <si>
    <t>Base/listado de material</t>
  </si>
  <si>
    <t>Material de rodaje</t>
  </si>
  <si>
    <t>catálogo y referencias de equipos</t>
  </si>
  <si>
    <t>Media/Alta según ficha</t>
  </si>
  <si>
    <t>Descubrimiento de modelos</t>
  </si>
  <si>
    <t>Debe contrastarse con fabricante</t>
  </si>
  <si>
    <t>Calculadoras web</t>
  </si>
  <si>
    <t>FOV/DOF/hiperfocal/exposición</t>
  </si>
  <si>
    <t>Fórmulas y resultados de referencia</t>
  </si>
  <si>
    <t>Alta para metodología; contrastar</t>
  </si>
  <si>
    <t>Diseño de motor técnico</t>
  </si>
  <si>
    <t>No asumir API/licencia de reutilización</t>
  </si>
  <si>
    <t>Cámaras/modos</t>
  </si>
  <si>
    <t>modos, resoluciones, FPS, codecs, recording times, tests</t>
  </si>
  <si>
    <t>Alta para datos publicados</t>
  </si>
  <si>
    <t>Variantes/firmware pueden cambiar capacidades</t>
  </si>
  <si>
    <t>focal, apertura, tipo, datos físicos y ópticos</t>
  </si>
  <si>
    <t>Ópticas + contraste</t>
  </si>
  <si>
    <t>Variantes/generaciones pueden compartir familia</t>
  </si>
  <si>
    <t>Herramienta web</t>
  </si>
  <si>
    <t>Cobertura cámara↔lente</t>
  </si>
  <si>
    <t>sensor/gate, image circle, crop/FOV, reductores/expansores</t>
  </si>
  <si>
    <t>Alta como referencia</t>
  </si>
  <si>
    <t>Validación de cobertura</t>
  </si>
  <si>
    <t>No sustituye test físico</t>
  </si>
  <si>
    <t>Cámara/lente</t>
  </si>
  <si>
    <t>cobertura, FOV, sensores, equivalencias, matching A/B</t>
  </si>
  <si>
    <t>Cross-check y diseño UX</t>
  </si>
  <si>
    <t>CVP advierte que no sustituye tests físicos</t>
  </si>
  <si>
    <t>Fabricante / fotometría</t>
  </si>
  <si>
    <t>intensidad, distribución, beam/field, accesorios</t>
  </si>
  <si>
    <t>Muy alta para ARRI</t>
  </si>
  <si>
    <t>Fotometría primaria</t>
  </si>
  <si>
    <t>Condiciones de medición y accesorios deben quedar registradas</t>
  </si>
  <si>
    <t>Filtros</t>
  </si>
  <si>
    <t>familias, transmisión y aplicaciones</t>
  </si>
  <si>
    <t>Muy alta para producto oficial</t>
  </si>
  <si>
    <t>Filtros/difusión/CTO/CTB</t>
  </si>
  <si>
    <t>Verificar ficha concreta</t>
  </si>
  <si>
    <t>stocks, gauges, emulsiones y fichas</t>
  </si>
  <si>
    <t>Muy alta para Kodak</t>
  </si>
  <si>
    <t>Película/analógico</t>
  </si>
  <si>
    <t>Separar stock, gauge y perforación</t>
  </si>
  <si>
    <t>id</t>
  </si>
  <si>
    <t>campo</t>
  </si>
  <si>
    <t>registro/modelo</t>
  </si>
  <si>
    <t>dato actual</t>
  </si>
  <si>
    <t>problema o duda</t>
  </si>
  <si>
    <t>fuente a contrastar</t>
  </si>
  <si>
    <t>severidad</t>
  </si>
  <si>
    <t>última revisión</t>
  </si>
  <si>
    <t>DQ-001</t>
  </si>
  <si>
    <t>ZEISS Master Prime</t>
  </si>
  <si>
    <t>Cobertura no debe inferirse solo por nombre de familia; depende de generación/focal</t>
  </si>
  <si>
    <t>ARRI/ZEISS + CineD</t>
  </si>
  <si>
    <t>Confirmar círculo de imagen y área cubierta por focal</t>
  </si>
  <si>
    <t>DQ-002</t>
  </si>
  <si>
    <t>close_focus</t>
  </si>
  <si>
    <t>varios vacíos</t>
  </si>
  <si>
    <t>Faltan datos por focal</t>
  </si>
  <si>
    <t>CineD + fabricante</t>
  </si>
  <si>
    <t>Completar por focal</t>
  </si>
  <si>
    <t>DQ-003</t>
  </si>
  <si>
    <t>máximo foco</t>
  </si>
  <si>
    <t>familias de cine</t>
  </si>
  <si>
    <t>vacío</t>
  </si>
  <si>
    <t>El máximo foco normalmente es infinito; conviene normalizar el campo</t>
  </si>
  <si>
    <t>Normalizar como ∞ / infinito cuando corresponda</t>
  </si>
  <si>
    <t>Baja</t>
  </si>
  <si>
    <t>DQ-004</t>
  </si>
  <si>
    <t>stocks Kodak</t>
  </si>
  <si>
    <t>BH/KS / según formato</t>
  </si>
  <si>
    <t>La perforación depende de emulsión y formato; no debe quedar como atributo único del stock</t>
  </si>
  <si>
    <t>Kodak datasheets</t>
  </si>
  <si>
    <t>DQ-005</t>
  </si>
  <si>
    <t>ISO base</t>
  </si>
  <si>
    <t>modos de cámara</t>
  </si>
  <si>
    <t>por completar</t>
  </si>
  <si>
    <t>ISO base/dual native depende del modo, gamma y resolución en muchas cámaras</t>
  </si>
  <si>
    <t>Manual/ficha fabricante</t>
  </si>
  <si>
    <t>Relacionar ISO con modo de grabación</t>
  </si>
  <si>
    <t>DQ-006</t>
  </si>
  <si>
    <t>Modos_Cámara</t>
  </si>
  <si>
    <t>crop</t>
  </si>
  <si>
    <t>aspect ratios</t>
  </si>
  <si>
    <t>El crop debe calcularse desde área activa, no desde un factor genérico</t>
  </si>
  <si>
    <t>Fabricante + VFXCamDB</t>
  </si>
  <si>
    <t>Crear tabla sensor→gate→AR→área activa→crop</t>
  </si>
  <si>
    <t>DQ-007</t>
  </si>
  <si>
    <t>nuevas luces</t>
  </si>
  <si>
    <t>No completar métricas de color sin fuente fiable</t>
  </si>
  <si>
    <t>Fabricante / mediciones</t>
  </si>
  <si>
    <t>Añadir valores y condiciones de medición</t>
  </si>
  <si>
    <t>DQ-008</t>
  </si>
  <si>
    <t>No se ha asumido API pública</t>
  </si>
  <si>
    <t>Usar como referencia y estudiar condiciones antes de automatizar</t>
  </si>
  <si>
    <t>DQ-F1-001</t>
  </si>
  <si>
    <t>100</t>
  </si>
  <si>
    <t>Página de producto ARRI: 90 fps; manual oficial: 100 fps</t>
  </si>
  <si>
    <t>ARRI product page + manual</t>
  </si>
  <si>
    <t>Contradictorio</t>
  </si>
  <si>
    <t>Resolver versión/condición y no usar max_fps hasta aclaración</t>
  </si>
  <si>
    <t>DQ-F1-002</t>
  </si>
  <si>
    <t>sensor_ancho_mm / sensor_alto_mm</t>
  </si>
  <si>
    <t>Blackmagic PYXIS 6K L</t>
  </si>
  <si>
    <t>23.1 × 12.99</t>
  </si>
  <si>
    <t>Ficha oficial PYXIS 6K L: 36 × 24 mm</t>
  </si>
  <si>
    <t>Corregido</t>
  </si>
  <si>
    <t>Actualizar dependencia de catálogo y revisar diagonal derivada/no derivada</t>
  </si>
  <si>
    <t>DQ-F1-003</t>
  </si>
  <si>
    <t>Blackmagic PYXIS 6K</t>
  </si>
  <si>
    <t>W-BOX-04</t>
  </si>
  <si>
    <t>W-BOX-04 corresponde a variante PL; la fila es L</t>
  </si>
  <si>
    <t>Usar W-BOX-09 para variante L</t>
  </si>
  <si>
    <t>DQ-F1-004</t>
  </si>
  <si>
    <t>especificaciones Sony FX6</t>
  </si>
  <si>
    <t>Sony FX6</t>
  </si>
  <si>
    <t>35.6 × 23.8 / E</t>
  </si>
  <si>
    <t>Fuente oficial registrada pero no recuperada en fase 1</t>
  </si>
  <si>
    <t>Verificar ficha/manual oficial antes de usar en cálculos</t>
  </si>
  <si>
    <t>DQ-F1-005</t>
  </si>
  <si>
    <t>EASTMAN DOUBLE-X</t>
  </si>
  <si>
    <t>250</t>
  </si>
  <si>
    <t>No se ha contrastado en ficha específica durante Fase 1</t>
  </si>
  <si>
    <t>Abrir ficha técnica específica</t>
  </si>
  <si>
    <t>DQ-F1-006</t>
  </si>
  <si>
    <t>TRI-X 7266</t>
  </si>
  <si>
    <t>200</t>
  </si>
  <si>
    <t>función</t>
  </si>
  <si>
    <t>entradas</t>
  </si>
  <si>
    <t>salidas</t>
  </si>
  <si>
    <t>valor para IRIS DP</t>
  </si>
  <si>
    <t>dependencias</t>
  </si>
  <si>
    <t>estado_estudio</t>
  </si>
  <si>
    <t>Calculadora FOV</t>
  </si>
  <si>
    <t>cámara, gate, focal, AR, squeeze</t>
  </si>
  <si>
    <t>HFOV/VFOV/DFOV</t>
  </si>
  <si>
    <t>Elegir focal con precisión</t>
  </si>
  <si>
    <t>sensor + lente</t>
  </si>
  <si>
    <t>Diseño</t>
  </si>
  <si>
    <t>Transversal</t>
  </si>
  <si>
    <t>EN ESTUDIO</t>
  </si>
  <si>
    <t>Comprobador de cobertura</t>
  </si>
  <si>
    <t>círculo de imagen + área activa</t>
  </si>
  <si>
    <t>cubre/no cubre + margen</t>
  </si>
  <si>
    <t>Evitar viñeteo</t>
  </si>
  <si>
    <t>lens data + sensor data</t>
  </si>
  <si>
    <t>Calculadora de crop por AR</t>
  </si>
  <si>
    <t>sensor/gate + AR</t>
  </si>
  <si>
    <t>área activa + crop</t>
  </si>
  <si>
    <t>Saber cuánto sensor se pierde</t>
  </si>
  <si>
    <t>camera modes</t>
  </si>
  <si>
    <t>Selector de lente por plano</t>
  </si>
  <si>
    <t>plano + distancia + sujeto + cámara</t>
  </si>
  <si>
    <t>focales compatibles</t>
  </si>
  <si>
    <t>Buscar óptica desde la intención fotográfica</t>
  </si>
  <si>
    <t>FOV</t>
  </si>
  <si>
    <t>Calculadora DOF</t>
  </si>
  <si>
    <t>focal, T-stop, distancia, CoC</t>
  </si>
  <si>
    <t>near/far/DOF</t>
  </si>
  <si>
    <t>Control de foco y look</t>
  </si>
  <si>
    <t>sensor + lens</t>
  </si>
  <si>
    <t>ISO, T-stop, shutter, FPS, EV</t>
  </si>
  <si>
    <t>EV / stops / luz requerida</t>
  </si>
  <si>
    <t>Planificar exposición</t>
  </si>
  <si>
    <t>camera + light</t>
  </si>
  <si>
    <t>Selector de luz</t>
  </si>
  <si>
    <t>T-stop, ISO, distancia, modificador</t>
  </si>
  <si>
    <t>potencia/fotometría requerida</t>
  </si>
  <si>
    <t>Construir paquete de iluminación</t>
  </si>
  <si>
    <t>photometrics</t>
  </si>
  <si>
    <t>Comparador de cámaras</t>
  </si>
  <si>
    <t>sensor, modes, ISO, codec, FPS</t>
  </si>
  <si>
    <t>tabla de diferencias</t>
  </si>
  <si>
    <t>Elegir cámara por proyecto</t>
  </si>
  <si>
    <t>camera database</t>
  </si>
  <si>
    <t>Comparador analógico/digital</t>
  </si>
  <si>
    <t>gauge, stock, sensor, lens</t>
  </si>
  <si>
    <t>área, FOV, DOF, exposición</t>
  </si>
  <si>
    <t>Traducir entre formatos</t>
  </si>
  <si>
    <t>film + camera + lens</t>
  </si>
  <si>
    <t>Presupuesto técnico</t>
  </si>
  <si>
    <t>material + alquiler + días</t>
  </si>
  <si>
    <t>coste estimado</t>
  </si>
  <si>
    <t>Elegir sistema dentro de presupuesto</t>
  </si>
  <si>
    <t>catálogo/precios</t>
  </si>
  <si>
    <t>Futuro</t>
  </si>
  <si>
    <t>Compatibilidad de rig</t>
  </si>
  <si>
    <t>cámara, lens, accessories</t>
  </si>
  <si>
    <t>alertas de incompatibilidad</t>
  </si>
  <si>
    <t>Evitar problemas de rodaje</t>
  </si>
  <si>
    <t>mount/accessory DB</t>
  </si>
  <si>
    <t>Asistente de paquete</t>
  </si>
  <si>
    <t>look + formato + restricciones</t>
  </si>
  <si>
    <t>propuesta de cámara/lentes/luz</t>
  </si>
  <si>
    <t>Preproducción rápida</t>
  </si>
  <si>
    <t>toda la base</t>
  </si>
  <si>
    <t>Historial de fuentes</t>
  </si>
  <si>
    <t>registro + fuente + versión</t>
  </si>
  <si>
    <t>trazabilidad</t>
  </si>
  <si>
    <t>Auditar cualquier dato</t>
  </si>
  <si>
    <t>Fuentes_Informacion</t>
  </si>
  <si>
    <t>Incluido</t>
  </si>
  <si>
    <t>Motor Técnico / Technical Decision Engine</t>
  </si>
  <si>
    <t>proyecto, cámara, modo, lente, distancia, sujeto, T-stop, FPS, shutter, ISO, luz</t>
  </si>
  <si>
    <t>compatibilidad + FOV + DOF + exposición + luz requerida + alertas</t>
  </si>
  <si>
    <t>Convierte la base de datos en herramienta de decisión de DP</t>
  </si>
  <si>
    <t>cámaras + modos + lentes + fotometría + fórmulas</t>
  </si>
  <si>
    <t>Propuesta v1.5</t>
  </si>
  <si>
    <t>Comparador Cámara A/B</t>
  </si>
  <si>
    <t>cámara A, modo A, cámara B, modo B</t>
  </si>
  <si>
    <t>focal equivalente, crop, FOV, área activa, resolución y diferencias</t>
  </si>
  <si>
    <t>Mantener encuadre al cambiar cámara</t>
  </si>
  <si>
    <t>sensor + modos + FOV</t>
  </si>
  <si>
    <t>Selector de lente por intención de plano</t>
  </si>
  <si>
    <t>tipo de plano, tamaño sujeto, distancia disponible, cámara</t>
  </si>
  <si>
    <t>focales recomendadas + alternativas</t>
  </si>
  <si>
    <t>Elegir óptica desde el plano y no solo desde catálogo</t>
  </si>
  <si>
    <t>FOV + lens DB</t>
  </si>
  <si>
    <t>Mapa de cobertura visual</t>
  </si>
  <si>
    <t>cámara/gate + lente/focal + image circle</t>
  </si>
  <si>
    <t>diagrama sensor/círculo + margen de cobertura</t>
  </si>
  <si>
    <t>Detectar viñeteo antes de rodaje</t>
  </si>
  <si>
    <t>image circle + gate</t>
  </si>
  <si>
    <t>Pre-Light Planner</t>
  </si>
  <si>
    <t>T-stop, ISO, FPS, shutter, distancia, luminaria, accesorio</t>
  </si>
  <si>
    <t>lux/footcandles objetivo + luminarias candidatas + margen</t>
  </si>
  <si>
    <t>Planificar iluminación antes de llegar al set</t>
  </si>
  <si>
    <t>photometrics + exposición</t>
  </si>
  <si>
    <t>Presupuesto de potencia del rodaje</t>
  </si>
  <si>
    <t>luces, cargadores, cámara, monitor, accesorios, horas</t>
  </si>
  <si>
    <t>W/kW, pico, consumo estimado y margen de generador</t>
  </si>
  <si>
    <t>Evitar sobredimensionar o quedarse corto de energía</t>
  </si>
  <si>
    <t>inventario + potencia + tiempo</t>
  </si>
  <si>
    <t>Selector de modificadores</t>
  </si>
  <si>
    <t>luminaria + objetivo de calidad + distancia</t>
  </si>
  <si>
    <t>softbox/lantern/grid/difusión/reflector candidatos</t>
  </si>
  <si>
    <t>Relacionar luminaria con el resultado buscado</t>
  </si>
  <si>
    <t>catálogo de accesorios + fotometría</t>
  </si>
  <si>
    <t>Calculadora anamórfica</t>
  </si>
  <si>
    <t>sensor/gate + focal + squeeze</t>
  </si>
  <si>
    <t>FOV equivalente, resolución horizontal, desqueeze y cobertura</t>
  </si>
  <si>
    <t>Elegir anamórficas y prever el formato final</t>
  </si>
  <si>
    <t>sensor + squeeze + lens</t>
  </si>
  <si>
    <t>Planificador de película</t>
  </si>
  <si>
    <t>stock + gauge + duración + FPS + ratio de descarte</t>
  </si>
  <si>
    <t>rollos, metraje, consumo, coste estimado y margen</t>
  </si>
  <si>
    <t>Preparar rodaje analógico</t>
  </si>
  <si>
    <t>stocks + gauge + fps</t>
  </si>
  <si>
    <t>Ficha de procedencia del dato</t>
  </si>
  <si>
    <t>registro + campo</t>
  </si>
  <si>
    <t>fuente, fecha, nivel de confianza y evidencia</t>
  </si>
  <si>
    <t>Saber por qué IRIS cree un dato</t>
  </si>
  <si>
    <t>Fuentes + Control_Datos</t>
  </si>
  <si>
    <t>Semáforo de confianza</t>
  </si>
  <si>
    <t>campo, fuente, antigüedad, conflicto</t>
  </si>
  <si>
    <t>Alta/Media/Baja + motivo</t>
  </si>
  <si>
    <t>Evitar decisiones basadas en datos dudosos</t>
  </si>
  <si>
    <t>Control_Datos + fuentes</t>
  </si>
  <si>
    <t>Alertas de incompatibilidad</t>
  </si>
  <si>
    <t>combinación cámara/lente/formato/accesorio</t>
  </si>
  <si>
    <t>bloqueos y advertencias explicadas</t>
  </si>
  <si>
    <t>Prevenir errores de alquiler/preparación</t>
  </si>
  <si>
    <t>reglas de compatibilidad</t>
  </si>
  <si>
    <t>Presets de trabajo</t>
  </si>
  <si>
    <t>perfil de rodaje, cámara, lentes, luces, formato</t>
  </si>
  <si>
    <t>configuración reutilizable</t>
  </si>
  <si>
    <t>Acelerar prep de proyectos recurrentes</t>
  </si>
  <si>
    <t>todo el catálogo</t>
  </si>
  <si>
    <t>Kit Builder / Paquete de rodaje</t>
  </si>
  <si>
    <t>cámara + ópticas + luces + soportes + energía + media</t>
  </si>
  <si>
    <t>lista de material, cantidades, peso, potencia y faltantes</t>
  </si>
  <si>
    <t>Pasar del catálogo a una lista de alquiler real</t>
  </si>
  <si>
    <t>todas las categorías</t>
  </si>
  <si>
    <t>Registro de tests</t>
  </si>
  <si>
    <t>cámara/lente/stock/luz + fecha + condiciones + notas</t>
  </si>
  <si>
    <t>resultado visual + valoración + enlaces/imágenes</t>
  </si>
  <si>
    <t>Convertir experiencia personal en conocimiento reutilizable</t>
  </si>
  <si>
    <t>proyecto + material</t>
  </si>
  <si>
    <t>Simulador de cambios</t>
  </si>
  <si>
    <t>cambiar una variable: cámara/lente/ISO/T-stop/FPS/luz</t>
  </si>
  <si>
    <t>diferencia antes/después</t>
  </si>
  <si>
    <t>Entender consecuencias de cada decisión</t>
  </si>
  <si>
    <t>motor técnico</t>
  </si>
  <si>
    <t>Modo aprendizaje</t>
  </si>
  <si>
    <t>concepto + parámetros</t>
  </si>
  <si>
    <t>explicación visual y resultado calculado</t>
  </si>
  <si>
    <t>Usar IRIS también como herramienta formativa</t>
  </si>
  <si>
    <t>motor técnico + documentación</t>
  </si>
  <si>
    <t>Lens Metadata / VFX</t>
  </si>
  <si>
    <t>serial, focal, focus, T-stop, distortion, shading</t>
  </si>
  <si>
    <t>metadata técnico + continuidad</t>
  </si>
  <si>
    <t>Preparar workflow VFX y matching</t>
  </si>
  <si>
    <t>lens DB + protocolos</t>
  </si>
  <si>
    <t>Light Quality Analyzer</t>
  </si>
  <si>
    <t>SSI, TM-30, DUV, CCT, ruido, estabilidad</t>
  </si>
  <si>
    <t>perfil espectral/operativo</t>
  </si>
  <si>
    <t>Comparar calidad real de fuentes</t>
  </si>
  <si>
    <t>mediciones + fabricante</t>
  </si>
  <si>
    <t>Media &amp; Data Planner</t>
  </si>
  <si>
    <t>codec, bitrate, resolución, FPS, horas</t>
  </si>
  <si>
    <t>TB + margen + backups</t>
  </si>
  <si>
    <t>Planificar media y seguridad</t>
  </si>
  <si>
    <t>Lens Character Matcher</t>
  </si>
  <si>
    <t>carácter óptico + cámara + intención</t>
  </si>
  <si>
    <t>familias compatibles</t>
  </si>
  <si>
    <t>Elegir óptica por look además de especificación</t>
  </si>
  <si>
    <t>tests + lens DB</t>
  </si>
  <si>
    <t>Scenario Compare</t>
  </si>
  <si>
    <t>2-3 configuraciones completas</t>
  </si>
  <si>
    <t>ventajas, riesgos y compromisos</t>
  </si>
  <si>
    <t>Tomar decisiones de sistema</t>
  </si>
  <si>
    <t>categoría</t>
  </si>
  <si>
    <t>familia/modelo</t>
  </si>
  <si>
    <t>datos que faltan</t>
  </si>
  <si>
    <t>fuentes objetivo</t>
  </si>
  <si>
    <t>motivo</t>
  </si>
  <si>
    <t>ARRI ALEXA 35</t>
  </si>
  <si>
    <t>todos los modos, sensor activo por AR, ISO base por modo, Open Gate, crop</t>
  </si>
  <si>
    <t>ARRI + VFXCamDB</t>
  </si>
  <si>
    <t>Base S35 moderna</t>
  </si>
  <si>
    <t>ARRI ALEXA 65</t>
  </si>
  <si>
    <t>sensor/gate/modos</t>
  </si>
  <si>
    <t>focales, generaciones, círculo de imagen, close focus, mount</t>
  </si>
  <si>
    <t>CineD + Canon docs + comunidades técnicas</t>
  </si>
  <si>
    <t>Prioridad del usuario</t>
  </si>
  <si>
    <t>BLAZAR Remus</t>
  </si>
  <si>
    <t>cobertura, squeeze, close focus</t>
  </si>
  <si>
    <t>BLAZAR + CineD</t>
  </si>
  <si>
    <t>Anamórficas</t>
  </si>
  <si>
    <t>ARRI Orbiter</t>
  </si>
  <si>
    <t>potencia, photometrics, CCT, accesorios</t>
  </si>
  <si>
    <t>Rodaje medio/alto</t>
  </si>
  <si>
    <t>familias LED y fluorescentes históricas</t>
  </si>
  <si>
    <t>Referencia histórica</t>
  </si>
  <si>
    <t>Analógico</t>
  </si>
  <si>
    <t>Kodak Vision3</t>
  </si>
  <si>
    <t>stocks, gauge, perforación, exposición recomendada</t>
  </si>
  <si>
    <t>Base película</t>
  </si>
  <si>
    <t>Kodak Double-X / Tri-X</t>
  </si>
  <si>
    <t>gauge/perf/ISO/proceso</t>
  </si>
  <si>
    <t>B&amp;W</t>
  </si>
  <si>
    <t>lux/fc, beam/field, distancia de medición, accesorios y modos de Orbiter/SkyPanel</t>
  </si>
  <si>
    <t>ARRI Photometric + fichas oficiales</t>
  </si>
  <si>
    <t>Alimentar Pre-Light</t>
  </si>
  <si>
    <t>Cálculos</t>
  </si>
  <si>
    <t>validar fórmulas y supuestos de FOV/DOF/hiperfocal</t>
  </si>
  <si>
    <t>Cinematography.tools + referencias ASC/pCam si procede</t>
  </si>
  <si>
    <t>Motor Técnico</t>
  </si>
  <si>
    <t>Cámaras/Ópticas</t>
  </si>
  <si>
    <t>CVP Camera/Lens Tool</t>
  </si>
  <si>
    <t>comparación A/B, focal equivalente y cobertura</t>
  </si>
  <si>
    <t>CVP + fabricantes</t>
  </si>
  <si>
    <t>Comparador</t>
  </si>
  <si>
    <t>CineD Lens Coverage</t>
  </si>
  <si>
    <t>normalizar image circle + recording format + crop</t>
  </si>
  <si>
    <t>Provenance</t>
  </si>
  <si>
    <t>definir confianza por campo, fecha de revisión y conflicto entre fuentes</t>
  </si>
  <si>
    <t>Fabricante + CineD + CVP + PHFX</t>
  </si>
  <si>
    <t>Fuentes/Evidencia</t>
  </si>
  <si>
    <t>Energía</t>
  </si>
  <si>
    <t>Catálogo de luces/cámaras</t>
  </si>
  <si>
    <t>consumo real, modos, baterías, cargadores y autonomía</t>
  </si>
  <si>
    <t>Presupuesto de potencia</t>
  </si>
  <si>
    <t>Accesorios</t>
  </si>
  <si>
    <t>Modificadores de iluminación</t>
  </si>
  <si>
    <t>softbox, grids, domes, reflectores, lentes, pérdidas y fotometría</t>
  </si>
  <si>
    <t>fabricantes / rental houses</t>
  </si>
  <si>
    <t>Pre-Light</t>
  </si>
  <si>
    <t>separar stock/gauge/perforación/EI y consumo por cámara</t>
  </si>
  <si>
    <t>Resolver discrepancia 90 vs 100 fps entre página oficial y manual; determinar versión/condición</t>
  </si>
  <si>
    <t>ARRI producto + manual + soporte ARRI</t>
  </si>
  <si>
    <t>Recuperar y verificar ficha oficial: sensor, mount, ISO, formatos, FPS</t>
  </si>
  <si>
    <t>Sony oficial + manual</t>
  </si>
  <si>
    <t>Verificar todos los campos restantes de variante L; separar variante PL/L</t>
  </si>
  <si>
    <t>Blackmagic oficial</t>
  </si>
  <si>
    <t>Kodak 250D / 500T / 200D</t>
  </si>
  <si>
    <t>Abrir fichas técnicas específicas y verificar ISO/EI, balance, formatos y perforación por gauge</t>
  </si>
  <si>
    <t>Kodak oficial</t>
  </si>
  <si>
    <t>Kodak TRI-X 7266</t>
  </si>
  <si>
    <t>Confirmar ISO/EI y formatos/perforaciones desde ficha técnica</t>
  </si>
  <si>
    <t>pantalla</t>
  </si>
  <si>
    <t>objetivo</t>
  </si>
  <si>
    <t>funciones_clave</t>
  </si>
  <si>
    <t>datos_necesarios</t>
  </si>
  <si>
    <t>fase_sugerida</t>
  </si>
  <si>
    <t>relación_con_excel</t>
  </si>
  <si>
    <t>Convertir el catálogo en decisiones técnicas de cámara/lente/exposición/luz</t>
  </si>
  <si>
    <t>proyecto, cámara, modo, lente, distancia, T-stop, ISO, FPS, shutter, luminaria</t>
  </si>
  <si>
    <t>FOV, DOF, cobertura, exposición, luz requerida, alertas</t>
  </si>
  <si>
    <t>calculadoras encadenadas + semáforo de compatibilidad</t>
  </si>
  <si>
    <t>Cámaras, Modos_Cámara, Ópticas, Luces, Mapa_Sistema</t>
  </si>
  <si>
    <t>Fase siguiente</t>
  </si>
  <si>
    <t>Funciones_Futuras + Mapa_Sistema</t>
  </si>
  <si>
    <t>Comparar cámaras, lentes o configuraciones A/B</t>
  </si>
  <si>
    <t>2 configuraciones</t>
  </si>
  <si>
    <t>diferencias técnicas + focal equivalente + FOV + cobertura</t>
  </si>
  <si>
    <t>A/B, matching, exportar comparación</t>
  </si>
  <si>
    <t>Cámaras + Ópticas + Modos_Cámara</t>
  </si>
  <si>
    <t>Funciones_Futuras</t>
  </si>
  <si>
    <t>Resolver una necesidad de luz antes del rodaje</t>
  </si>
  <si>
    <t>T-stop, ISO, FPS, shutter, distancia, luminaria/accesorio</t>
  </si>
  <si>
    <t>lux objetivo, luminarias candidatas, potencia y margen</t>
  </si>
  <si>
    <t>fotometría + exposición + presupuesto de potencia</t>
  </si>
  <si>
    <t>Luces + fotometría + accesorios</t>
  </si>
  <si>
    <t>Kit Builder</t>
  </si>
  <si>
    <t>Construir un paquete real de rodaje</t>
  </si>
  <si>
    <t>proyecto + necesidades</t>
  </si>
  <si>
    <t>lista de material, cantidades, peso, potencia, faltantes</t>
  </si>
  <si>
    <t>checklist, duplicados, presupuesto futuro</t>
  </si>
  <si>
    <t>todas las categorías de material</t>
  </si>
  <si>
    <t>Fuentes y Evidencia</t>
  </si>
  <si>
    <t>Auditar de dónde sale cada dato</t>
  </si>
  <si>
    <t>material/campo</t>
  </si>
  <si>
    <t>fuente, enlace, fecha, confianza, conflictos</t>
  </si>
  <si>
    <t>trazabilidad + revisión</t>
  </si>
  <si>
    <t>Fuentes_Informacion + Control_Datos</t>
  </si>
  <si>
    <t>Shot Config</t>
  </si>
  <si>
    <t>Guardar una configuración concreta de plano</t>
  </si>
  <si>
    <t>cámara + modo + lente + distancia + T-stop + FPS + shutter + luz</t>
  </si>
  <si>
    <t>ficha técnica reproducible del plano</t>
  </si>
  <si>
    <t>presets, duplicar, comparar y exportar</t>
  </si>
  <si>
    <t>Proyecto + Motor Técnico</t>
  </si>
  <si>
    <t>Fase posterior</t>
  </si>
  <si>
    <t>Flujo_Eleccion</t>
  </si>
  <si>
    <t>Tests / Look Lab</t>
  </si>
  <si>
    <t>Registrar pruebas físicas y visuales</t>
  </si>
  <si>
    <t>cámara/lente/stock/luz + condiciones + imágenes</t>
  </si>
  <si>
    <t>biblioteca de tests y conclusiones</t>
  </si>
  <si>
    <t>tags, notas, comparación</t>
  </si>
  <si>
    <t>material + proyecto + imágenes</t>
  </si>
  <si>
    <t>Selector / Recomendador</t>
  </si>
  <si>
    <t>Encontrar material según una intención creativa y restricciones</t>
  </si>
  <si>
    <t>look, formato, presupuesto, distancia, disponibilidad</t>
  </si>
  <si>
    <t>candidatos ordenados + motivos + advertencias</t>
  </si>
  <si>
    <t>filtros y scoring explicable</t>
  </si>
  <si>
    <t>catálogo + reglas</t>
  </si>
  <si>
    <t>área</t>
  </si>
  <si>
    <t>campo_propuesto</t>
  </si>
  <si>
    <t>unidad/formato</t>
  </si>
  <si>
    <t>por_qué</t>
  </si>
  <si>
    <t>fuente_prioritaria</t>
  </si>
  <si>
    <t>lux_1m</t>
  </si>
  <si>
    <t>lux @ 1 m</t>
  </si>
  <si>
    <t>Permite comparar intensidad real y no solo vatios</t>
  </si>
  <si>
    <t>fabricante / fotometría</t>
  </si>
  <si>
    <t>accesorio + distancia</t>
  </si>
  <si>
    <t>footcandles_1m</t>
  </si>
  <si>
    <t>fc @ 1 ft/1 m según fuente</t>
  </si>
  <si>
    <t>Compatibilidad con prácticas de iluminación</t>
  </si>
  <si>
    <t>unidad y distancia de medición</t>
  </si>
  <si>
    <t>beam_angle_deg</t>
  </si>
  <si>
    <t>grados</t>
  </si>
  <si>
    <t>Define apertura del haz</t>
  </si>
  <si>
    <t>fotometría fabricante</t>
  </si>
  <si>
    <t>óptica/accesorio</t>
  </si>
  <si>
    <t>field_angle_deg</t>
  </si>
  <si>
    <t>Define área útil iluminada</t>
  </si>
  <si>
    <t>photometric_distance</t>
  </si>
  <si>
    <t>m</t>
  </si>
  <si>
    <t>Evita mezclar mediciones hechas a distancias distintas</t>
  </si>
  <si>
    <t>lux/fc</t>
  </si>
  <si>
    <t>accessory_photometry_id</t>
  </si>
  <si>
    <t>ID/ficha</t>
  </si>
  <si>
    <t>Una misma luminaria cambia mucho con accesorios</t>
  </si>
  <si>
    <t>accesorios</t>
  </si>
  <si>
    <t>power_draw_w</t>
  </si>
  <si>
    <t>W</t>
  </si>
  <si>
    <t>Separar consumo real de potencia nominal</t>
  </si>
  <si>
    <t>modo/CCT</t>
  </si>
  <si>
    <t>power_modes</t>
  </si>
  <si>
    <t>texto/JSON</t>
  </si>
  <si>
    <t>Permite presupuestar consumo por modo</t>
  </si>
  <si>
    <t>CCT/efectos</t>
  </si>
  <si>
    <t>distortion</t>
  </si>
  <si>
    <t>% / nota</t>
  </si>
  <si>
    <t>Afecta composición y VFX</t>
  </si>
  <si>
    <t>fabricante/tests</t>
  </si>
  <si>
    <t>focal + distancia</t>
  </si>
  <si>
    <t>breathing</t>
  </si>
  <si>
    <t>bajo/medio/alto + nota</t>
  </si>
  <si>
    <t>Importante en rack focus</t>
  </si>
  <si>
    <t>tests/fabricante</t>
  </si>
  <si>
    <t>transmission_t</t>
  </si>
  <si>
    <t>T-stop</t>
  </si>
  <si>
    <t>Separar f-stop de transmisión real</t>
  </si>
  <si>
    <t>mm</t>
  </si>
  <si>
    <t>Base del comprobador de cobertura</t>
  </si>
  <si>
    <t>fabricante/CineD</t>
  </si>
  <si>
    <t>gate</t>
  </si>
  <si>
    <t>close_focus_m</t>
  </si>
  <si>
    <t>Determina posibilidad de planos cercanos</t>
  </si>
  <si>
    <t>Compatibilidad con mattebox/filtros</t>
  </si>
  <si>
    <t>recording_media</t>
  </si>
  <si>
    <t>Necesario para preparar rodaje</t>
  </si>
  <si>
    <t>codec/modo</t>
  </si>
  <si>
    <t>data_rate_mb_s</t>
  </si>
  <si>
    <t>MB/s</t>
  </si>
  <si>
    <t>Permite calcular almacenamiento</t>
  </si>
  <si>
    <t>codec/res/fps</t>
  </si>
  <si>
    <t>Presupuesto energético real</t>
  </si>
  <si>
    <t>modo/accesorios</t>
  </si>
  <si>
    <t>rolling_shutter_ms</t>
  </si>
  <si>
    <t>ms</t>
  </si>
  <si>
    <t>Afecta movimiento y elección de cámara</t>
  </si>
  <si>
    <t>tests/CineD</t>
  </si>
  <si>
    <t>modo</t>
  </si>
  <si>
    <t>dynamic_range_stops</t>
  </si>
  <si>
    <t>stops</t>
  </si>
  <si>
    <t>Comparación de respuesta tonal</t>
  </si>
  <si>
    <t>tests/CineD/fabricante</t>
  </si>
  <si>
    <t>modo/ISO</t>
  </si>
  <si>
    <t>internal_nd_stops</t>
  </si>
  <si>
    <t>Afecta exposición y rapidez de trabajo</t>
  </si>
  <si>
    <t>Modos</t>
  </si>
  <si>
    <t>iso_base_by_mode</t>
  </si>
  <si>
    <t>ISO</t>
  </si>
  <si>
    <t>Evita asumir un ISO global para toda la cámara</t>
  </si>
  <si>
    <t>modo/gamma</t>
  </si>
  <si>
    <t>active_area_mm</t>
  </si>
  <si>
    <t>ancho x alto</t>
  </si>
  <si>
    <t>Base exacta de FOV/crop/cobertura</t>
  </si>
  <si>
    <t>resolución/AR</t>
  </si>
  <si>
    <t>gauge</t>
  </si>
  <si>
    <t>8/16/35/65</t>
  </si>
  <si>
    <t>Separar película de formato de captura</t>
  </si>
  <si>
    <t>Kodak/fabricante</t>
  </si>
  <si>
    <t>stock</t>
  </si>
  <si>
    <t>perforation_by_gauge</t>
  </si>
  <si>
    <t>1R/2R/BH/KS etc.</t>
  </si>
  <si>
    <t>La perforación depende del gauge y uso</t>
  </si>
  <si>
    <t>stock + gauge</t>
  </si>
  <si>
    <t>exposure_index</t>
  </si>
  <si>
    <t>EI</t>
  </si>
  <si>
    <t>Permite planificación de exposición analógica</t>
  </si>
  <si>
    <t>Kodak/datasheet</t>
  </si>
  <si>
    <t>lens_serial_number</t>
  </si>
  <si>
    <t>texto</t>
  </si>
  <si>
    <t>Permite asociar un ejemplar concreto a tests y metadatos</t>
  </si>
  <si>
    <t>fabricante / rental</t>
  </si>
  <si>
    <t>lente + test</t>
  </si>
  <si>
    <t>horizontal_fov_by_mode</t>
  </si>
  <si>
    <t>Evita aproximaciones cuando el fabricante publica AOV</t>
  </si>
  <si>
    <t>sensor/mode + focal</t>
  </si>
  <si>
    <t>focus_rotation_deg</t>
  </si>
  <si>
    <t>Ayuda a valorar ergonomía y precisión de foco</t>
  </si>
  <si>
    <t>lente</t>
  </si>
  <si>
    <t>parfocal</t>
  </si>
  <si>
    <t>sí/no</t>
  </si>
  <si>
    <t>Importante para zooms y operaciones durante toma</t>
  </si>
  <si>
    <t>zoom</t>
  </si>
  <si>
    <t>distortion_map_available</t>
  </si>
  <si>
    <t>Interesa para VFX y corrección</t>
  </si>
  <si>
    <t>lente/serial</t>
  </si>
  <si>
    <t>shading_map_available</t>
  </si>
  <si>
    <t>Permite registrar caída de luz y corrección</t>
  </si>
  <si>
    <t>lens_metadata_protocol</t>
  </si>
  <si>
    <t>/i, LDS, XD, etc.</t>
  </si>
  <si>
    <t>Permite pensar integración futura con cámaras/VFX</t>
  </si>
  <si>
    <t>índice</t>
  </si>
  <si>
    <t>Comparar similitud espectral con referencia</t>
  </si>
  <si>
    <t>medición independiente/fabricante</t>
  </si>
  <si>
    <t>CCT</t>
  </si>
  <si>
    <t>tm30_fidelity</t>
  </si>
  <si>
    <t>Rf</t>
  </si>
  <si>
    <t>Describir reproducción cromática con mayor detalle</t>
  </si>
  <si>
    <t>medición independiente</t>
  </si>
  <si>
    <t>tm30_gamut</t>
  </si>
  <si>
    <t>Rg</t>
  </si>
  <si>
    <t>Detectar saturación/desaturación relativa</t>
  </si>
  <si>
    <t>duv</t>
  </si>
  <si>
    <t>valor</t>
  </si>
  <si>
    <t>Detectar desplazamiento verde/magenta</t>
  </si>
  <si>
    <t>cct_accuracy</t>
  </si>
  <si>
    <t>K / ΔK</t>
  </si>
  <si>
    <t>Comparar consistencia real de temperatura de color</t>
  </si>
  <si>
    <t>fan_noise_db</t>
  </si>
  <si>
    <t>dBA</t>
  </si>
  <si>
    <t>Permite valorar fuentes para rodajes sensibles al sonido</t>
  </si>
  <si>
    <t>modo/distancia</t>
  </si>
  <si>
    <t>output_stability</t>
  </si>
  <si>
    <t>%</t>
  </si>
  <si>
    <t>Registrar variación de salida con temperatura/tiempo</t>
  </si>
  <si>
    <t>Base para data rate y workflow</t>
  </si>
  <si>
    <t>bit_depth</t>
  </si>
  <si>
    <t>bits</t>
  </si>
  <si>
    <t>Afecta gradación y flujo de datos</t>
  </si>
  <si>
    <t>chroma_subsampling</t>
  </si>
  <si>
    <t>4:4:4 / 4:2:2 etc.</t>
  </si>
  <si>
    <t>Describir calidad de señal</t>
  </si>
  <si>
    <t>bitrate</t>
  </si>
  <si>
    <t>Mb/s</t>
  </si>
  <si>
    <t>Calcular almacenamiento</t>
  </si>
  <si>
    <t>power_draw_typical</t>
  </si>
  <si>
    <t>Planificar energía real</t>
  </si>
  <si>
    <t>rolling_shutter_by_mode</t>
  </si>
  <si>
    <t>Relacionar modo con artefactos de movimiento</t>
  </si>
  <si>
    <t>Proyecto</t>
  </si>
  <si>
    <t>storage_margin_percent</t>
  </si>
  <si>
    <t>Evitar quedarse corto de media</t>
  </si>
  <si>
    <t>regla IRIS</t>
  </si>
  <si>
    <t>data rate + horas</t>
  </si>
  <si>
    <t>backup_strategy</t>
  </si>
  <si>
    <t>3-2-1 / personalizada</t>
  </si>
  <si>
    <t>Integrar seguridad de datos en planificación técnica</t>
  </si>
  <si>
    <t>workflow IRIS</t>
  </si>
  <si>
    <t>media</t>
  </si>
  <si>
    <t>idea</t>
  </si>
  <si>
    <t>fase</t>
  </si>
  <si>
    <t>origen/relación</t>
  </si>
  <si>
    <t>Technical Decision Engine 2.0</t>
  </si>
  <si>
    <t>Motor de decisiones encadenadas</t>
  </si>
  <si>
    <t>Cámara → modo → lente → distancia → exposición → luz → energía</t>
  </si>
  <si>
    <t>Resultado técnico + explicación de por qué una combinación funciona o falla</t>
  </si>
  <si>
    <t>Base central de IRIS</t>
  </si>
  <si>
    <t>Integrar metadatos ópticos avanzados</t>
  </si>
  <si>
    <t>Serial, focal, focus distance, T-stop, distortion, shading, H/FOV</t>
  </si>
  <si>
    <t>Ficha de lente preparada para VFX y continuidad</t>
  </si>
  <si>
    <t>Inspirado en Cooke /i y ZEISS CinCraft</t>
  </si>
  <si>
    <t>Lens Match</t>
  </si>
  <si>
    <t>Encontrar lentes que mantengan encuadre entre cámaras</t>
  </si>
  <si>
    <t>Cámara A/B + lente A/B + distancia</t>
  </si>
  <si>
    <t>Focal equivalente + FOV + cobertura + diferencias de look</t>
  </si>
  <si>
    <t>Extiende Comparador</t>
  </si>
  <si>
    <t>Coverage Simulator</t>
  </si>
  <si>
    <t>Simular cobertura real del sensor</t>
  </si>
  <si>
    <t>Gate activo + image circle + AR</t>
  </si>
  <si>
    <t>Diagrama de sensor/círculo + margen + zonas de riesgo</t>
  </si>
  <si>
    <t>Lens Character Lab</t>
  </si>
  <si>
    <t>Registrar carácter óptico además de especificaciones</t>
  </si>
  <si>
    <t>Halation, flare, contrast, bokeh, distortion, breathing, color</t>
  </si>
  <si>
    <t>Perfil de carácter + comparativa entre lentes</t>
  </si>
  <si>
    <t>Datos de fabricante + tests propios</t>
  </si>
  <si>
    <t>Pre-Light 2.0</t>
  </si>
  <si>
    <t>Resolver iluminación desde una exposición objetivo</t>
  </si>
  <si>
    <t>T-stop, ISO, shutter, distancia, modificador, CCT</t>
  </si>
  <si>
    <t>Luz candidata + fotometría + margen + consumo</t>
  </si>
  <si>
    <t>Fotometría por accesorio</t>
  </si>
  <si>
    <t>Light Quality Lab</t>
  </si>
  <si>
    <t>Comparar calidad espectral de luminarias</t>
  </si>
  <si>
    <t>SSI/TM-30/CRI/TLCI/DUV/CCT + mediciones</t>
  </si>
  <si>
    <t>Perfil de calidad y consistencia de cada fuente</t>
  </si>
  <si>
    <t>No depender solo de marketing</t>
  </si>
  <si>
    <t>Power Planner</t>
  </si>
  <si>
    <t>Planificar energía de cámara e iluminación</t>
  </si>
  <si>
    <t>W reales, horas, baterías, cargadores, generador</t>
  </si>
  <si>
    <t>Pico, consumo/h, autonomía y margen</t>
  </si>
  <si>
    <t>Extiende Presupuesto de potencia</t>
  </si>
  <si>
    <t>Calcular almacenamiento del rodaje</t>
  </si>
  <si>
    <t>Codec, resolución, FPS, bitrate, horas, cámaras</t>
  </si>
  <si>
    <t>TB requeridos + margen + estrategia de backups</t>
  </si>
  <si>
    <t>Nueva dimensión técnica</t>
  </si>
  <si>
    <t>Camera Mode Matrix</t>
  </si>
  <si>
    <t>No tratar una cámara como un único sensor</t>
  </si>
  <si>
    <t>Todos los gates/modos/AR/resoluciones</t>
  </si>
  <si>
    <t>Tabla visual de qué cambia por modo</t>
  </si>
  <si>
    <t>Base de FOV/cobertura</t>
  </si>
  <si>
    <t>Anamorphic Workflow</t>
  </si>
  <si>
    <t>Planificar anamórficas de principio a fin</t>
  </si>
  <si>
    <t>Squeeze, sensor, focal, AR final, crop</t>
  </si>
  <si>
    <t>FOV, desqueeze, resolución efectiva y cobertura</t>
  </si>
  <si>
    <t>Extiende calculadora anamórfica</t>
  </si>
  <si>
    <t>Film Stock Planner 2.0</t>
  </si>
  <si>
    <t>Planificar rodaje fotoquímico completo</t>
  </si>
  <si>
    <t>Stock, gauge, FPS, ratio, duración, laboratorio</t>
  </si>
  <si>
    <t>Metros/rollos + coste + margen + exposición</t>
  </si>
  <si>
    <t>Extiende película</t>
  </si>
  <si>
    <t>Shot Config / Continuity</t>
  </si>
  <si>
    <t>Guardar configuración técnica exacta de cada plano</t>
  </si>
  <si>
    <t>Cámara, modo, lente, distancia, foco, T-stop, FPS, shutter, luz</t>
  </si>
  <si>
    <t>Ficha reproducible y duplicable</t>
  </si>
  <si>
    <t>Continuidad</t>
  </si>
  <si>
    <t>Look Recipe</t>
  </si>
  <si>
    <t>Guardar una receta visual reproducible</t>
  </si>
  <si>
    <t>Cámara + lente + filtros + luz + exposición + color</t>
  </si>
  <si>
    <t>Configuración completa del look</t>
  </si>
  <si>
    <t>Conecta Biblia Visual con material</t>
  </si>
  <si>
    <t>Test-to-Database</t>
  </si>
  <si>
    <t>Convertir pruebas reales en conocimiento estructurado</t>
  </si>
  <si>
    <t>Test + condiciones + imágenes + material</t>
  </si>
  <si>
    <t>Resultados comparables y reutilizables</t>
  </si>
  <si>
    <t>Experiencia personal como dataset</t>
  </si>
  <si>
    <t>Evidence &amp; Confidence</t>
  </si>
  <si>
    <t>Cada dato debe mostrar su procedencia</t>
  </si>
  <si>
    <t>Campo + fuente + fecha + evidencia + conflicto</t>
  </si>
  <si>
    <t>Confianza Alta/Media/Baja y motivo</t>
  </si>
  <si>
    <t>Trazabilidad</t>
  </si>
  <si>
    <t>Smart Rental List</t>
  </si>
  <si>
    <t>Transformar decisiones en una lista de alquiler</t>
  </si>
  <si>
    <t>Proyecto + configuración + disponibilidad</t>
  </si>
  <si>
    <t>Material, cantidades, accesorios, energía y medios</t>
  </si>
  <si>
    <t>Comparar soluciones creativas completas</t>
  </si>
  <si>
    <t>2-3 paquetes de cámara/lente/luz</t>
  </si>
  <si>
    <t>Coste técnico + ventajas + riesgos + compromisos</t>
  </si>
  <si>
    <t>Decision support</t>
  </si>
  <si>
    <t>Learning Mode</t>
  </si>
  <si>
    <t>Explicar qué cambia al modificar una variable</t>
  </si>
  <si>
    <t>Una variable técnica</t>
  </si>
  <si>
    <t>Antes/después + explicación visual</t>
  </si>
  <si>
    <t>Formación</t>
  </si>
  <si>
    <t>Remote Scout Technical</t>
  </si>
  <si>
    <t>Preparar decisiones técnicas desde una localización remota</t>
  </si>
  <si>
    <t>Ubicación + orientación solar + restricciones + proyecto</t>
  </si>
  <si>
    <t>Horas útiles, necesidades de luz y material probable</t>
  </si>
  <si>
    <t>Conecta con Sun Seeker/Scout</t>
  </si>
  <si>
    <t>investigación</t>
  </si>
  <si>
    <t>fuentes_objetivo</t>
  </si>
  <si>
    <t>resultado_buscado</t>
  </si>
  <si>
    <t>Gate y modos por modelo</t>
  </si>
  <si>
    <t>ARRI, Sony, RED, Blackmagic, fabricantes</t>
  </si>
  <si>
    <t>Registrar cada modo como entidad independiente cuando cambie el área activa</t>
  </si>
  <si>
    <t>Image circle + AOV + close focus</t>
  </si>
  <si>
    <t>Fabricantes + CineD + rental houses</t>
  </si>
  <si>
    <t>Datos base del motor de cobertura/FOV</t>
  </si>
  <si>
    <t>Metadatos /i, LDS, XD</t>
  </si>
  <si>
    <t>Cooke, ARRI, ZEISS</t>
  </si>
  <si>
    <t>Preparar futura integración con VFX y continuidad</t>
  </si>
  <si>
    <t>ARRI + fabricantes</t>
  </si>
  <si>
    <t>Una luminaria puede cambiar radicalmente según óptica/modificador</t>
  </si>
  <si>
    <t>SSI/TM-30/DUV/ruido</t>
  </si>
  <si>
    <t>mediciones independientes + fabricantes</t>
  </si>
  <si>
    <t>Comparar calidad real, no solo potencia</t>
  </si>
  <si>
    <t>Consumo real por modo</t>
  </si>
  <si>
    <t>fabricantes + tests</t>
  </si>
  <si>
    <t>Motor de potencia y generador</t>
  </si>
  <si>
    <t>Bitrate y almacenamiento</t>
  </si>
  <si>
    <t>Planificador de media</t>
  </si>
  <si>
    <t>Stocks, gauges, perforaciones, metraje</t>
  </si>
  <si>
    <t>VFX</t>
  </si>
  <si>
    <t>Lens distortion/shading data</t>
  </si>
  <si>
    <t>Cooke / ZEISS / ARRI</t>
  </si>
  <si>
    <t>Continuidad y postproducción</t>
  </si>
  <si>
    <t>UX</t>
  </si>
  <si>
    <t>Decision explanations</t>
  </si>
  <si>
    <t>diseño IRIS</t>
  </si>
  <si>
    <t>Toda recomendación debe explicar por qué aparece</t>
  </si>
  <si>
    <t>Capa</t>
  </si>
  <si>
    <t>entidad</t>
  </si>
  <si>
    <t>depende_de</t>
  </si>
  <si>
    <t>habilita</t>
  </si>
  <si>
    <t>fabricante + modo</t>
  </si>
  <si>
    <t>FOV, crop, exposición, energía, media</t>
  </si>
  <si>
    <t>cámara</t>
  </si>
  <si>
    <t>FOV, cobertura, resolución, bitrate</t>
  </si>
  <si>
    <t>Lente</t>
  </si>
  <si>
    <t>fabricante + tests</t>
  </si>
  <si>
    <t>FOV, DOF, cobertura, carácter, VFX</t>
  </si>
  <si>
    <t>Luz</t>
  </si>
  <si>
    <t>fabricante + fotometría</t>
  </si>
  <si>
    <t>Pre-Light, exposición, energía</t>
  </si>
  <si>
    <t>Accesorio de luz</t>
  </si>
  <si>
    <t>luz</t>
  </si>
  <si>
    <t>fotometría real por configuración</t>
  </si>
  <si>
    <t>Motor</t>
  </si>
  <si>
    <t>modo + image circle</t>
  </si>
  <si>
    <t>alertas de viñeteo</t>
  </si>
  <si>
    <t>modo + focal + AR</t>
  </si>
  <si>
    <t>selector de lente y matching</t>
  </si>
  <si>
    <t>DOF</t>
  </si>
  <si>
    <t>focal + distancia + T-stop + CoC</t>
  </si>
  <si>
    <t>planificación de foco</t>
  </si>
  <si>
    <t>Exposición</t>
  </si>
  <si>
    <t>ISO + T-stop + shutter + luz</t>
  </si>
  <si>
    <t>Potencia</t>
  </si>
  <si>
    <t>W + horas + baterías/generador</t>
  </si>
  <si>
    <t>bitrate + horas + cámaras</t>
  </si>
  <si>
    <t>Data Planner</t>
  </si>
  <si>
    <t>Recomendador</t>
  </si>
  <si>
    <t>todos los motores</t>
  </si>
  <si>
    <t>decisiones explicables</t>
  </si>
  <si>
    <t>Test Library</t>
  </si>
  <si>
    <t>personalización basada en experiencia</t>
  </si>
  <si>
    <t>id_verificacion</t>
  </si>
  <si>
    <t>registro</t>
  </si>
  <si>
    <t>campo(s)</t>
  </si>
  <si>
    <t>valor_excel</t>
  </si>
  <si>
    <t>url</t>
  </si>
  <si>
    <t>fecha</t>
  </si>
  <si>
    <t>confianza</t>
  </si>
  <si>
    <t>evidencia / decisión</t>
  </si>
  <si>
    <t>VF1-001</t>
  </si>
  <si>
    <t>27.99×19.22; LPL; Super 35; 120 fps; modos ARRI</t>
  </si>
  <si>
    <t>ARRI — ALEXA 35</t>
  </si>
  <si>
    <t>Coincide con la ficha técnica oficial. Solo se consideran asegurados los campos indicados; el resto sigue pendiente.</t>
  </si>
  <si>
    <t>VF1-002</t>
  </si>
  <si>
    <t>sensor_ancho_mm; sensor_alto_mm; mount; tipo_sensor; modos_sensor</t>
  </si>
  <si>
    <t>36.70×25.54; LPL; ALEV III A2X; modos LF/S35</t>
  </si>
  <si>
    <t>ARRI — producto + manual</t>
  </si>
  <si>
    <t>Las dimensiones y modos coinciden. La velocidad máxima no queda resuelta: página de producto 90 fps frente a manual 100 fps. No usar max_fps=100 como dato seguro hasta resolver la discrepancia.</t>
  </si>
  <si>
    <t>VF1-003</t>
  </si>
  <si>
    <t>sensor_ancho_mm; sensor_alto_mm; mount; fuente_datos</t>
  </si>
  <si>
    <t>36×24; L; URL W-BOX-09</t>
  </si>
  <si>
    <t>Blackmagic Design — PYXIS 6K L</t>
  </si>
  <si>
    <t>La fila original contenía 23.1×12.99 mm y apuntaba a la variante PL W-BOX-04. La ficha oficial de la variante L indica 36×24 mm. Se corrige el tamaño y se elimina la diagonal no demostrada.</t>
  </si>
  <si>
    <t>VF1-004</t>
  </si>
  <si>
    <t>50.81×23.32; PL/LPL; 65 mm; 16 stops; 17K/12K/8K/4K</t>
  </si>
  <si>
    <t>Blackmagic Design — URSA Cine 17K 65</t>
  </si>
  <si>
    <t>Coincide con la ficha oficial.</t>
  </si>
  <si>
    <t>VF1-005</t>
  </si>
  <si>
    <t>sensor_ancho_mm; sensor_alto_mm; mount</t>
  </si>
  <si>
    <t>35.6×23.8; E</t>
  </si>
  <si>
    <t>Sony — fuente oficial indicada en Excel</t>
  </si>
  <si>
    <t>No se pudo recuperar de forma fiable la página oficial durante esta fase. No se marca como asegurado.</t>
  </si>
  <si>
    <t>VF1-006</t>
  </si>
  <si>
    <t>CMOS FF; PL/E; ISO 800/3200; 16 stops</t>
  </si>
  <si>
    <t>Sony — manual oficial MPC-2610</t>
  </si>
  <si>
    <t>Confirmado en sección Especificaciones, pág. 150 del manual. El tamaño 35.9×24.0 mm de la fila no se confirma en esta fuente concreta.</t>
  </si>
  <si>
    <t>VF1-007</t>
  </si>
  <si>
    <t>50D; 50; Daylight; 5203; 7203</t>
  </si>
  <si>
    <t>Kodak — VISION3 50D</t>
  </si>
  <si>
    <t>Producto, código y carácter daylight están confirmados. Kodak también publica tablas de formatos/perforación; no se da por verificada toda la fila sin revisar cada atributo.</t>
  </si>
  <si>
    <t>VF1-008</t>
  </si>
  <si>
    <t>200T; 200; Tungsten; 5213; 7213</t>
  </si>
  <si>
    <t>Kodak — VISION3 200T</t>
  </si>
  <si>
    <t>Producto, código, velocidad y tungsteno están confirmados en Kodak.</t>
  </si>
  <si>
    <t>VF1-009</t>
  </si>
  <si>
    <t>DOUBLE-X; 5222; 7222</t>
  </si>
  <si>
    <t>Kodak — EASTMAN DOUBLE-X</t>
  </si>
  <si>
    <t>Producto y códigos confirmados. El ISO/EI de 250 de la fila queda pendiente.</t>
  </si>
  <si>
    <t>VF1-010</t>
  </si>
  <si>
    <t>100D; 100; 5294; 7294; 7294</t>
  </si>
  <si>
    <t>Kodak — EKTACHROME 100D</t>
  </si>
  <si>
    <t>Producto, 100D, 5294/7294 y formatos indicados por Kodak quedan respaldados.</t>
  </si>
  <si>
    <t>VF1-011</t>
  </si>
  <si>
    <t>TRI-X; 7266; 7266</t>
  </si>
  <si>
    <t>Kodak — Camera Films / TRI-X 7266</t>
  </si>
  <si>
    <t>El catálogo oficial identifica TRI-X 7266. El ISO/EI 200 de la fila queda pendiente de ficha específica.</t>
  </si>
  <si>
    <t>Significado</t>
  </si>
  <si>
    <t>Regla de uso</t>
  </si>
  <si>
    <t>El/los campos indicados coinciden con una fuente trazable.</t>
  </si>
  <si>
    <t>Puede utilizarse ese campo en cálculos, siempre que sus dependencias también estén verificadas.</t>
  </si>
  <si>
    <t>Solo determinados campos del registro están contrastados.</t>
  </si>
  <si>
    <t>Solo usar los campos enumerados en campos_verificados.</t>
  </si>
  <si>
    <t>Hay discrepancia entre dato y fuente o entre fuentes.</t>
  </si>
  <si>
    <t>No usar el campo afectado para decisiones técnicas hasta resolver la discrepancia.</t>
  </si>
  <si>
    <t>Se corrigió un dato que estaba demostrado como erróneo y se verificó el campo corregido.</t>
  </si>
  <si>
    <t>Usar solo los campos enumerados; conservar trazabilidad del cambio.</t>
  </si>
  <si>
    <t>Todavía no se ha contrastado.</t>
  </si>
  <si>
    <t>No tratar como dato asegurado.</t>
  </si>
  <si>
    <t>REGLA ABSOLUTA</t>
  </si>
  <si>
    <t>No inventar.</t>
  </si>
  <si>
    <t>No estimar, completar por familia, copiar de otro modelo, redondear sin indicarlo ni convertir una inferencia en especificación oficial.</t>
  </si>
  <si>
    <t>modelo/ámbito</t>
  </si>
  <si>
    <t>jerarquía</t>
  </si>
  <si>
    <t>Fabricante / ficha técnica</t>
  </si>
  <si>
    <t>Fuente primaria</t>
  </si>
  <si>
    <t>ALEXA Mini LF manual</t>
  </si>
  <si>
    <t>Manual oficial</t>
  </si>
  <si>
    <t>https://www.arri.com/resource/blob/347590/6b8fd84caac842b3c9292c910fcee693/alexa-mini-lf-sup-7-3-user-manual-data.pdf</t>
  </si>
  <si>
    <t>PYXIS 6K L</t>
  </si>
  <si>
    <t>BURANO MPC-2610</t>
  </si>
  <si>
    <t>Ficha oficial registrada; pendiente de recuperación en esta fase</t>
  </si>
  <si>
    <t>Camera Films</t>
  </si>
  <si>
    <t>Catálogo oficial</t>
  </si>
  <si>
    <t>VISION3 50D</t>
  </si>
  <si>
    <t>Ficha oficial</t>
  </si>
  <si>
    <t>VISION3 200T</t>
  </si>
  <si>
    <t>EKTACHROME 100D</t>
  </si>
  <si>
    <t>uso_permitido</t>
  </si>
  <si>
    <t>observacion</t>
  </si>
  <si>
    <t>USABLE CONDICIONADO</t>
  </si>
  <si>
    <t>USABLE</t>
  </si>
  <si>
    <t>source_id</t>
  </si>
  <si>
    <t>organización</t>
  </si>
  <si>
    <t>tipo_fuente</t>
  </si>
  <si>
    <t>regla_de_uso</t>
  </si>
  <si>
    <t>SRC-ARRI-265</t>
  </si>
  <si>
    <t>ARRI / ARRI Rental</t>
  </si>
  <si>
    <t>1</t>
  </si>
  <si>
    <t>Primaria</t>
  </si>
  <si>
    <t>SRC-BMD-URSA</t>
  </si>
  <si>
    <t>URSA Cine</t>
  </si>
  <si>
    <t>SRC-APUTURE-1200X</t>
  </si>
  <si>
    <t>SRC-ARRI-ENSO</t>
  </si>
  <si>
    <t>Fabricante / manual técnico</t>
  </si>
  <si>
    <t>Ensō Prime</t>
  </si>
  <si>
    <t>SRC-ZEISS-SUPREME</t>
  </si>
  <si>
    <t>https://www.zeiss.com/photonics-and-optics/en/cinematography/lenses/supreme-prime-lenses.html</t>
  </si>
  <si>
    <t>SRC-COOKE-S8</t>
  </si>
  <si>
    <t>Cooke Optics</t>
  </si>
  <si>
    <t>S8/i FF</t>
  </si>
  <si>
    <t>https://cookeoptics.com/es/lens/s8-i-ff/</t>
  </si>
  <si>
    <t>definición</t>
  </si>
  <si>
    <t>regla_validación</t>
  </si>
  <si>
    <t>impacto_IRIS_DP</t>
  </si>
  <si>
    <t>Dimensión del área indicada por fabricante</t>
  </si>
  <si>
    <t>&gt;0; no mezclar active area y sensor total</t>
  </si>
  <si>
    <t>FOV/cobertura</t>
  </si>
  <si>
    <t>&gt;0</t>
  </si>
  <si>
    <t>Círculo de imagen declarado</t>
  </si>
  <si>
    <t>&gt;0; no inferir</t>
  </si>
  <si>
    <t>T</t>
  </si>
  <si>
    <t>Apertura T máxima</t>
  </si>
  <si>
    <t>&gt;0; diferenciar de F-stop</t>
  </si>
  <si>
    <t>Exposición/DOF</t>
  </si>
  <si>
    <t>lux @ distancia</t>
  </si>
  <si>
    <t>Iluminancia con distancia/CCT/modo/accesorio definidos</t>
  </si>
  <si>
    <t>Fabricante/fotometría</t>
  </si>
  <si>
    <t>No guardar sin condiciones</t>
  </si>
  <si>
    <t>Selección de luz</t>
  </si>
  <si>
    <t>Consumo eléctrico</t>
  </si>
  <si>
    <t>Separar de output power</t>
  </si>
  <si>
    <t>Logística</t>
  </si>
  <si>
    <t>output_power_w</t>
  </si>
  <si>
    <t>Potencia de salida si fabricante la declara</t>
  </si>
  <si>
    <t>No usar como consumo</t>
  </si>
  <si>
    <t>Comparación</t>
  </si>
  <si>
    <t>Modo cámara</t>
  </si>
  <si>
    <t>fps</t>
  </si>
  <si>
    <t>Máximo del modo concreto</t>
  </si>
  <si>
    <t>&gt;0 y asociado a resolución/modo</t>
  </si>
  <si>
    <t>Planificación</t>
  </si>
  <si>
    <t>Todos</t>
  </si>
  <si>
    <t>enum</t>
  </si>
  <si>
    <t>Estado de evidencia</t>
  </si>
  <si>
    <t>IRIS DP</t>
  </si>
  <si>
    <t>VERIFICADO/PARCIAL/CONTRADICTORIO/PENDIENTE</t>
  </si>
  <si>
    <t>Seguridad</t>
  </si>
  <si>
    <t>Fase en la que se investiga/verifica</t>
  </si>
  <si>
    <t>Fase 1...8</t>
  </si>
  <si>
    <t>Gestión del catálogo</t>
  </si>
  <si>
    <t>relacion_id</t>
  </si>
  <si>
    <t>tipo_relacion</t>
  </si>
  <si>
    <t>origen_id</t>
  </si>
  <si>
    <t>destino_id</t>
  </si>
  <si>
    <t>condición</t>
  </si>
  <si>
    <t>nota</t>
  </si>
  <si>
    <t>COMP-001</t>
  </si>
  <si>
    <t>cámara→óptica</t>
  </si>
  <si>
    <t>camera_id</t>
  </si>
  <si>
    <t>lens_id</t>
  </si>
  <si>
    <t>mount compatible + cobertura suficiente</t>
  </si>
  <si>
    <t>PROPUESTA</t>
  </si>
  <si>
    <t>Fabricante + catálogo</t>
  </si>
  <si>
    <t>No usar hasta verificar mount/adaptador y círculo de imagen.</t>
  </si>
  <si>
    <t>COMP-002</t>
  </si>
  <si>
    <t>cámara→modo</t>
  </si>
  <si>
    <t>mode_id</t>
  </si>
  <si>
    <t>modo pertenece a cámara</t>
  </si>
  <si>
    <t>VERIFICABLE</t>
  </si>
  <si>
    <t>Relación por ID.</t>
  </si>
  <si>
    <t>COMP-003</t>
  </si>
  <si>
    <t>luz→fotometría</t>
  </si>
  <si>
    <t>light_id</t>
  </si>
  <si>
    <t>photometric_id</t>
  </si>
  <si>
    <t>misma luminaria + accesorio + CCT/modo</t>
  </si>
  <si>
    <t>No comparar lux aislados.</t>
  </si>
  <si>
    <t>COMP-004</t>
  </si>
  <si>
    <t>película→formato</t>
  </si>
  <si>
    <t>film_id</t>
  </si>
  <si>
    <t>format_id</t>
  </si>
  <si>
    <t>gauge + perforación compatibles</t>
  </si>
  <si>
    <t>Requiere desglose por stock/gauge.</t>
  </si>
  <si>
    <t>funcion</t>
  </si>
  <si>
    <t>dato_seguro_requerido</t>
  </si>
  <si>
    <t>Matriz de cobertura cámara↔lente</t>
  </si>
  <si>
    <t>sensor/mode + image circle + mount</t>
  </si>
  <si>
    <t>cámara+modo+óptica</t>
  </si>
  <si>
    <t>Sí</t>
  </si>
  <si>
    <t>Selector de cámara por proyecto</t>
  </si>
  <si>
    <t>look+formato+fps+workflow</t>
  </si>
  <si>
    <t>cámaras compatibles</t>
  </si>
  <si>
    <t>Decisión de preproducción</t>
  </si>
  <si>
    <t>catálogo+reglas</t>
  </si>
  <si>
    <t>Idea</t>
  </si>
  <si>
    <t>Comparador técnico de cámaras</t>
  </si>
  <si>
    <t>2+ cámaras</t>
  </si>
  <si>
    <t>tabla normalizada</t>
  </si>
  <si>
    <t>Decisión informada</t>
  </si>
  <si>
    <t>campos verificados</t>
  </si>
  <si>
    <t>Selector de película</t>
  </si>
  <si>
    <t>look+gauge+sensibilidad+balance</t>
  </si>
  <si>
    <t>stocks compatibles</t>
  </si>
  <si>
    <t>Plan analógico</t>
  </si>
  <si>
    <t>película+formatos</t>
  </si>
  <si>
    <t>Plan de iluminación fotométrico</t>
  </si>
  <si>
    <t>lux/CCT/CRI/TLCI+distancia+modificador</t>
  </si>
  <si>
    <t>luz requerida/margen</t>
  </si>
  <si>
    <t>Seleccionar por rendimiento real</t>
  </si>
  <si>
    <t>fotometría</t>
  </si>
  <si>
    <t>Validador de seguridad de datos</t>
  </si>
  <si>
    <t>campo+fuente+fecha+estado</t>
  </si>
  <si>
    <t>apto/no apto</t>
  </si>
  <si>
    <t>Evitar datos no confirmados</t>
  </si>
  <si>
    <t>matriz de verificación</t>
  </si>
  <si>
    <t>No</t>
  </si>
  <si>
    <t>Detector de contradicciones</t>
  </si>
  <si>
    <t>mismo campo+fuentes</t>
  </si>
  <si>
    <t>conflicto priorizado</t>
  </si>
  <si>
    <t>Resolver discrepancias</t>
  </si>
  <si>
    <t>registro fuentes</t>
  </si>
  <si>
    <t>Historial de cambios de catálogo</t>
  </si>
  <si>
    <t>registro+cambio+fuente</t>
  </si>
  <si>
    <t>changelog</t>
  </si>
  <si>
    <t>fuentes</t>
  </si>
  <si>
    <t>version</t>
  </si>
  <si>
    <t>cambio</t>
  </si>
  <si>
    <t>evidencia</t>
  </si>
  <si>
    <t>impacto</t>
  </si>
  <si>
    <t>v1.8</t>
  </si>
  <si>
    <t>Nueva capa de índice maestro, matriz de evidencia, fuentes, diccionario y compatibilidad</t>
  </si>
  <si>
    <t>Optimizar trazabilidad y evitar datos sin evidencia</t>
  </si>
  <si>
    <t>Arquitectura del workbook</t>
  </si>
  <si>
    <t>Añadida ARRI ALEXA 265 + modos</t>
  </si>
  <si>
    <t>Material actual de alta prioridad</t>
  </si>
  <si>
    <t>ARRI Rental</t>
  </si>
  <si>
    <t>Añadida Blackmagic URSA Cine 12K LF</t>
  </si>
  <si>
    <t>Ampliación LF</t>
  </si>
  <si>
    <t>Añadida familia ARRI Ensō Prime documentada</t>
  </si>
  <si>
    <t>Ampliación de ópticas</t>
  </si>
  <si>
    <t>Añadida Aputure STORM 1200x</t>
  </si>
  <si>
    <t>Ampliación de iluminación</t>
  </si>
  <si>
    <t>Celdas sin estado pasan explícitamente a PENDIENTE</t>
  </si>
  <si>
    <t>Evitar ambigüedad</t>
  </si>
  <si>
    <t>Regla de seguridad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</si>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</sst>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2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63238"/>
      </patternFill>
    </fill>
    <fill>
      <patternFill patternType="solid">
        <fgColor rgb="FFD9EAF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2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3" borderId="0" xfId="0" applyFont="1" applyFill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0" borderId="2" xfId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00Dashboard" displayName="T00Dashboard" ref="A1:C18">
  <autoFilter ref="A1:C18" xr:uid="{00000000-0009-0000-0100-000001000000}"/>
  <tableColumns count="3">
    <tableColumn id="1" xr3:uid="{00000000-0010-0000-0000-000001000000}" name="CONTROL IRIS DP — CATÁLOGO TÉCNICO"/>
    <tableColumn id="2" xr3:uid="{00000000-0010-0000-0000-000002000000}" name="Valor"/>
    <tableColumn id="3" xr3:uid="{00000000-0010-0000-0000-000003000000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00IndiceMaestro" displayName="T00IndiceMaestro" ref="A1:N915">
  <autoFilter ref="A1:N915" xr:uid="{00000000-0009-0000-0100-000002000000}"/>
  <tableColumns count="14">
    <tableColumn id="1" xr3:uid="{00000000-0010-0000-0100-000001000000}" name="material_id"/>
    <tableColumn id="2" xr3:uid="{00000000-0010-0000-0100-000002000000}" name="categoria"/>
    <tableColumn id="3" xr3:uid="{00000000-0010-0000-0100-000003000000}" name="marca"/>
    <tableColumn id="4" xr3:uid="{00000000-0010-0000-0100-000004000000}" name="modelo"/>
    <tableColumn id="5" xr3:uid="{00000000-0010-0000-0100-000005000000}" name="fase_estudio"/>
    <tableColumn id="6" xr3:uid="{00000000-0010-0000-0100-000006000000}" name="prioridad"/>
    <tableColumn id="7" xr3:uid="{00000000-0010-0000-0100-000007000000}" name="estado_verificacion"/>
    <tableColumn id="8" xr3:uid="{00000000-0010-0000-0100-000008000000}" name="nivel_confianza"/>
    <tableColumn id="9" xr3:uid="{00000000-0010-0000-0100-000009000000}" name="campos_verificados"/>
    <tableColumn id="10" xr3:uid="{00000000-0010-0000-0100-00000A000000}" name="fuente_principal"/>
    <tableColumn id="11" xr3:uid="{00000000-0010-0000-0100-00000B000000}" name="url_fuente"/>
    <tableColumn id="12" xr3:uid="{00000000-0010-0000-0100-00000C000000}" name="ultima_revision"/>
    <tableColumn id="13" xr3:uid="{00000000-0010-0000-0100-00000D000000}" name="siguiente_accion"/>
    <tableColumn id="14" xr3:uid="{00000000-0010-0000-0100-00000E000000}" name="apto_para_calcul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01MatrizVerificacion" displayName="T01MatrizVerificacion" ref="A1:K161">
  <autoFilter ref="A1:K161" xr:uid="{00000000-0009-0000-0100-000003000000}"/>
  <tableColumns count="11">
    <tableColumn id="1" xr3:uid="{00000000-0010-0000-0200-000001000000}" name="material_id"/>
    <tableColumn id="2" xr3:uid="{00000000-0010-0000-0200-000002000000}" name="categoria"/>
    <tableColumn id="3" xr3:uid="{00000000-0010-0000-0200-000003000000}" name="campo"/>
    <tableColumn id="4" xr3:uid="{00000000-0010-0000-0200-000004000000}" name="valor"/>
    <tableColumn id="5" xr3:uid="{00000000-0010-0000-0200-000005000000}" name="estado"/>
    <tableColumn id="6" xr3:uid="{00000000-0010-0000-0200-000006000000}" name="fuente"/>
    <tableColumn id="7" xr3:uid="{00000000-0010-0000-0200-000007000000}" name="url"/>
    <tableColumn id="8" xr3:uid="{00000000-0010-0000-0200-000008000000}" name="fecha"/>
    <tableColumn id="9" xr3:uid="{00000000-0010-0000-0200-000009000000}" name="confianza"/>
    <tableColumn id="10" xr3:uid="{00000000-0010-0000-0200-00000A000000}" name="uso_permitido"/>
    <tableColumn id="11" xr3:uid="{00000000-0010-0000-0200-00000B000000}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02RegistroFuentes" displayName="T02RegistroFuentes" ref="A1:H7">
  <autoFilter ref="A1:H7" xr:uid="{00000000-0009-0000-0100-000004000000}"/>
  <tableColumns count="8">
    <tableColumn id="1" xr3:uid="{00000000-0010-0000-0300-000001000000}" name="source_id"/>
    <tableColumn id="2" xr3:uid="{00000000-0010-0000-0300-000002000000}" name="organización"/>
    <tableColumn id="3" xr3:uid="{00000000-0010-0000-0300-000003000000}" name="tipo_fuente"/>
    <tableColumn id="4" xr3:uid="{00000000-0010-0000-0300-000004000000}" name="ámbito"/>
    <tableColumn id="5" xr3:uid="{00000000-0010-0000-0300-000005000000}" name="url"/>
    <tableColumn id="6" xr3:uid="{00000000-0010-0000-0300-000006000000}" name="prioridad"/>
    <tableColumn id="7" xr3:uid="{00000000-0010-0000-0300-000007000000}" name="regla_de_uso"/>
    <tableColumn id="8" xr3:uid="{00000000-0010-0000-0300-000008000000}" name="fecha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03DiccionarioCampos" displayName="T03DiccionarioCampos" ref="A1:G11">
  <autoFilter ref="A1:G11" xr:uid="{00000000-0009-0000-0100-000005000000}"/>
  <tableColumns count="7">
    <tableColumn id="1" xr3:uid="{00000000-0010-0000-0400-000001000000}" name="campo"/>
    <tableColumn id="2" xr3:uid="{00000000-0010-0000-0400-000002000000}" name="entidad"/>
    <tableColumn id="3" xr3:uid="{00000000-0010-0000-0400-000003000000}" name="unidad/formato"/>
    <tableColumn id="4" xr3:uid="{00000000-0010-0000-0400-000004000000}" name="definición"/>
    <tableColumn id="5" xr3:uid="{00000000-0010-0000-0400-000005000000}" name="fuente_prioritaria"/>
    <tableColumn id="6" xr3:uid="{00000000-0010-0000-0400-000006000000}" name="regla_validación"/>
    <tableColumn id="7" xr3:uid="{00000000-0010-0000-0400-000007000000}" name="impacto_IRIS_D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04Compatibilidad" displayName="T04Compatibilidad" ref="A1:I5">
  <autoFilter ref="A1:I5" xr:uid="{00000000-0009-0000-0100-000006000000}"/>
  <tableColumns count="9">
    <tableColumn id="1" xr3:uid="{00000000-0010-0000-0500-000001000000}" name="relacion_id"/>
    <tableColumn id="2" xr3:uid="{00000000-0010-0000-0500-000002000000}" name="tipo_relacion"/>
    <tableColumn id="3" xr3:uid="{00000000-0010-0000-0500-000003000000}" name="origen_id"/>
    <tableColumn id="4" xr3:uid="{00000000-0010-0000-0500-000004000000}" name="destino_id"/>
    <tableColumn id="5" xr3:uid="{00000000-0010-0000-0500-000005000000}" name="condición"/>
    <tableColumn id="6" xr3:uid="{00000000-0010-0000-0500-000006000000}" name="estado"/>
    <tableColumn id="7" xr3:uid="{00000000-0010-0000-0500-000007000000}" name="fuente"/>
    <tableColumn id="8" xr3:uid="{00000000-0010-0000-0500-000008000000}" name="fecha"/>
    <tableColumn id="9" xr3:uid="{00000000-0010-0000-0500-000009000000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05BacklogFunciones" displayName="T05BacklogFunciones" ref="A1:I9">
  <autoFilter ref="A1:I9" xr:uid="{00000000-0009-0000-0100-000007000000}"/>
  <tableColumns count="9">
    <tableColumn id="1" xr3:uid="{00000000-0010-0000-0600-000001000000}" name="funcion"/>
    <tableColumn id="2" xr3:uid="{00000000-0010-0000-0600-000002000000}" name="entradas"/>
    <tableColumn id="3" xr3:uid="{00000000-0010-0000-0600-000003000000}" name="salidas"/>
    <tableColumn id="4" xr3:uid="{00000000-0010-0000-0600-000004000000}" name="valor"/>
    <tableColumn id="5" xr3:uid="{00000000-0010-0000-0600-000005000000}" name="dependencias"/>
    <tableColumn id="6" xr3:uid="{00000000-0010-0000-0600-000006000000}" name="prioridad"/>
    <tableColumn id="7" xr3:uid="{00000000-0010-0000-0600-000007000000}" name="fase"/>
    <tableColumn id="8" xr3:uid="{00000000-0010-0000-0600-000008000000}" name="estado"/>
    <tableColumn id="9" xr3:uid="{00000000-0010-0000-0600-000009000000}" name="dato_seguro_requeri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06Changelog" displayName="T06Changelog" ref="A1:G7">
  <autoFilter ref="A1:G7" xr:uid="{00000000-0009-0000-0100-000008000000}"/>
  <tableColumns count="7">
    <tableColumn id="1" xr3:uid="{00000000-0010-0000-0700-000001000000}" name="version"/>
    <tableColumn id="2" xr3:uid="{00000000-0010-0000-0700-000002000000}" name="fecha"/>
    <tableColumn id="3" xr3:uid="{00000000-0010-0000-0700-000003000000}" name="fase"/>
    <tableColumn id="4" xr3:uid="{00000000-0010-0000-0700-000004000000}" name="cambio"/>
    <tableColumn id="5" xr3:uid="{00000000-0010-0000-0700-000005000000}" name="motivo"/>
    <tableColumn id="6" xr3:uid="{00000000-0010-0000-0700-000006000000}" name="evidencia"/>
    <tableColumn id="7" xr3:uid="{00000000-0010-0000-0700-000007000000}" name="impa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blackmagicdesign.com/es/products/blackmagicpyxis/techspecs/W-BOX-09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arri.com/en/camera-systems/cameras/alexa-mini-lf" TargetMode="External"/><Relationship Id="rId1" Type="http://schemas.openxmlformats.org/officeDocument/2006/relationships/hyperlink" Target="https://www.arri.com/en/camera-systems/cameras/legacy-camera-systems/alexa-35" TargetMode="External"/><Relationship Id="rId6" Type="http://schemas.openxmlformats.org/officeDocument/2006/relationships/hyperlink" Target="https://www.sony.com/electronics/support/res/manuals/5056/6739da6f06901102464e4751ebb152f3/50560985M.pdf" TargetMode="External"/><Relationship Id="rId5" Type="http://schemas.openxmlformats.org/officeDocument/2006/relationships/hyperlink" Target="https://www.sony.com/electronics/support/camcorders-and-video-cameras-interchangeable-lens-camcorders/ilme-fx6v/specifications" TargetMode="External"/><Relationship Id="rId4" Type="http://schemas.openxmlformats.org/officeDocument/2006/relationships/hyperlink" Target="https://www.blackmagicdesign.com/es/products/blackmagicursacine/techspecs/W-URSA-7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dak.com/en/motion/products/camera-films/" TargetMode="External"/><Relationship Id="rId3" Type="http://schemas.openxmlformats.org/officeDocument/2006/relationships/hyperlink" Target="https://www.kodak.com/en/motion/products/camera-films/" TargetMode="External"/><Relationship Id="rId7" Type="http://schemas.openxmlformats.org/officeDocument/2006/relationships/hyperlink" Target="https://www.kodak.com/en/motion/product/camera-films/ektachrome/" TargetMode="External"/><Relationship Id="rId2" Type="http://schemas.openxmlformats.org/officeDocument/2006/relationships/hyperlink" Target="https://www.kodak.com/en/motion/product/camera-films/200t-5213-7213/" TargetMode="External"/><Relationship Id="rId1" Type="http://schemas.openxmlformats.org/officeDocument/2006/relationships/hyperlink" Target="https://www.kodak.com/en/motion/product/camera-films/50d-5203-7203/" TargetMode="External"/><Relationship Id="rId6" Type="http://schemas.openxmlformats.org/officeDocument/2006/relationships/hyperlink" Target="https://www.kodak.com/en/motion/product/camera-films/eastman-double-x-black-white-5222-7222/" TargetMode="External"/><Relationship Id="rId5" Type="http://schemas.openxmlformats.org/officeDocument/2006/relationships/hyperlink" Target="https://www.kodak.com/en/motion/products/camera-films/" TargetMode="External"/><Relationship Id="rId4" Type="http://schemas.openxmlformats.org/officeDocument/2006/relationships/hyperlink" Target="https://www.kodak.com/en/motion/products/camera-films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6" customWidth="1"/>
    <col min="2" max="2" width="50" customWidth="1"/>
    <col min="3" max="3" width="12" customWidth="1"/>
  </cols>
  <sheetData>
    <row r="1" spans="1:3" ht="28" x14ac:dyDescent="0.15">
      <c r="A1" s="8" t="s">
        <v>0</v>
      </c>
      <c r="B1" s="8" t="s">
        <v>1</v>
      </c>
      <c r="C1" s="8" t="s">
        <v>3549</v>
      </c>
    </row>
    <row r="2" spans="1:3" ht="14" x14ac:dyDescent="0.15">
      <c r="A2" s="9" t="s">
        <v>2</v>
      </c>
      <c r="B2" s="9" t="s">
        <v>3</v>
      </c>
      <c r="C2" s="9"/>
    </row>
    <row r="3" spans="1:3" ht="14" x14ac:dyDescent="0.15">
      <c r="A3" s="9" t="s">
        <v>4</v>
      </c>
      <c r="B3" s="9">
        <f>COUNTA('00_Indice_Maestro'!A:A)-1</f>
        <v>914</v>
      </c>
      <c r="C3" s="9"/>
    </row>
    <row r="4" spans="1:3" ht="14" x14ac:dyDescent="0.15">
      <c r="A4" s="9" t="s">
        <v>5</v>
      </c>
      <c r="B4" s="9">
        <f>COUNTIF('00_Indice_Maestro'!G:G,"VERIFICADO")</f>
        <v>5</v>
      </c>
      <c r="C4" s="9"/>
    </row>
    <row r="5" spans="1:3" ht="14" x14ac:dyDescent="0.15">
      <c r="A5" s="9" t="s">
        <v>6</v>
      </c>
      <c r="B5" s="9">
        <f>COUNTIF('00_Indice_Maestro'!G:G,"VERIFICADO PARCIAL")+COUNTIF('00_Indice_Maestro'!G:G,"CORREGIDO Y VERIFICADO PARCIAL")</f>
        <v>24</v>
      </c>
      <c r="C5" s="9"/>
    </row>
    <row r="6" spans="1:3" ht="14" x14ac:dyDescent="0.15">
      <c r="A6" s="9" t="s">
        <v>7</v>
      </c>
      <c r="B6" s="9">
        <f>COUNTIF('00_Indice_Maestro'!G:G,"CONTRADICTORIO")</f>
        <v>1</v>
      </c>
      <c r="C6" s="9"/>
    </row>
    <row r="7" spans="1:3" ht="14" x14ac:dyDescent="0.15">
      <c r="A7" s="9" t="s">
        <v>8</v>
      </c>
      <c r="B7" s="9">
        <f>COUNTIF('00_Indice_Maestro'!G:G,"PENDIENTE")</f>
        <v>884</v>
      </c>
      <c r="C7" s="9"/>
    </row>
    <row r="8" spans="1:3" ht="28" x14ac:dyDescent="0.15">
      <c r="A8" s="9" t="s">
        <v>9</v>
      </c>
      <c r="B8" s="9" t="s">
        <v>10</v>
      </c>
      <c r="C8" s="9"/>
    </row>
    <row r="9" spans="1:3" x14ac:dyDescent="0.15">
      <c r="A9" s="9"/>
      <c r="B9" s="9"/>
      <c r="C9" s="9"/>
    </row>
    <row r="10" spans="1:3" ht="14" x14ac:dyDescent="0.15">
      <c r="A10" s="9" t="s">
        <v>11</v>
      </c>
      <c r="B10" s="9" t="s">
        <v>12</v>
      </c>
      <c r="C10" s="9" t="s">
        <v>13</v>
      </c>
    </row>
    <row r="11" spans="1:3" ht="14" x14ac:dyDescent="0.15">
      <c r="A11" s="9" t="s">
        <v>14</v>
      </c>
      <c r="B11" s="9" t="s">
        <v>15</v>
      </c>
      <c r="C11" s="9" t="s">
        <v>16</v>
      </c>
    </row>
    <row r="12" spans="1:3" ht="14" x14ac:dyDescent="0.15">
      <c r="A12" s="9" t="s">
        <v>17</v>
      </c>
      <c r="B12" s="9" t="s">
        <v>18</v>
      </c>
      <c r="C12" s="9" t="s">
        <v>19</v>
      </c>
    </row>
    <row r="13" spans="1:3" ht="14" x14ac:dyDescent="0.15">
      <c r="A13" s="9" t="s">
        <v>20</v>
      </c>
      <c r="B13" s="9" t="s">
        <v>21</v>
      </c>
      <c r="C13" s="9" t="s">
        <v>22</v>
      </c>
    </row>
    <row r="14" spans="1:3" ht="14" x14ac:dyDescent="0.15">
      <c r="A14" s="9" t="s">
        <v>23</v>
      </c>
      <c r="B14" s="9" t="s">
        <v>24</v>
      </c>
      <c r="C14" s="9" t="s">
        <v>22</v>
      </c>
    </row>
    <row r="15" spans="1:3" ht="14" x14ac:dyDescent="0.15">
      <c r="A15" s="9" t="s">
        <v>25</v>
      </c>
      <c r="B15" s="9" t="s">
        <v>26</v>
      </c>
      <c r="C15" s="9" t="s">
        <v>22</v>
      </c>
    </row>
    <row r="16" spans="1:3" ht="14" x14ac:dyDescent="0.15">
      <c r="A16" s="9" t="s">
        <v>27</v>
      </c>
      <c r="B16" s="9" t="s">
        <v>28</v>
      </c>
      <c r="C16" s="9" t="s">
        <v>22</v>
      </c>
    </row>
    <row r="17" spans="1:3" ht="14" x14ac:dyDescent="0.15">
      <c r="A17" s="9" t="s">
        <v>29</v>
      </c>
      <c r="B17" s="9" t="s">
        <v>30</v>
      </c>
      <c r="C17" s="9" t="s">
        <v>22</v>
      </c>
    </row>
    <row r="18" spans="1:3" ht="14" x14ac:dyDescent="0.15">
      <c r="A18" s="9" t="s">
        <v>31</v>
      </c>
      <c r="B18" s="9" t="s">
        <v>32</v>
      </c>
      <c r="C18" s="9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9" customWidth="1"/>
    <col min="2" max="2" width="12" customWidth="1"/>
    <col min="3" max="3" width="19" customWidth="1"/>
    <col min="4" max="4" width="23" customWidth="1"/>
    <col min="5" max="5" width="30" customWidth="1"/>
    <col min="6" max="6" width="12" customWidth="1"/>
    <col min="7" max="7" width="32" customWidth="1"/>
    <col min="8" max="8" width="17" customWidth="1"/>
    <col min="9" max="11" width="50" customWidth="1"/>
    <col min="12" max="12" width="17" customWidth="1"/>
    <col min="13" max="13" width="27" customWidth="1"/>
    <col min="14" max="14" width="29" customWidth="1"/>
  </cols>
  <sheetData>
    <row r="1" spans="1:14" ht="14" x14ac:dyDescent="0.15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</row>
    <row r="2" spans="1:14" ht="42" x14ac:dyDescent="0.15">
      <c r="A2" s="9" t="s">
        <v>47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9" t="s">
        <v>57</v>
      </c>
      <c r="L2" s="9" t="s">
        <v>3</v>
      </c>
      <c r="M2" s="9" t="s">
        <v>58</v>
      </c>
      <c r="N2" s="9" t="s">
        <v>59</v>
      </c>
    </row>
    <row r="3" spans="1:14" ht="28" x14ac:dyDescent="0.15">
      <c r="A3" s="9" t="s">
        <v>60</v>
      </c>
      <c r="B3" s="9" t="s">
        <v>48</v>
      </c>
      <c r="C3" s="9" t="s">
        <v>49</v>
      </c>
      <c r="D3" s="9" t="s">
        <v>61</v>
      </c>
      <c r="E3" s="9" t="s">
        <v>51</v>
      </c>
      <c r="F3" s="9" t="s">
        <v>52</v>
      </c>
      <c r="G3" s="9" t="s">
        <v>62</v>
      </c>
      <c r="H3" s="9" t="s">
        <v>54</v>
      </c>
      <c r="I3" s="9" t="s">
        <v>63</v>
      </c>
      <c r="J3" s="9" t="s">
        <v>64</v>
      </c>
      <c r="K3" s="9" t="s">
        <v>65</v>
      </c>
      <c r="L3" s="9" t="s">
        <v>3</v>
      </c>
      <c r="M3" s="9" t="s">
        <v>58</v>
      </c>
      <c r="N3" s="9" t="s">
        <v>66</v>
      </c>
    </row>
    <row r="4" spans="1:14" ht="14" x14ac:dyDescent="0.15">
      <c r="A4" s="9" t="s">
        <v>67</v>
      </c>
      <c r="B4" s="9" t="s">
        <v>48</v>
      </c>
      <c r="C4" s="9" t="s">
        <v>49</v>
      </c>
      <c r="D4" s="9" t="s">
        <v>68</v>
      </c>
      <c r="E4" s="9" t="s">
        <v>51</v>
      </c>
      <c r="F4" s="9" t="s">
        <v>52</v>
      </c>
      <c r="G4" s="9" t="s">
        <v>69</v>
      </c>
      <c r="H4" s="9"/>
      <c r="I4" s="9"/>
      <c r="J4" s="9"/>
      <c r="K4" s="9"/>
      <c r="L4" s="9" t="s">
        <v>3</v>
      </c>
      <c r="M4" s="9" t="s">
        <v>58</v>
      </c>
      <c r="N4" s="9" t="s">
        <v>66</v>
      </c>
    </row>
    <row r="5" spans="1:14" ht="14" x14ac:dyDescent="0.15">
      <c r="A5" s="9" t="s">
        <v>70</v>
      </c>
      <c r="B5" s="9" t="s">
        <v>48</v>
      </c>
      <c r="C5" s="9" t="s">
        <v>49</v>
      </c>
      <c r="D5" s="9" t="s">
        <v>71</v>
      </c>
      <c r="E5" s="9" t="s">
        <v>51</v>
      </c>
      <c r="F5" s="9" t="s">
        <v>52</v>
      </c>
      <c r="G5" s="9" t="s">
        <v>69</v>
      </c>
      <c r="H5" s="9"/>
      <c r="I5" s="9"/>
      <c r="J5" s="9"/>
      <c r="K5" s="9"/>
      <c r="L5" s="9" t="s">
        <v>3</v>
      </c>
      <c r="M5" s="9" t="s">
        <v>58</v>
      </c>
      <c r="N5" s="9" t="s">
        <v>66</v>
      </c>
    </row>
    <row r="6" spans="1:14" ht="14" x14ac:dyDescent="0.15">
      <c r="A6" s="9" t="s">
        <v>72</v>
      </c>
      <c r="B6" s="9" t="s">
        <v>48</v>
      </c>
      <c r="C6" s="9" t="s">
        <v>49</v>
      </c>
      <c r="D6" s="9" t="s">
        <v>73</v>
      </c>
      <c r="E6" s="9" t="s">
        <v>51</v>
      </c>
      <c r="F6" s="9" t="s">
        <v>52</v>
      </c>
      <c r="G6" s="9" t="s">
        <v>69</v>
      </c>
      <c r="H6" s="9"/>
      <c r="I6" s="9"/>
      <c r="J6" s="9"/>
      <c r="K6" s="9"/>
      <c r="L6" s="9" t="s">
        <v>3</v>
      </c>
      <c r="M6" s="9" t="s">
        <v>58</v>
      </c>
      <c r="N6" s="9" t="s">
        <v>66</v>
      </c>
    </row>
    <row r="7" spans="1:14" ht="14" x14ac:dyDescent="0.15">
      <c r="A7" s="9" t="s">
        <v>74</v>
      </c>
      <c r="B7" s="9" t="s">
        <v>48</v>
      </c>
      <c r="C7" s="9" t="s">
        <v>49</v>
      </c>
      <c r="D7" s="9" t="s">
        <v>75</v>
      </c>
      <c r="E7" s="9" t="s">
        <v>51</v>
      </c>
      <c r="F7" s="9" t="s">
        <v>52</v>
      </c>
      <c r="G7" s="9" t="s">
        <v>69</v>
      </c>
      <c r="H7" s="9"/>
      <c r="I7" s="9"/>
      <c r="J7" s="9"/>
      <c r="K7" s="9"/>
      <c r="L7" s="9" t="s">
        <v>3</v>
      </c>
      <c r="M7" s="9" t="s">
        <v>58</v>
      </c>
      <c r="N7" s="9" t="s">
        <v>66</v>
      </c>
    </row>
    <row r="8" spans="1:14" ht="14" x14ac:dyDescent="0.15">
      <c r="A8" s="9" t="s">
        <v>76</v>
      </c>
      <c r="B8" s="9" t="s">
        <v>48</v>
      </c>
      <c r="C8" s="9" t="s">
        <v>49</v>
      </c>
      <c r="D8" s="9" t="s">
        <v>77</v>
      </c>
      <c r="E8" s="9" t="s">
        <v>51</v>
      </c>
      <c r="F8" s="9" t="s">
        <v>52</v>
      </c>
      <c r="G8" s="9" t="s">
        <v>69</v>
      </c>
      <c r="H8" s="9"/>
      <c r="I8" s="9"/>
      <c r="J8" s="9"/>
      <c r="K8" s="9"/>
      <c r="L8" s="9" t="s">
        <v>3</v>
      </c>
      <c r="M8" s="9" t="s">
        <v>58</v>
      </c>
      <c r="N8" s="9" t="s">
        <v>66</v>
      </c>
    </row>
    <row r="9" spans="1:14" ht="14" x14ac:dyDescent="0.15">
      <c r="A9" s="9" t="s">
        <v>78</v>
      </c>
      <c r="B9" s="9" t="s">
        <v>48</v>
      </c>
      <c r="C9" s="9" t="s">
        <v>49</v>
      </c>
      <c r="D9" s="9" t="s">
        <v>79</v>
      </c>
      <c r="E9" s="9" t="s">
        <v>51</v>
      </c>
      <c r="F9" s="9" t="s">
        <v>52</v>
      </c>
      <c r="G9" s="9" t="s">
        <v>69</v>
      </c>
      <c r="H9" s="9"/>
      <c r="I9" s="9"/>
      <c r="J9" s="9"/>
      <c r="K9" s="9"/>
      <c r="L9" s="9" t="s">
        <v>3</v>
      </c>
      <c r="M9" s="9" t="s">
        <v>58</v>
      </c>
      <c r="N9" s="9" t="s">
        <v>66</v>
      </c>
    </row>
    <row r="10" spans="1:14" ht="14" x14ac:dyDescent="0.15">
      <c r="A10" s="9" t="s">
        <v>80</v>
      </c>
      <c r="B10" s="9" t="s">
        <v>48</v>
      </c>
      <c r="C10" s="9" t="s">
        <v>49</v>
      </c>
      <c r="D10" s="9" t="s">
        <v>81</v>
      </c>
      <c r="E10" s="9" t="s">
        <v>51</v>
      </c>
      <c r="F10" s="9" t="s">
        <v>52</v>
      </c>
      <c r="G10" s="9" t="s">
        <v>69</v>
      </c>
      <c r="H10" s="9"/>
      <c r="I10" s="9"/>
      <c r="J10" s="9"/>
      <c r="K10" s="9"/>
      <c r="L10" s="9" t="s">
        <v>3</v>
      </c>
      <c r="M10" s="9" t="s">
        <v>58</v>
      </c>
      <c r="N10" s="9" t="s">
        <v>66</v>
      </c>
    </row>
    <row r="11" spans="1:14" ht="14" x14ac:dyDescent="0.15">
      <c r="A11" s="9" t="s">
        <v>82</v>
      </c>
      <c r="B11" s="9" t="s">
        <v>48</v>
      </c>
      <c r="C11" s="9" t="s">
        <v>49</v>
      </c>
      <c r="D11" s="9" t="s">
        <v>83</v>
      </c>
      <c r="E11" s="9" t="s">
        <v>51</v>
      </c>
      <c r="F11" s="9" t="s">
        <v>52</v>
      </c>
      <c r="G11" s="9" t="s">
        <v>69</v>
      </c>
      <c r="H11" s="9"/>
      <c r="I11" s="9"/>
      <c r="J11" s="9"/>
      <c r="K11" s="9"/>
      <c r="L11" s="9" t="s">
        <v>3</v>
      </c>
      <c r="M11" s="9" t="s">
        <v>58</v>
      </c>
      <c r="N11" s="9" t="s">
        <v>66</v>
      </c>
    </row>
    <row r="12" spans="1:14" ht="14" x14ac:dyDescent="0.15">
      <c r="A12" s="9" t="s">
        <v>84</v>
      </c>
      <c r="B12" s="9" t="s">
        <v>48</v>
      </c>
      <c r="C12" s="9" t="s">
        <v>49</v>
      </c>
      <c r="D12" s="9" t="s">
        <v>85</v>
      </c>
      <c r="E12" s="9" t="s">
        <v>51</v>
      </c>
      <c r="F12" s="9" t="s">
        <v>52</v>
      </c>
      <c r="G12" s="9" t="s">
        <v>69</v>
      </c>
      <c r="H12" s="9"/>
      <c r="I12" s="9"/>
      <c r="J12" s="9"/>
      <c r="K12" s="9"/>
      <c r="L12" s="9" t="s">
        <v>3</v>
      </c>
      <c r="M12" s="9" t="s">
        <v>58</v>
      </c>
      <c r="N12" s="9" t="s">
        <v>66</v>
      </c>
    </row>
    <row r="13" spans="1:14" ht="14" x14ac:dyDescent="0.15">
      <c r="A13" s="9" t="s">
        <v>86</v>
      </c>
      <c r="B13" s="9" t="s">
        <v>48</v>
      </c>
      <c r="C13" s="9" t="s">
        <v>49</v>
      </c>
      <c r="D13" s="9" t="s">
        <v>87</v>
      </c>
      <c r="E13" s="9" t="s">
        <v>51</v>
      </c>
      <c r="F13" s="9" t="s">
        <v>52</v>
      </c>
      <c r="G13" s="9" t="s">
        <v>69</v>
      </c>
      <c r="H13" s="9"/>
      <c r="I13" s="9"/>
      <c r="J13" s="9"/>
      <c r="K13" s="9"/>
      <c r="L13" s="9" t="s">
        <v>3</v>
      </c>
      <c r="M13" s="9" t="s">
        <v>58</v>
      </c>
      <c r="N13" s="9" t="s">
        <v>66</v>
      </c>
    </row>
    <row r="14" spans="1:14" ht="14" x14ac:dyDescent="0.15">
      <c r="A14" s="9" t="s">
        <v>88</v>
      </c>
      <c r="B14" s="9" t="s">
        <v>48</v>
      </c>
      <c r="C14" s="9" t="s">
        <v>49</v>
      </c>
      <c r="D14" s="9" t="s">
        <v>89</v>
      </c>
      <c r="E14" s="9" t="s">
        <v>51</v>
      </c>
      <c r="F14" s="9" t="s">
        <v>52</v>
      </c>
      <c r="G14" s="9" t="s">
        <v>69</v>
      </c>
      <c r="H14" s="9"/>
      <c r="I14" s="9"/>
      <c r="J14" s="9"/>
      <c r="K14" s="9"/>
      <c r="L14" s="9" t="s">
        <v>3</v>
      </c>
      <c r="M14" s="9" t="s">
        <v>58</v>
      </c>
      <c r="N14" s="9" t="s">
        <v>66</v>
      </c>
    </row>
    <row r="15" spans="1:14" ht="14" x14ac:dyDescent="0.15">
      <c r="A15" s="9" t="s">
        <v>90</v>
      </c>
      <c r="B15" s="9" t="s">
        <v>48</v>
      </c>
      <c r="C15" s="9" t="s">
        <v>49</v>
      </c>
      <c r="D15" s="9" t="s">
        <v>91</v>
      </c>
      <c r="E15" s="9" t="s">
        <v>51</v>
      </c>
      <c r="F15" s="9" t="s">
        <v>52</v>
      </c>
      <c r="G15" s="9" t="s">
        <v>69</v>
      </c>
      <c r="H15" s="9"/>
      <c r="I15" s="9"/>
      <c r="J15" s="9"/>
      <c r="K15" s="9"/>
      <c r="L15" s="9" t="s">
        <v>3</v>
      </c>
      <c r="M15" s="9" t="s">
        <v>58</v>
      </c>
      <c r="N15" s="9" t="s">
        <v>66</v>
      </c>
    </row>
    <row r="16" spans="1:14" ht="14" x14ac:dyDescent="0.15">
      <c r="A16" s="9" t="s">
        <v>92</v>
      </c>
      <c r="B16" s="9" t="s">
        <v>48</v>
      </c>
      <c r="C16" s="9" t="s">
        <v>93</v>
      </c>
      <c r="D16" s="9" t="s">
        <v>94</v>
      </c>
      <c r="E16" s="9" t="s">
        <v>51</v>
      </c>
      <c r="F16" s="9" t="s">
        <v>52</v>
      </c>
      <c r="G16" s="9" t="s">
        <v>69</v>
      </c>
      <c r="H16" s="9"/>
      <c r="I16" s="9"/>
      <c r="J16" s="9"/>
      <c r="K16" s="9"/>
      <c r="L16" s="9" t="s">
        <v>3</v>
      </c>
      <c r="M16" s="9" t="s">
        <v>58</v>
      </c>
      <c r="N16" s="9" t="s">
        <v>66</v>
      </c>
    </row>
    <row r="17" spans="1:14" ht="28" x14ac:dyDescent="0.15">
      <c r="A17" s="9" t="s">
        <v>95</v>
      </c>
      <c r="B17" s="9" t="s">
        <v>48</v>
      </c>
      <c r="C17" s="9" t="s">
        <v>93</v>
      </c>
      <c r="D17" s="9" t="s">
        <v>96</v>
      </c>
      <c r="E17" s="9" t="s">
        <v>51</v>
      </c>
      <c r="F17" s="9" t="s">
        <v>52</v>
      </c>
      <c r="G17" s="9" t="s">
        <v>97</v>
      </c>
      <c r="H17" s="9" t="s">
        <v>54</v>
      </c>
      <c r="I17" s="9" t="s">
        <v>98</v>
      </c>
      <c r="J17" s="9" t="s">
        <v>99</v>
      </c>
      <c r="K17" s="9" t="s">
        <v>100</v>
      </c>
      <c r="L17" s="9" t="s">
        <v>3</v>
      </c>
      <c r="M17" s="9" t="s">
        <v>58</v>
      </c>
      <c r="N17" s="9" t="s">
        <v>59</v>
      </c>
    </row>
    <row r="18" spans="1:14" ht="14" x14ac:dyDescent="0.15">
      <c r="A18" s="9" t="s">
        <v>101</v>
      </c>
      <c r="B18" s="9" t="s">
        <v>48</v>
      </c>
      <c r="C18" s="9" t="s">
        <v>93</v>
      </c>
      <c r="D18" s="9" t="s">
        <v>102</v>
      </c>
      <c r="E18" s="9" t="s">
        <v>51</v>
      </c>
      <c r="F18" s="9" t="s">
        <v>52</v>
      </c>
      <c r="G18" s="9" t="s">
        <v>69</v>
      </c>
      <c r="H18" s="9"/>
      <c r="I18" s="9"/>
      <c r="J18" s="9"/>
      <c r="K18" s="9"/>
      <c r="L18" s="9" t="s">
        <v>3</v>
      </c>
      <c r="M18" s="9" t="s">
        <v>58</v>
      </c>
      <c r="N18" s="9" t="s">
        <v>66</v>
      </c>
    </row>
    <row r="19" spans="1:14" ht="14" x14ac:dyDescent="0.15">
      <c r="A19" s="9" t="s">
        <v>103</v>
      </c>
      <c r="B19" s="9" t="s">
        <v>48</v>
      </c>
      <c r="C19" s="9" t="s">
        <v>93</v>
      </c>
      <c r="D19" s="9" t="s">
        <v>104</v>
      </c>
      <c r="E19" s="9" t="s">
        <v>51</v>
      </c>
      <c r="F19" s="9" t="s">
        <v>52</v>
      </c>
      <c r="G19" s="9" t="s">
        <v>69</v>
      </c>
      <c r="H19" s="9"/>
      <c r="I19" s="9"/>
      <c r="J19" s="9"/>
      <c r="K19" s="9"/>
      <c r="L19" s="9" t="s">
        <v>3</v>
      </c>
      <c r="M19" s="9" t="s">
        <v>58</v>
      </c>
      <c r="N19" s="9" t="s">
        <v>66</v>
      </c>
    </row>
    <row r="20" spans="1:14" ht="14" x14ac:dyDescent="0.15">
      <c r="A20" s="9" t="s">
        <v>105</v>
      </c>
      <c r="B20" s="9" t="s">
        <v>48</v>
      </c>
      <c r="C20" s="9" t="s">
        <v>93</v>
      </c>
      <c r="D20" s="9" t="s">
        <v>106</v>
      </c>
      <c r="E20" s="9" t="s">
        <v>51</v>
      </c>
      <c r="F20" s="9" t="s">
        <v>52</v>
      </c>
      <c r="G20" s="9" t="s">
        <v>69</v>
      </c>
      <c r="H20" s="9"/>
      <c r="I20" s="9"/>
      <c r="J20" s="9"/>
      <c r="K20" s="9"/>
      <c r="L20" s="9" t="s">
        <v>3</v>
      </c>
      <c r="M20" s="9" t="s">
        <v>58</v>
      </c>
      <c r="N20" s="9" t="s">
        <v>66</v>
      </c>
    </row>
    <row r="21" spans="1:14" ht="14" x14ac:dyDescent="0.15">
      <c r="A21" s="9" t="s">
        <v>107</v>
      </c>
      <c r="B21" s="9" t="s">
        <v>48</v>
      </c>
      <c r="C21" s="9" t="s">
        <v>93</v>
      </c>
      <c r="D21" s="9" t="s">
        <v>108</v>
      </c>
      <c r="E21" s="9" t="s">
        <v>51</v>
      </c>
      <c r="F21" s="9" t="s">
        <v>52</v>
      </c>
      <c r="G21" s="9" t="s">
        <v>69</v>
      </c>
      <c r="H21" s="9"/>
      <c r="I21" s="9"/>
      <c r="J21" s="9"/>
      <c r="K21" s="9"/>
      <c r="L21" s="9" t="s">
        <v>3</v>
      </c>
      <c r="M21" s="9" t="s">
        <v>58</v>
      </c>
      <c r="N21" s="9" t="s">
        <v>66</v>
      </c>
    </row>
    <row r="22" spans="1:14" ht="28" x14ac:dyDescent="0.15">
      <c r="A22" s="9" t="s">
        <v>109</v>
      </c>
      <c r="B22" s="9" t="s">
        <v>48</v>
      </c>
      <c r="C22" s="9" t="s">
        <v>93</v>
      </c>
      <c r="D22" s="9" t="s">
        <v>110</v>
      </c>
      <c r="E22" s="9" t="s">
        <v>51</v>
      </c>
      <c r="F22" s="9" t="s">
        <v>52</v>
      </c>
      <c r="G22" s="9" t="s">
        <v>53</v>
      </c>
      <c r="H22" s="9" t="s">
        <v>54</v>
      </c>
      <c r="I22" s="9" t="s">
        <v>111</v>
      </c>
      <c r="J22" s="9" t="s">
        <v>112</v>
      </c>
      <c r="K22" s="9" t="s">
        <v>113</v>
      </c>
      <c r="L22" s="9" t="s">
        <v>3</v>
      </c>
      <c r="M22" s="9" t="s">
        <v>58</v>
      </c>
      <c r="N22" s="9" t="s">
        <v>59</v>
      </c>
    </row>
    <row r="23" spans="1:14" ht="14" x14ac:dyDescent="0.15">
      <c r="A23" s="9" t="s">
        <v>114</v>
      </c>
      <c r="B23" s="9" t="s">
        <v>48</v>
      </c>
      <c r="C23" s="9" t="s">
        <v>93</v>
      </c>
      <c r="D23" s="9" t="s">
        <v>115</v>
      </c>
      <c r="E23" s="9" t="s">
        <v>51</v>
      </c>
      <c r="F23" s="9" t="s">
        <v>52</v>
      </c>
      <c r="G23" s="9" t="s">
        <v>69</v>
      </c>
      <c r="H23" s="9"/>
      <c r="I23" s="9"/>
      <c r="J23" s="9"/>
      <c r="K23" s="9"/>
      <c r="L23" s="9" t="s">
        <v>3</v>
      </c>
      <c r="M23" s="9" t="s">
        <v>58</v>
      </c>
      <c r="N23" s="9" t="s">
        <v>66</v>
      </c>
    </row>
    <row r="24" spans="1:14" ht="14" x14ac:dyDescent="0.15">
      <c r="A24" s="9" t="s">
        <v>116</v>
      </c>
      <c r="B24" s="9" t="s">
        <v>48</v>
      </c>
      <c r="C24" s="9" t="s">
        <v>117</v>
      </c>
      <c r="D24" s="9" t="s">
        <v>118</v>
      </c>
      <c r="E24" s="9" t="s">
        <v>51</v>
      </c>
      <c r="F24" s="9" t="s">
        <v>52</v>
      </c>
      <c r="G24" s="9" t="s">
        <v>69</v>
      </c>
      <c r="H24" s="9"/>
      <c r="I24" s="9"/>
      <c r="J24" s="9"/>
      <c r="K24" s="9"/>
      <c r="L24" s="9" t="s">
        <v>3</v>
      </c>
      <c r="M24" s="9" t="s">
        <v>58</v>
      </c>
      <c r="N24" s="9" t="s">
        <v>66</v>
      </c>
    </row>
    <row r="25" spans="1:14" ht="14" x14ac:dyDescent="0.15">
      <c r="A25" s="9" t="s">
        <v>119</v>
      </c>
      <c r="B25" s="9" t="s">
        <v>48</v>
      </c>
      <c r="C25" s="9" t="s">
        <v>117</v>
      </c>
      <c r="D25" s="9" t="s">
        <v>120</v>
      </c>
      <c r="E25" s="9" t="s">
        <v>51</v>
      </c>
      <c r="F25" s="9" t="s">
        <v>52</v>
      </c>
      <c r="G25" s="9" t="s">
        <v>69</v>
      </c>
      <c r="H25" s="9"/>
      <c r="I25" s="9"/>
      <c r="J25" s="9"/>
      <c r="K25" s="9"/>
      <c r="L25" s="9" t="s">
        <v>3</v>
      </c>
      <c r="M25" s="9" t="s">
        <v>58</v>
      </c>
      <c r="N25" s="9" t="s">
        <v>66</v>
      </c>
    </row>
    <row r="26" spans="1:14" ht="14" x14ac:dyDescent="0.15">
      <c r="A26" s="9" t="s">
        <v>121</v>
      </c>
      <c r="B26" s="9" t="s">
        <v>48</v>
      </c>
      <c r="C26" s="9" t="s">
        <v>117</v>
      </c>
      <c r="D26" s="9" t="s">
        <v>122</v>
      </c>
      <c r="E26" s="9" t="s">
        <v>51</v>
      </c>
      <c r="F26" s="9" t="s">
        <v>52</v>
      </c>
      <c r="G26" s="9" t="s">
        <v>69</v>
      </c>
      <c r="H26" s="9"/>
      <c r="I26" s="9"/>
      <c r="J26" s="9"/>
      <c r="K26" s="9"/>
      <c r="L26" s="9" t="s">
        <v>3</v>
      </c>
      <c r="M26" s="9" t="s">
        <v>58</v>
      </c>
      <c r="N26" s="9" t="s">
        <v>66</v>
      </c>
    </row>
    <row r="27" spans="1:14" ht="14" x14ac:dyDescent="0.15">
      <c r="A27" s="9" t="s">
        <v>123</v>
      </c>
      <c r="B27" s="9" t="s">
        <v>48</v>
      </c>
      <c r="C27" s="9" t="s">
        <v>117</v>
      </c>
      <c r="D27" s="9" t="s">
        <v>124</v>
      </c>
      <c r="E27" s="9" t="s">
        <v>51</v>
      </c>
      <c r="F27" s="9" t="s">
        <v>52</v>
      </c>
      <c r="G27" s="9" t="s">
        <v>69</v>
      </c>
      <c r="H27" s="9"/>
      <c r="I27" s="9"/>
      <c r="J27" s="9"/>
      <c r="K27" s="9"/>
      <c r="L27" s="9" t="s">
        <v>3</v>
      </c>
      <c r="M27" s="9" t="s">
        <v>58</v>
      </c>
      <c r="N27" s="9" t="s">
        <v>66</v>
      </c>
    </row>
    <row r="28" spans="1:14" ht="14" x14ac:dyDescent="0.15">
      <c r="A28" s="9" t="s">
        <v>125</v>
      </c>
      <c r="B28" s="9" t="s">
        <v>48</v>
      </c>
      <c r="C28" s="9" t="s">
        <v>117</v>
      </c>
      <c r="D28" s="9" t="s">
        <v>126</v>
      </c>
      <c r="E28" s="9" t="s">
        <v>51</v>
      </c>
      <c r="F28" s="9" t="s">
        <v>52</v>
      </c>
      <c r="G28" s="9" t="s">
        <v>69</v>
      </c>
      <c r="H28" s="9"/>
      <c r="I28" s="9"/>
      <c r="J28" s="9"/>
      <c r="K28" s="9"/>
      <c r="L28" s="9" t="s">
        <v>3</v>
      </c>
      <c r="M28" s="9" t="s">
        <v>58</v>
      </c>
      <c r="N28" s="9" t="s">
        <v>66</v>
      </c>
    </row>
    <row r="29" spans="1:14" ht="14" x14ac:dyDescent="0.15">
      <c r="A29" s="9" t="s">
        <v>127</v>
      </c>
      <c r="B29" s="9" t="s">
        <v>48</v>
      </c>
      <c r="C29" s="9" t="s">
        <v>117</v>
      </c>
      <c r="D29" s="9" t="s">
        <v>128</v>
      </c>
      <c r="E29" s="9" t="s">
        <v>51</v>
      </c>
      <c r="F29" s="9" t="s">
        <v>52</v>
      </c>
      <c r="G29" s="9" t="s">
        <v>69</v>
      </c>
      <c r="H29" s="9"/>
      <c r="I29" s="9"/>
      <c r="J29" s="9"/>
      <c r="K29" s="9"/>
      <c r="L29" s="9" t="s">
        <v>3</v>
      </c>
      <c r="M29" s="9" t="s">
        <v>58</v>
      </c>
      <c r="N29" s="9" t="s">
        <v>66</v>
      </c>
    </row>
    <row r="30" spans="1:14" ht="14" x14ac:dyDescent="0.15">
      <c r="A30" s="9" t="s">
        <v>129</v>
      </c>
      <c r="B30" s="9" t="s">
        <v>48</v>
      </c>
      <c r="C30" s="9" t="s">
        <v>117</v>
      </c>
      <c r="D30" s="9" t="s">
        <v>130</v>
      </c>
      <c r="E30" s="9" t="s">
        <v>51</v>
      </c>
      <c r="F30" s="9" t="s">
        <v>52</v>
      </c>
      <c r="G30" s="9" t="s">
        <v>69</v>
      </c>
      <c r="H30" s="9"/>
      <c r="I30" s="9"/>
      <c r="J30" s="9"/>
      <c r="K30" s="9"/>
      <c r="L30" s="9" t="s">
        <v>3</v>
      </c>
      <c r="M30" s="9" t="s">
        <v>58</v>
      </c>
      <c r="N30" s="9" t="s">
        <v>66</v>
      </c>
    </row>
    <row r="31" spans="1:14" ht="14" x14ac:dyDescent="0.15">
      <c r="A31" s="9" t="s">
        <v>131</v>
      </c>
      <c r="B31" s="9" t="s">
        <v>48</v>
      </c>
      <c r="C31" s="9" t="s">
        <v>117</v>
      </c>
      <c r="D31" s="9" t="s">
        <v>132</v>
      </c>
      <c r="E31" s="9" t="s">
        <v>51</v>
      </c>
      <c r="F31" s="9" t="s">
        <v>52</v>
      </c>
      <c r="G31" s="9" t="s">
        <v>69</v>
      </c>
      <c r="H31" s="9"/>
      <c r="I31" s="9"/>
      <c r="J31" s="9"/>
      <c r="K31" s="9"/>
      <c r="L31" s="9" t="s">
        <v>3</v>
      </c>
      <c r="M31" s="9" t="s">
        <v>58</v>
      </c>
      <c r="N31" s="9" t="s">
        <v>66</v>
      </c>
    </row>
    <row r="32" spans="1:14" ht="14" x14ac:dyDescent="0.15">
      <c r="A32" s="9" t="s">
        <v>133</v>
      </c>
      <c r="B32" s="9" t="s">
        <v>48</v>
      </c>
      <c r="C32" s="9" t="s">
        <v>117</v>
      </c>
      <c r="D32" s="9" t="s">
        <v>134</v>
      </c>
      <c r="E32" s="9" t="s">
        <v>51</v>
      </c>
      <c r="F32" s="9" t="s">
        <v>52</v>
      </c>
      <c r="G32" s="9" t="s">
        <v>69</v>
      </c>
      <c r="H32" s="9"/>
      <c r="I32" s="9"/>
      <c r="J32" s="9"/>
      <c r="K32" s="9"/>
      <c r="L32" s="9" t="s">
        <v>3</v>
      </c>
      <c r="M32" s="9" t="s">
        <v>58</v>
      </c>
      <c r="N32" s="9" t="s">
        <v>66</v>
      </c>
    </row>
    <row r="33" spans="1:14" ht="14" x14ac:dyDescent="0.15">
      <c r="A33" s="9" t="s">
        <v>135</v>
      </c>
      <c r="B33" s="9" t="s">
        <v>48</v>
      </c>
      <c r="C33" s="9" t="s">
        <v>136</v>
      </c>
      <c r="D33" s="9" t="s">
        <v>137</v>
      </c>
      <c r="E33" s="9" t="s">
        <v>51</v>
      </c>
      <c r="F33" s="9" t="s">
        <v>52</v>
      </c>
      <c r="G33" s="9" t="s">
        <v>69</v>
      </c>
      <c r="H33" s="9"/>
      <c r="I33" s="9"/>
      <c r="J33" s="9"/>
      <c r="K33" s="9"/>
      <c r="L33" s="9" t="s">
        <v>3</v>
      </c>
      <c r="M33" s="9" t="s">
        <v>58</v>
      </c>
      <c r="N33" s="9" t="s">
        <v>66</v>
      </c>
    </row>
    <row r="34" spans="1:14" ht="14" x14ac:dyDescent="0.15">
      <c r="A34" s="9" t="s">
        <v>138</v>
      </c>
      <c r="B34" s="9" t="s">
        <v>48</v>
      </c>
      <c r="C34" s="9" t="s">
        <v>139</v>
      </c>
      <c r="D34" s="9" t="s">
        <v>140</v>
      </c>
      <c r="E34" s="9" t="s">
        <v>51</v>
      </c>
      <c r="F34" s="9" t="s">
        <v>52</v>
      </c>
      <c r="G34" s="9" t="s">
        <v>69</v>
      </c>
      <c r="H34" s="9"/>
      <c r="I34" s="9"/>
      <c r="J34" s="9"/>
      <c r="K34" s="9"/>
      <c r="L34" s="9" t="s">
        <v>3</v>
      </c>
      <c r="M34" s="9" t="s">
        <v>58</v>
      </c>
      <c r="N34" s="9" t="s">
        <v>66</v>
      </c>
    </row>
    <row r="35" spans="1:14" ht="14" x14ac:dyDescent="0.15">
      <c r="A35" s="9" t="s">
        <v>141</v>
      </c>
      <c r="B35" s="9" t="s">
        <v>48</v>
      </c>
      <c r="C35" s="9" t="s">
        <v>139</v>
      </c>
      <c r="D35" s="9" t="s">
        <v>142</v>
      </c>
      <c r="E35" s="9" t="s">
        <v>51</v>
      </c>
      <c r="F35" s="9" t="s">
        <v>52</v>
      </c>
      <c r="G35" s="9" t="s">
        <v>69</v>
      </c>
      <c r="H35" s="9"/>
      <c r="I35" s="9"/>
      <c r="J35" s="9"/>
      <c r="K35" s="9"/>
      <c r="L35" s="9" t="s">
        <v>3</v>
      </c>
      <c r="M35" s="9" t="s">
        <v>58</v>
      </c>
      <c r="N35" s="9" t="s">
        <v>66</v>
      </c>
    </row>
    <row r="36" spans="1:14" ht="14" x14ac:dyDescent="0.15">
      <c r="A36" s="9" t="s">
        <v>143</v>
      </c>
      <c r="B36" s="9" t="s">
        <v>48</v>
      </c>
      <c r="C36" s="9" t="s">
        <v>139</v>
      </c>
      <c r="D36" s="9" t="s">
        <v>144</v>
      </c>
      <c r="E36" s="9" t="s">
        <v>51</v>
      </c>
      <c r="F36" s="9" t="s">
        <v>52</v>
      </c>
      <c r="G36" s="9" t="s">
        <v>69</v>
      </c>
      <c r="H36" s="9"/>
      <c r="I36" s="9"/>
      <c r="J36" s="9"/>
      <c r="K36" s="9"/>
      <c r="L36" s="9" t="s">
        <v>3</v>
      </c>
      <c r="M36" s="9" t="s">
        <v>58</v>
      </c>
      <c r="N36" s="9" t="s">
        <v>66</v>
      </c>
    </row>
    <row r="37" spans="1:14" ht="14" x14ac:dyDescent="0.15">
      <c r="A37" s="9" t="s">
        <v>145</v>
      </c>
      <c r="B37" s="9" t="s">
        <v>48</v>
      </c>
      <c r="C37" s="9" t="s">
        <v>139</v>
      </c>
      <c r="D37" s="9" t="s">
        <v>146</v>
      </c>
      <c r="E37" s="9" t="s">
        <v>51</v>
      </c>
      <c r="F37" s="9" t="s">
        <v>52</v>
      </c>
      <c r="G37" s="9" t="s">
        <v>69</v>
      </c>
      <c r="H37" s="9"/>
      <c r="I37" s="9"/>
      <c r="J37" s="9"/>
      <c r="K37" s="9"/>
      <c r="L37" s="9" t="s">
        <v>3</v>
      </c>
      <c r="M37" s="9" t="s">
        <v>58</v>
      </c>
      <c r="N37" s="9" t="s">
        <v>66</v>
      </c>
    </row>
    <row r="38" spans="1:14" ht="14" x14ac:dyDescent="0.15">
      <c r="A38" s="9" t="s">
        <v>147</v>
      </c>
      <c r="B38" s="9" t="s">
        <v>48</v>
      </c>
      <c r="C38" s="9" t="s">
        <v>139</v>
      </c>
      <c r="D38" s="9" t="s">
        <v>148</v>
      </c>
      <c r="E38" s="9" t="s">
        <v>51</v>
      </c>
      <c r="F38" s="9" t="s">
        <v>52</v>
      </c>
      <c r="G38" s="9" t="s">
        <v>69</v>
      </c>
      <c r="H38" s="9"/>
      <c r="I38" s="9"/>
      <c r="J38" s="9"/>
      <c r="K38" s="9"/>
      <c r="L38" s="9" t="s">
        <v>3</v>
      </c>
      <c r="M38" s="9" t="s">
        <v>58</v>
      </c>
      <c r="N38" s="9" t="s">
        <v>66</v>
      </c>
    </row>
    <row r="39" spans="1:14" ht="14" x14ac:dyDescent="0.15">
      <c r="A39" s="9" t="s">
        <v>149</v>
      </c>
      <c r="B39" s="9" t="s">
        <v>48</v>
      </c>
      <c r="C39" s="9" t="s">
        <v>139</v>
      </c>
      <c r="D39" s="9" t="s">
        <v>150</v>
      </c>
      <c r="E39" s="9" t="s">
        <v>51</v>
      </c>
      <c r="F39" s="9" t="s">
        <v>52</v>
      </c>
      <c r="G39" s="9" t="s">
        <v>69</v>
      </c>
      <c r="H39" s="9"/>
      <c r="I39" s="9"/>
      <c r="J39" s="9"/>
      <c r="K39" s="9"/>
      <c r="L39" s="9" t="s">
        <v>3</v>
      </c>
      <c r="M39" s="9" t="s">
        <v>58</v>
      </c>
      <c r="N39" s="9" t="s">
        <v>66</v>
      </c>
    </row>
    <row r="40" spans="1:14" ht="14" x14ac:dyDescent="0.15">
      <c r="A40" s="9" t="s">
        <v>151</v>
      </c>
      <c r="B40" s="9" t="s">
        <v>48</v>
      </c>
      <c r="C40" s="9" t="s">
        <v>152</v>
      </c>
      <c r="D40" s="9" t="s">
        <v>153</v>
      </c>
      <c r="E40" s="9" t="s">
        <v>51</v>
      </c>
      <c r="F40" s="9" t="s">
        <v>52</v>
      </c>
      <c r="G40" s="9" t="s">
        <v>69</v>
      </c>
      <c r="H40" s="9"/>
      <c r="I40" s="9"/>
      <c r="J40" s="9"/>
      <c r="K40" s="9"/>
      <c r="L40" s="9" t="s">
        <v>3</v>
      </c>
      <c r="M40" s="9" t="s">
        <v>58</v>
      </c>
      <c r="N40" s="9" t="s">
        <v>66</v>
      </c>
    </row>
    <row r="41" spans="1:14" ht="14" x14ac:dyDescent="0.15">
      <c r="A41" s="9" t="s">
        <v>154</v>
      </c>
      <c r="B41" s="9" t="s">
        <v>48</v>
      </c>
      <c r="C41" s="9" t="s">
        <v>152</v>
      </c>
      <c r="D41" s="9" t="s">
        <v>155</v>
      </c>
      <c r="E41" s="9" t="s">
        <v>51</v>
      </c>
      <c r="F41" s="9" t="s">
        <v>52</v>
      </c>
      <c r="G41" s="9" t="s">
        <v>69</v>
      </c>
      <c r="H41" s="9"/>
      <c r="I41" s="9"/>
      <c r="J41" s="9"/>
      <c r="K41" s="9"/>
      <c r="L41" s="9" t="s">
        <v>3</v>
      </c>
      <c r="M41" s="9" t="s">
        <v>58</v>
      </c>
      <c r="N41" s="9" t="s">
        <v>66</v>
      </c>
    </row>
    <row r="42" spans="1:14" ht="14" x14ac:dyDescent="0.15">
      <c r="A42" s="9" t="s">
        <v>156</v>
      </c>
      <c r="B42" s="9" t="s">
        <v>48</v>
      </c>
      <c r="C42" s="9" t="s">
        <v>152</v>
      </c>
      <c r="D42" s="9" t="s">
        <v>157</v>
      </c>
      <c r="E42" s="9" t="s">
        <v>51</v>
      </c>
      <c r="F42" s="9" t="s">
        <v>52</v>
      </c>
      <c r="G42" s="9" t="s">
        <v>69</v>
      </c>
      <c r="H42" s="9"/>
      <c r="I42" s="9"/>
      <c r="J42" s="9"/>
      <c r="K42" s="9"/>
      <c r="L42" s="9" t="s">
        <v>3</v>
      </c>
      <c r="M42" s="9" t="s">
        <v>58</v>
      </c>
      <c r="N42" s="9" t="s">
        <v>66</v>
      </c>
    </row>
    <row r="43" spans="1:14" ht="14" x14ac:dyDescent="0.15">
      <c r="A43" s="9" t="s">
        <v>158</v>
      </c>
      <c r="B43" s="9" t="s">
        <v>48</v>
      </c>
      <c r="C43" s="9" t="s">
        <v>159</v>
      </c>
      <c r="D43" s="9" t="s">
        <v>160</v>
      </c>
      <c r="E43" s="9" t="s">
        <v>51</v>
      </c>
      <c r="F43" s="9" t="s">
        <v>52</v>
      </c>
      <c r="G43" s="9" t="s">
        <v>69</v>
      </c>
      <c r="H43" s="9"/>
      <c r="I43" s="9"/>
      <c r="J43" s="9"/>
      <c r="K43" s="9"/>
      <c r="L43" s="9" t="s">
        <v>3</v>
      </c>
      <c r="M43" s="9" t="s">
        <v>58</v>
      </c>
      <c r="N43" s="9" t="s">
        <v>66</v>
      </c>
    </row>
    <row r="44" spans="1:14" ht="14" x14ac:dyDescent="0.15">
      <c r="A44" s="9" t="s">
        <v>161</v>
      </c>
      <c r="B44" s="9" t="s">
        <v>48</v>
      </c>
      <c r="C44" s="9" t="s">
        <v>162</v>
      </c>
      <c r="D44" s="9" t="s">
        <v>163</v>
      </c>
      <c r="E44" s="9" t="s">
        <v>51</v>
      </c>
      <c r="F44" s="9" t="s">
        <v>52</v>
      </c>
      <c r="G44" s="9" t="s">
        <v>69</v>
      </c>
      <c r="H44" s="9"/>
      <c r="I44" s="9"/>
      <c r="J44" s="9"/>
      <c r="K44" s="9"/>
      <c r="L44" s="9" t="s">
        <v>3</v>
      </c>
      <c r="M44" s="9" t="s">
        <v>58</v>
      </c>
      <c r="N44" s="9" t="s">
        <v>66</v>
      </c>
    </row>
    <row r="45" spans="1:14" ht="14" x14ac:dyDescent="0.15">
      <c r="A45" s="9" t="s">
        <v>164</v>
      </c>
      <c r="B45" s="9" t="s">
        <v>48</v>
      </c>
      <c r="C45" s="9" t="s">
        <v>162</v>
      </c>
      <c r="D45" s="9" t="s">
        <v>165</v>
      </c>
      <c r="E45" s="9" t="s">
        <v>51</v>
      </c>
      <c r="F45" s="9" t="s">
        <v>52</v>
      </c>
      <c r="G45" s="9" t="s">
        <v>69</v>
      </c>
      <c r="H45" s="9"/>
      <c r="I45" s="9"/>
      <c r="J45" s="9"/>
      <c r="K45" s="9"/>
      <c r="L45" s="9" t="s">
        <v>3</v>
      </c>
      <c r="M45" s="9" t="s">
        <v>58</v>
      </c>
      <c r="N45" s="9" t="s">
        <v>66</v>
      </c>
    </row>
    <row r="46" spans="1:14" ht="14" x14ac:dyDescent="0.15">
      <c r="A46" s="9" t="s">
        <v>166</v>
      </c>
      <c r="B46" s="9" t="s">
        <v>48</v>
      </c>
      <c r="C46" s="9" t="s">
        <v>162</v>
      </c>
      <c r="D46" s="9" t="s">
        <v>167</v>
      </c>
      <c r="E46" s="9" t="s">
        <v>51</v>
      </c>
      <c r="F46" s="9" t="s">
        <v>52</v>
      </c>
      <c r="G46" s="9" t="s">
        <v>69</v>
      </c>
      <c r="H46" s="9"/>
      <c r="I46" s="9"/>
      <c r="J46" s="9"/>
      <c r="K46" s="9"/>
      <c r="L46" s="9" t="s">
        <v>3</v>
      </c>
      <c r="M46" s="9" t="s">
        <v>58</v>
      </c>
      <c r="N46" s="9" t="s">
        <v>66</v>
      </c>
    </row>
    <row r="47" spans="1:14" ht="14" x14ac:dyDescent="0.15">
      <c r="A47" s="9" t="s">
        <v>168</v>
      </c>
      <c r="B47" s="9" t="s">
        <v>48</v>
      </c>
      <c r="C47" s="9" t="s">
        <v>162</v>
      </c>
      <c r="D47" s="9" t="s">
        <v>169</v>
      </c>
      <c r="E47" s="9" t="s">
        <v>51</v>
      </c>
      <c r="F47" s="9" t="s">
        <v>52</v>
      </c>
      <c r="G47" s="9" t="s">
        <v>69</v>
      </c>
      <c r="H47" s="9"/>
      <c r="I47" s="9"/>
      <c r="J47" s="9"/>
      <c r="K47" s="9"/>
      <c r="L47" s="9" t="s">
        <v>3</v>
      </c>
      <c r="M47" s="9" t="s">
        <v>58</v>
      </c>
      <c r="N47" s="9" t="s">
        <v>66</v>
      </c>
    </row>
    <row r="48" spans="1:14" ht="14" x14ac:dyDescent="0.15">
      <c r="A48" s="9" t="s">
        <v>170</v>
      </c>
      <c r="B48" s="9" t="s">
        <v>48</v>
      </c>
      <c r="C48" s="9" t="s">
        <v>162</v>
      </c>
      <c r="D48" s="9" t="s">
        <v>171</v>
      </c>
      <c r="E48" s="9" t="s">
        <v>51</v>
      </c>
      <c r="F48" s="9" t="s">
        <v>52</v>
      </c>
      <c r="G48" s="9" t="s">
        <v>69</v>
      </c>
      <c r="H48" s="9"/>
      <c r="I48" s="9"/>
      <c r="J48" s="9"/>
      <c r="K48" s="9"/>
      <c r="L48" s="9" t="s">
        <v>3</v>
      </c>
      <c r="M48" s="9" t="s">
        <v>58</v>
      </c>
      <c r="N48" s="9" t="s">
        <v>66</v>
      </c>
    </row>
    <row r="49" spans="1:14" ht="14" x14ac:dyDescent="0.15">
      <c r="A49" s="9" t="s">
        <v>172</v>
      </c>
      <c r="B49" s="9" t="s">
        <v>48</v>
      </c>
      <c r="C49" s="9" t="s">
        <v>162</v>
      </c>
      <c r="D49" s="9" t="s">
        <v>173</v>
      </c>
      <c r="E49" s="9" t="s">
        <v>51</v>
      </c>
      <c r="F49" s="9" t="s">
        <v>52</v>
      </c>
      <c r="G49" s="9" t="s">
        <v>69</v>
      </c>
      <c r="H49" s="9"/>
      <c r="I49" s="9"/>
      <c r="J49" s="9"/>
      <c r="K49" s="9"/>
      <c r="L49" s="9" t="s">
        <v>3</v>
      </c>
      <c r="M49" s="9" t="s">
        <v>58</v>
      </c>
      <c r="N49" s="9" t="s">
        <v>66</v>
      </c>
    </row>
    <row r="50" spans="1:14" ht="14" x14ac:dyDescent="0.15">
      <c r="A50" s="9" t="s">
        <v>174</v>
      </c>
      <c r="B50" s="9" t="s">
        <v>48</v>
      </c>
      <c r="C50" s="9" t="s">
        <v>162</v>
      </c>
      <c r="D50" s="9" t="s">
        <v>175</v>
      </c>
      <c r="E50" s="9" t="s">
        <v>51</v>
      </c>
      <c r="F50" s="9" t="s">
        <v>52</v>
      </c>
      <c r="G50" s="9" t="s">
        <v>69</v>
      </c>
      <c r="H50" s="9"/>
      <c r="I50" s="9"/>
      <c r="J50" s="9"/>
      <c r="K50" s="9"/>
      <c r="L50" s="9" t="s">
        <v>3</v>
      </c>
      <c r="M50" s="9" t="s">
        <v>58</v>
      </c>
      <c r="N50" s="9" t="s">
        <v>66</v>
      </c>
    </row>
    <row r="51" spans="1:14" ht="14" x14ac:dyDescent="0.15">
      <c r="A51" s="9" t="s">
        <v>176</v>
      </c>
      <c r="B51" s="9" t="s">
        <v>48</v>
      </c>
      <c r="C51" s="9" t="s">
        <v>162</v>
      </c>
      <c r="D51" s="9" t="s">
        <v>177</v>
      </c>
      <c r="E51" s="9" t="s">
        <v>51</v>
      </c>
      <c r="F51" s="9" t="s">
        <v>52</v>
      </c>
      <c r="G51" s="9" t="s">
        <v>69</v>
      </c>
      <c r="H51" s="9"/>
      <c r="I51" s="9"/>
      <c r="J51" s="9"/>
      <c r="K51" s="9"/>
      <c r="L51" s="9" t="s">
        <v>3</v>
      </c>
      <c r="M51" s="9" t="s">
        <v>58</v>
      </c>
      <c r="N51" s="9" t="s">
        <v>66</v>
      </c>
    </row>
    <row r="52" spans="1:14" ht="14" x14ac:dyDescent="0.15">
      <c r="A52" s="9" t="s">
        <v>178</v>
      </c>
      <c r="B52" s="9" t="s">
        <v>48</v>
      </c>
      <c r="C52" s="9" t="s">
        <v>162</v>
      </c>
      <c r="D52" s="9" t="s">
        <v>179</v>
      </c>
      <c r="E52" s="9" t="s">
        <v>51</v>
      </c>
      <c r="F52" s="9" t="s">
        <v>52</v>
      </c>
      <c r="G52" s="9" t="s">
        <v>69</v>
      </c>
      <c r="H52" s="9"/>
      <c r="I52" s="9"/>
      <c r="J52" s="9"/>
      <c r="K52" s="9"/>
      <c r="L52" s="9" t="s">
        <v>3</v>
      </c>
      <c r="M52" s="9" t="s">
        <v>58</v>
      </c>
      <c r="N52" s="9" t="s">
        <v>66</v>
      </c>
    </row>
    <row r="53" spans="1:14" ht="14" x14ac:dyDescent="0.15">
      <c r="A53" s="9" t="s">
        <v>180</v>
      </c>
      <c r="B53" s="9" t="s">
        <v>48</v>
      </c>
      <c r="C53" s="9" t="s">
        <v>162</v>
      </c>
      <c r="D53" s="9" t="s">
        <v>181</v>
      </c>
      <c r="E53" s="9" t="s">
        <v>51</v>
      </c>
      <c r="F53" s="9" t="s">
        <v>52</v>
      </c>
      <c r="G53" s="9" t="s">
        <v>69</v>
      </c>
      <c r="H53" s="9"/>
      <c r="I53" s="9"/>
      <c r="J53" s="9"/>
      <c r="K53" s="9"/>
      <c r="L53" s="9" t="s">
        <v>3</v>
      </c>
      <c r="M53" s="9" t="s">
        <v>58</v>
      </c>
      <c r="N53" s="9" t="s">
        <v>66</v>
      </c>
    </row>
    <row r="54" spans="1:14" ht="14" x14ac:dyDescent="0.15">
      <c r="A54" s="9" t="s">
        <v>182</v>
      </c>
      <c r="B54" s="9" t="s">
        <v>48</v>
      </c>
      <c r="C54" s="9" t="s">
        <v>183</v>
      </c>
      <c r="D54" s="9" t="s">
        <v>184</v>
      </c>
      <c r="E54" s="9" t="s">
        <v>51</v>
      </c>
      <c r="F54" s="9" t="s">
        <v>52</v>
      </c>
      <c r="G54" s="9" t="s">
        <v>69</v>
      </c>
      <c r="H54" s="9"/>
      <c r="I54" s="9"/>
      <c r="J54" s="9"/>
      <c r="K54" s="9"/>
      <c r="L54" s="9" t="s">
        <v>3</v>
      </c>
      <c r="M54" s="9" t="s">
        <v>58</v>
      </c>
      <c r="N54" s="9" t="s">
        <v>66</v>
      </c>
    </row>
    <row r="55" spans="1:14" ht="14" x14ac:dyDescent="0.15">
      <c r="A55" s="9" t="s">
        <v>185</v>
      </c>
      <c r="B55" s="9" t="s">
        <v>48</v>
      </c>
      <c r="C55" s="9" t="s">
        <v>183</v>
      </c>
      <c r="D55" s="9" t="s">
        <v>186</v>
      </c>
      <c r="E55" s="9" t="s">
        <v>51</v>
      </c>
      <c r="F55" s="9" t="s">
        <v>52</v>
      </c>
      <c r="G55" s="9" t="s">
        <v>69</v>
      </c>
      <c r="H55" s="9"/>
      <c r="I55" s="9"/>
      <c r="J55" s="9"/>
      <c r="K55" s="9"/>
      <c r="L55" s="9" t="s">
        <v>3</v>
      </c>
      <c r="M55" s="9" t="s">
        <v>58</v>
      </c>
      <c r="N55" s="9" t="s">
        <v>66</v>
      </c>
    </row>
    <row r="56" spans="1:14" ht="14" x14ac:dyDescent="0.15">
      <c r="A56" s="9" t="s">
        <v>187</v>
      </c>
      <c r="B56" s="9" t="s">
        <v>48</v>
      </c>
      <c r="C56" s="9" t="s">
        <v>183</v>
      </c>
      <c r="D56" s="9" t="s">
        <v>188</v>
      </c>
      <c r="E56" s="9" t="s">
        <v>51</v>
      </c>
      <c r="F56" s="9" t="s">
        <v>52</v>
      </c>
      <c r="G56" s="9" t="s">
        <v>69</v>
      </c>
      <c r="H56" s="9"/>
      <c r="I56" s="9"/>
      <c r="J56" s="9"/>
      <c r="K56" s="9"/>
      <c r="L56" s="9" t="s">
        <v>3</v>
      </c>
      <c r="M56" s="9" t="s">
        <v>58</v>
      </c>
      <c r="N56" s="9" t="s">
        <v>66</v>
      </c>
    </row>
    <row r="57" spans="1:14" ht="42" x14ac:dyDescent="0.15">
      <c r="A57" s="9" t="s">
        <v>189</v>
      </c>
      <c r="B57" s="9" t="s">
        <v>48</v>
      </c>
      <c r="C57" s="9" t="s">
        <v>183</v>
      </c>
      <c r="D57" s="9" t="s">
        <v>190</v>
      </c>
      <c r="E57" s="9" t="s">
        <v>51</v>
      </c>
      <c r="F57" s="9" t="s">
        <v>52</v>
      </c>
      <c r="G57" s="9" t="s">
        <v>69</v>
      </c>
      <c r="H57" s="9" t="s">
        <v>191</v>
      </c>
      <c r="I57" s="9"/>
      <c r="J57" s="9" t="s">
        <v>192</v>
      </c>
      <c r="K57" s="9" t="s">
        <v>193</v>
      </c>
      <c r="L57" s="9" t="s">
        <v>3</v>
      </c>
      <c r="M57" s="9" t="s">
        <v>58</v>
      </c>
      <c r="N57" s="9" t="s">
        <v>66</v>
      </c>
    </row>
    <row r="58" spans="1:14" ht="14" x14ac:dyDescent="0.15">
      <c r="A58" s="9" t="s">
        <v>194</v>
      </c>
      <c r="B58" s="9" t="s">
        <v>48</v>
      </c>
      <c r="C58" s="9" t="s">
        <v>183</v>
      </c>
      <c r="D58" s="9" t="s">
        <v>195</v>
      </c>
      <c r="E58" s="9" t="s">
        <v>51</v>
      </c>
      <c r="F58" s="9" t="s">
        <v>52</v>
      </c>
      <c r="G58" s="9" t="s">
        <v>69</v>
      </c>
      <c r="H58" s="9"/>
      <c r="I58" s="9"/>
      <c r="J58" s="9"/>
      <c r="K58" s="9"/>
      <c r="L58" s="9" t="s">
        <v>3</v>
      </c>
      <c r="M58" s="9" t="s">
        <v>58</v>
      </c>
      <c r="N58" s="9" t="s">
        <v>66</v>
      </c>
    </row>
    <row r="59" spans="1:14" ht="28" x14ac:dyDescent="0.15">
      <c r="A59" s="9" t="s">
        <v>196</v>
      </c>
      <c r="B59" s="9" t="s">
        <v>48</v>
      </c>
      <c r="C59" s="9" t="s">
        <v>183</v>
      </c>
      <c r="D59" s="9" t="s">
        <v>197</v>
      </c>
      <c r="E59" s="9" t="s">
        <v>51</v>
      </c>
      <c r="F59" s="9" t="s">
        <v>52</v>
      </c>
      <c r="G59" s="9" t="s">
        <v>53</v>
      </c>
      <c r="H59" s="9" t="s">
        <v>54</v>
      </c>
      <c r="I59" s="9" t="s">
        <v>198</v>
      </c>
      <c r="J59" s="9" t="s">
        <v>199</v>
      </c>
      <c r="K59" s="9" t="s">
        <v>200</v>
      </c>
      <c r="L59" s="9" t="s">
        <v>3</v>
      </c>
      <c r="M59" s="9" t="s">
        <v>58</v>
      </c>
      <c r="N59" s="9" t="s">
        <v>59</v>
      </c>
    </row>
    <row r="60" spans="1:14" ht="14" x14ac:dyDescent="0.15">
      <c r="A60" s="9" t="s">
        <v>201</v>
      </c>
      <c r="B60" s="9" t="s">
        <v>48</v>
      </c>
      <c r="C60" s="9" t="s">
        <v>183</v>
      </c>
      <c r="D60" s="9" t="s">
        <v>202</v>
      </c>
      <c r="E60" s="9" t="s">
        <v>51</v>
      </c>
      <c r="F60" s="9" t="s">
        <v>52</v>
      </c>
      <c r="G60" s="9" t="s">
        <v>69</v>
      </c>
      <c r="H60" s="9"/>
      <c r="I60" s="9"/>
      <c r="J60" s="9"/>
      <c r="K60" s="9"/>
      <c r="L60" s="9" t="s">
        <v>3</v>
      </c>
      <c r="M60" s="9" t="s">
        <v>58</v>
      </c>
      <c r="N60" s="9" t="s">
        <v>66</v>
      </c>
    </row>
    <row r="61" spans="1:14" ht="14" x14ac:dyDescent="0.15">
      <c r="A61" s="9" t="s">
        <v>203</v>
      </c>
      <c r="B61" s="9" t="s">
        <v>48</v>
      </c>
      <c r="C61" s="9" t="s">
        <v>183</v>
      </c>
      <c r="D61" s="9" t="s">
        <v>204</v>
      </c>
      <c r="E61" s="9" t="s">
        <v>51</v>
      </c>
      <c r="F61" s="9" t="s">
        <v>52</v>
      </c>
      <c r="G61" s="9" t="s">
        <v>69</v>
      </c>
      <c r="H61" s="9"/>
      <c r="I61" s="9"/>
      <c r="J61" s="9"/>
      <c r="K61" s="9"/>
      <c r="L61" s="9" t="s">
        <v>3</v>
      </c>
      <c r="M61" s="9" t="s">
        <v>58</v>
      </c>
      <c r="N61" s="9" t="s">
        <v>66</v>
      </c>
    </row>
    <row r="62" spans="1:14" ht="14" x14ac:dyDescent="0.15">
      <c r="A62" s="9" t="s">
        <v>205</v>
      </c>
      <c r="B62" s="9" t="s">
        <v>48</v>
      </c>
      <c r="C62" s="9" t="s">
        <v>183</v>
      </c>
      <c r="D62" s="9" t="s">
        <v>206</v>
      </c>
      <c r="E62" s="9" t="s">
        <v>51</v>
      </c>
      <c r="F62" s="9" t="s">
        <v>52</v>
      </c>
      <c r="G62" s="9" t="s">
        <v>69</v>
      </c>
      <c r="H62" s="9"/>
      <c r="I62" s="9"/>
      <c r="J62" s="9"/>
      <c r="K62" s="9"/>
      <c r="L62" s="9" t="s">
        <v>3</v>
      </c>
      <c r="M62" s="9" t="s">
        <v>58</v>
      </c>
      <c r="N62" s="9" t="s">
        <v>66</v>
      </c>
    </row>
    <row r="63" spans="1:14" ht="14" x14ac:dyDescent="0.15">
      <c r="A63" s="9" t="s">
        <v>207</v>
      </c>
      <c r="B63" s="9" t="s">
        <v>48</v>
      </c>
      <c r="C63" s="9" t="s">
        <v>183</v>
      </c>
      <c r="D63" s="9" t="s">
        <v>208</v>
      </c>
      <c r="E63" s="9" t="s">
        <v>51</v>
      </c>
      <c r="F63" s="9" t="s">
        <v>52</v>
      </c>
      <c r="G63" s="9" t="s">
        <v>69</v>
      </c>
      <c r="H63" s="9"/>
      <c r="I63" s="9"/>
      <c r="J63" s="9"/>
      <c r="K63" s="9"/>
      <c r="L63" s="9" t="s">
        <v>3</v>
      </c>
      <c r="M63" s="9" t="s">
        <v>58</v>
      </c>
      <c r="N63" s="9" t="s">
        <v>66</v>
      </c>
    </row>
    <row r="64" spans="1:14" ht="14" x14ac:dyDescent="0.15">
      <c r="A64" s="9" t="s">
        <v>209</v>
      </c>
      <c r="B64" s="9" t="s">
        <v>48</v>
      </c>
      <c r="C64" s="9" t="s">
        <v>183</v>
      </c>
      <c r="D64" s="9" t="s">
        <v>210</v>
      </c>
      <c r="E64" s="9" t="s">
        <v>51</v>
      </c>
      <c r="F64" s="9" t="s">
        <v>52</v>
      </c>
      <c r="G64" s="9" t="s">
        <v>69</v>
      </c>
      <c r="H64" s="9"/>
      <c r="I64" s="9"/>
      <c r="J64" s="9"/>
      <c r="K64" s="9"/>
      <c r="L64" s="9" t="s">
        <v>3</v>
      </c>
      <c r="M64" s="9" t="s">
        <v>58</v>
      </c>
      <c r="N64" s="9" t="s">
        <v>66</v>
      </c>
    </row>
    <row r="65" spans="1:14" ht="14" x14ac:dyDescent="0.15">
      <c r="A65" s="9" t="s">
        <v>211</v>
      </c>
      <c r="B65" s="9" t="s">
        <v>48</v>
      </c>
      <c r="C65" s="9" t="s">
        <v>183</v>
      </c>
      <c r="D65" s="9" t="s">
        <v>212</v>
      </c>
      <c r="E65" s="9" t="s">
        <v>51</v>
      </c>
      <c r="F65" s="9" t="s">
        <v>52</v>
      </c>
      <c r="G65" s="9" t="s">
        <v>69</v>
      </c>
      <c r="H65" s="9"/>
      <c r="I65" s="9"/>
      <c r="J65" s="9"/>
      <c r="K65" s="9"/>
      <c r="L65" s="9" t="s">
        <v>3</v>
      </c>
      <c r="M65" s="9" t="s">
        <v>58</v>
      </c>
      <c r="N65" s="9" t="s">
        <v>66</v>
      </c>
    </row>
    <row r="66" spans="1:14" ht="14" x14ac:dyDescent="0.15">
      <c r="A66" s="9" t="s">
        <v>213</v>
      </c>
      <c r="B66" s="9" t="s">
        <v>48</v>
      </c>
      <c r="C66" s="9" t="s">
        <v>183</v>
      </c>
      <c r="D66" s="9" t="s">
        <v>214</v>
      </c>
      <c r="E66" s="9" t="s">
        <v>51</v>
      </c>
      <c r="F66" s="9" t="s">
        <v>52</v>
      </c>
      <c r="G66" s="9" t="s">
        <v>69</v>
      </c>
      <c r="H66" s="9"/>
      <c r="I66" s="9"/>
      <c r="J66" s="9"/>
      <c r="K66" s="9"/>
      <c r="L66" s="9" t="s">
        <v>3</v>
      </c>
      <c r="M66" s="9" t="s">
        <v>58</v>
      </c>
      <c r="N66" s="9" t="s">
        <v>66</v>
      </c>
    </row>
    <row r="67" spans="1:14" ht="14" x14ac:dyDescent="0.15">
      <c r="A67" s="9" t="s">
        <v>215</v>
      </c>
      <c r="B67" s="9" t="s">
        <v>48</v>
      </c>
      <c r="C67" s="9" t="s">
        <v>183</v>
      </c>
      <c r="D67" s="9" t="s">
        <v>216</v>
      </c>
      <c r="E67" s="9" t="s">
        <v>51</v>
      </c>
      <c r="F67" s="9" t="s">
        <v>52</v>
      </c>
      <c r="G67" s="9" t="s">
        <v>69</v>
      </c>
      <c r="H67" s="9"/>
      <c r="I67" s="9"/>
      <c r="J67" s="9"/>
      <c r="K67" s="9"/>
      <c r="L67" s="9" t="s">
        <v>3</v>
      </c>
      <c r="M67" s="9" t="s">
        <v>58</v>
      </c>
      <c r="N67" s="9" t="s">
        <v>66</v>
      </c>
    </row>
    <row r="68" spans="1:14" ht="14" x14ac:dyDescent="0.15">
      <c r="A68" s="9" t="s">
        <v>217</v>
      </c>
      <c r="B68" s="9" t="s">
        <v>48</v>
      </c>
      <c r="C68" s="9" t="s">
        <v>183</v>
      </c>
      <c r="D68" s="9" t="s">
        <v>218</v>
      </c>
      <c r="E68" s="9" t="s">
        <v>51</v>
      </c>
      <c r="F68" s="9" t="s">
        <v>52</v>
      </c>
      <c r="G68" s="9" t="s">
        <v>69</v>
      </c>
      <c r="H68" s="9"/>
      <c r="I68" s="9"/>
      <c r="J68" s="9"/>
      <c r="K68" s="9"/>
      <c r="L68" s="9" t="s">
        <v>3</v>
      </c>
      <c r="M68" s="9" t="s">
        <v>58</v>
      </c>
      <c r="N68" s="9" t="s">
        <v>66</v>
      </c>
    </row>
    <row r="69" spans="1:14" ht="14" x14ac:dyDescent="0.15">
      <c r="A69" s="9" t="s">
        <v>219</v>
      </c>
      <c r="B69" s="9" t="s">
        <v>48</v>
      </c>
      <c r="C69" s="9" t="s">
        <v>183</v>
      </c>
      <c r="D69" s="9" t="s">
        <v>220</v>
      </c>
      <c r="E69" s="9" t="s">
        <v>51</v>
      </c>
      <c r="F69" s="9" t="s">
        <v>52</v>
      </c>
      <c r="G69" s="9" t="s">
        <v>69</v>
      </c>
      <c r="H69" s="9"/>
      <c r="I69" s="9"/>
      <c r="J69" s="9"/>
      <c r="K69" s="9"/>
      <c r="L69" s="9" t="s">
        <v>3</v>
      </c>
      <c r="M69" s="9" t="s">
        <v>58</v>
      </c>
      <c r="N69" s="9" t="s">
        <v>66</v>
      </c>
    </row>
    <row r="70" spans="1:14" ht="14" x14ac:dyDescent="0.15">
      <c r="A70" s="9" t="s">
        <v>221</v>
      </c>
      <c r="B70" s="9" t="s">
        <v>48</v>
      </c>
      <c r="C70" s="9" t="s">
        <v>222</v>
      </c>
      <c r="D70" s="9" t="s">
        <v>223</v>
      </c>
      <c r="E70" s="9" t="s">
        <v>51</v>
      </c>
      <c r="F70" s="9" t="s">
        <v>52</v>
      </c>
      <c r="G70" s="9" t="s">
        <v>69</v>
      </c>
      <c r="H70" s="9"/>
      <c r="I70" s="9"/>
      <c r="J70" s="9"/>
      <c r="K70" s="9"/>
      <c r="L70" s="9" t="s">
        <v>3</v>
      </c>
      <c r="M70" s="9" t="s">
        <v>58</v>
      </c>
      <c r="N70" s="9" t="s">
        <v>66</v>
      </c>
    </row>
    <row r="71" spans="1:14" ht="14" x14ac:dyDescent="0.15">
      <c r="A71" s="9" t="s">
        <v>224</v>
      </c>
      <c r="B71" s="9" t="s">
        <v>48</v>
      </c>
      <c r="C71" s="9" t="s">
        <v>222</v>
      </c>
      <c r="D71" s="9" t="s">
        <v>225</v>
      </c>
      <c r="E71" s="9" t="s">
        <v>51</v>
      </c>
      <c r="F71" s="9" t="s">
        <v>52</v>
      </c>
      <c r="G71" s="9" t="s">
        <v>69</v>
      </c>
      <c r="H71" s="9"/>
      <c r="I71" s="9"/>
      <c r="J71" s="9"/>
      <c r="K71" s="9"/>
      <c r="L71" s="9" t="s">
        <v>3</v>
      </c>
      <c r="M71" s="9" t="s">
        <v>58</v>
      </c>
      <c r="N71" s="9" t="s">
        <v>66</v>
      </c>
    </row>
    <row r="72" spans="1:14" ht="42" x14ac:dyDescent="0.15">
      <c r="A72" s="9" t="s">
        <v>226</v>
      </c>
      <c r="B72" s="9" t="s">
        <v>48</v>
      </c>
      <c r="C72" s="9" t="s">
        <v>49</v>
      </c>
      <c r="D72" s="9" t="s">
        <v>227</v>
      </c>
      <c r="E72" s="9"/>
      <c r="F72" s="9"/>
      <c r="G72" s="9" t="s">
        <v>228</v>
      </c>
      <c r="H72" s="9" t="s">
        <v>54</v>
      </c>
      <c r="I72" s="9" t="s">
        <v>229</v>
      </c>
      <c r="J72" s="9" t="s">
        <v>230</v>
      </c>
      <c r="K72" s="9" t="s">
        <v>231</v>
      </c>
      <c r="L72" s="9"/>
      <c r="M72" s="9" t="s">
        <v>232</v>
      </c>
      <c r="N72" s="9" t="s">
        <v>233</v>
      </c>
    </row>
    <row r="73" spans="1:14" ht="42" x14ac:dyDescent="0.15">
      <c r="A73" s="9" t="s">
        <v>234</v>
      </c>
      <c r="B73" s="9" t="s">
        <v>48</v>
      </c>
      <c r="C73" s="9" t="s">
        <v>235</v>
      </c>
      <c r="D73" s="9" t="s">
        <v>236</v>
      </c>
      <c r="E73" s="9"/>
      <c r="F73" s="9"/>
      <c r="G73" s="9" t="s">
        <v>53</v>
      </c>
      <c r="H73" s="9" t="s">
        <v>54</v>
      </c>
      <c r="I73" s="9" t="s">
        <v>237</v>
      </c>
      <c r="J73" s="9" t="s">
        <v>238</v>
      </c>
      <c r="K73" s="9" t="s">
        <v>239</v>
      </c>
      <c r="L73" s="9"/>
      <c r="M73" s="9" t="s">
        <v>58</v>
      </c>
      <c r="N73" s="9" t="s">
        <v>59</v>
      </c>
    </row>
    <row r="74" spans="1:14" ht="14" x14ac:dyDescent="0.15">
      <c r="A74" s="9" t="s">
        <v>240</v>
      </c>
      <c r="B74" s="9" t="s">
        <v>241</v>
      </c>
      <c r="C74" s="9" t="s">
        <v>49</v>
      </c>
      <c r="D74" s="9" t="s">
        <v>242</v>
      </c>
      <c r="E74" s="9" t="s">
        <v>243</v>
      </c>
      <c r="F74" s="9" t="s">
        <v>52</v>
      </c>
      <c r="G74" s="9" t="s">
        <v>69</v>
      </c>
      <c r="H74" s="9"/>
      <c r="I74" s="9"/>
      <c r="J74" s="9"/>
      <c r="K74" s="9"/>
      <c r="L74" s="9" t="s">
        <v>3</v>
      </c>
      <c r="M74" s="9" t="s">
        <v>58</v>
      </c>
      <c r="N74" s="9" t="s">
        <v>66</v>
      </c>
    </row>
    <row r="75" spans="1:14" ht="14" x14ac:dyDescent="0.15">
      <c r="A75" s="9" t="s">
        <v>244</v>
      </c>
      <c r="B75" s="9" t="s">
        <v>241</v>
      </c>
      <c r="C75" s="9" t="s">
        <v>49</v>
      </c>
      <c r="D75" s="9" t="s">
        <v>245</v>
      </c>
      <c r="E75" s="9" t="s">
        <v>243</v>
      </c>
      <c r="F75" s="9" t="s">
        <v>52</v>
      </c>
      <c r="G75" s="9" t="s">
        <v>69</v>
      </c>
      <c r="H75" s="9"/>
      <c r="I75" s="9"/>
      <c r="J75" s="9"/>
      <c r="K75" s="9"/>
      <c r="L75" s="9" t="s">
        <v>3</v>
      </c>
      <c r="M75" s="9" t="s">
        <v>58</v>
      </c>
      <c r="N75" s="9" t="s">
        <v>66</v>
      </c>
    </row>
    <row r="76" spans="1:14" ht="14" x14ac:dyDescent="0.15">
      <c r="A76" s="9" t="s">
        <v>246</v>
      </c>
      <c r="B76" s="9" t="s">
        <v>241</v>
      </c>
      <c r="C76" s="9" t="s">
        <v>49</v>
      </c>
      <c r="D76" s="9" t="s">
        <v>247</v>
      </c>
      <c r="E76" s="9" t="s">
        <v>243</v>
      </c>
      <c r="F76" s="9" t="s">
        <v>52</v>
      </c>
      <c r="G76" s="9" t="s">
        <v>69</v>
      </c>
      <c r="H76" s="9"/>
      <c r="I76" s="9"/>
      <c r="J76" s="9"/>
      <c r="K76" s="9"/>
      <c r="L76" s="9" t="s">
        <v>3</v>
      </c>
      <c r="M76" s="9" t="s">
        <v>58</v>
      </c>
      <c r="N76" s="9" t="s">
        <v>66</v>
      </c>
    </row>
    <row r="77" spans="1:14" ht="14" x14ac:dyDescent="0.15">
      <c r="A77" s="9" t="s">
        <v>248</v>
      </c>
      <c r="B77" s="9" t="s">
        <v>241</v>
      </c>
      <c r="C77" s="9" t="s">
        <v>49</v>
      </c>
      <c r="D77" s="9" t="s">
        <v>249</v>
      </c>
      <c r="E77" s="9" t="s">
        <v>243</v>
      </c>
      <c r="F77" s="9" t="s">
        <v>52</v>
      </c>
      <c r="G77" s="9" t="s">
        <v>69</v>
      </c>
      <c r="H77" s="9"/>
      <c r="I77" s="9"/>
      <c r="J77" s="9"/>
      <c r="K77" s="9"/>
      <c r="L77" s="9" t="s">
        <v>3</v>
      </c>
      <c r="M77" s="9" t="s">
        <v>58</v>
      </c>
      <c r="N77" s="9" t="s">
        <v>66</v>
      </c>
    </row>
    <row r="78" spans="1:14" ht="14" x14ac:dyDescent="0.15">
      <c r="A78" s="9" t="s">
        <v>250</v>
      </c>
      <c r="B78" s="9" t="s">
        <v>241</v>
      </c>
      <c r="C78" s="9" t="s">
        <v>49</v>
      </c>
      <c r="D78" s="9" t="s">
        <v>251</v>
      </c>
      <c r="E78" s="9" t="s">
        <v>243</v>
      </c>
      <c r="F78" s="9" t="s">
        <v>52</v>
      </c>
      <c r="G78" s="9" t="s">
        <v>69</v>
      </c>
      <c r="H78" s="9"/>
      <c r="I78" s="9"/>
      <c r="J78" s="9"/>
      <c r="K78" s="9"/>
      <c r="L78" s="9" t="s">
        <v>3</v>
      </c>
      <c r="M78" s="9" t="s">
        <v>58</v>
      </c>
      <c r="N78" s="9" t="s">
        <v>66</v>
      </c>
    </row>
    <row r="79" spans="1:14" ht="14" x14ac:dyDescent="0.15">
      <c r="A79" s="9" t="s">
        <v>252</v>
      </c>
      <c r="B79" s="9" t="s">
        <v>241</v>
      </c>
      <c r="C79" s="9" t="s">
        <v>49</v>
      </c>
      <c r="D79" s="9" t="s">
        <v>253</v>
      </c>
      <c r="E79" s="9" t="s">
        <v>243</v>
      </c>
      <c r="F79" s="9" t="s">
        <v>52</v>
      </c>
      <c r="G79" s="9" t="s">
        <v>69</v>
      </c>
      <c r="H79" s="9"/>
      <c r="I79" s="9"/>
      <c r="J79" s="9"/>
      <c r="K79" s="9"/>
      <c r="L79" s="9" t="s">
        <v>3</v>
      </c>
      <c r="M79" s="9" t="s">
        <v>58</v>
      </c>
      <c r="N79" s="9" t="s">
        <v>66</v>
      </c>
    </row>
    <row r="80" spans="1:14" ht="14" x14ac:dyDescent="0.15">
      <c r="A80" s="9" t="s">
        <v>254</v>
      </c>
      <c r="B80" s="9" t="s">
        <v>241</v>
      </c>
      <c r="C80" s="9" t="s">
        <v>49</v>
      </c>
      <c r="D80" s="9" t="s">
        <v>255</v>
      </c>
      <c r="E80" s="9" t="s">
        <v>243</v>
      </c>
      <c r="F80" s="9" t="s">
        <v>52</v>
      </c>
      <c r="G80" s="9" t="s">
        <v>69</v>
      </c>
      <c r="H80" s="9"/>
      <c r="I80" s="9"/>
      <c r="J80" s="9"/>
      <c r="K80" s="9"/>
      <c r="L80" s="9" t="s">
        <v>3</v>
      </c>
      <c r="M80" s="9" t="s">
        <v>58</v>
      </c>
      <c r="N80" s="9" t="s">
        <v>66</v>
      </c>
    </row>
    <row r="81" spans="1:14" ht="14" x14ac:dyDescent="0.15">
      <c r="A81" s="9" t="s">
        <v>256</v>
      </c>
      <c r="B81" s="9" t="s">
        <v>241</v>
      </c>
      <c r="C81" s="9" t="s">
        <v>49</v>
      </c>
      <c r="D81" s="9" t="s">
        <v>257</v>
      </c>
      <c r="E81" s="9" t="s">
        <v>243</v>
      </c>
      <c r="F81" s="9" t="s">
        <v>52</v>
      </c>
      <c r="G81" s="9" t="s">
        <v>69</v>
      </c>
      <c r="H81" s="9"/>
      <c r="I81" s="9"/>
      <c r="J81" s="9"/>
      <c r="K81" s="9"/>
      <c r="L81" s="9" t="s">
        <v>3</v>
      </c>
      <c r="M81" s="9" t="s">
        <v>58</v>
      </c>
      <c r="N81" s="9" t="s">
        <v>66</v>
      </c>
    </row>
    <row r="82" spans="1:14" ht="14" x14ac:dyDescent="0.15">
      <c r="A82" s="9" t="s">
        <v>258</v>
      </c>
      <c r="B82" s="9" t="s">
        <v>241</v>
      </c>
      <c r="C82" s="9" t="s">
        <v>49</v>
      </c>
      <c r="D82" s="9" t="s">
        <v>259</v>
      </c>
      <c r="E82" s="9" t="s">
        <v>243</v>
      </c>
      <c r="F82" s="9" t="s">
        <v>52</v>
      </c>
      <c r="G82" s="9" t="s">
        <v>69</v>
      </c>
      <c r="H82" s="9"/>
      <c r="I82" s="9"/>
      <c r="J82" s="9"/>
      <c r="K82" s="9"/>
      <c r="L82" s="9" t="s">
        <v>3</v>
      </c>
      <c r="M82" s="9" t="s">
        <v>58</v>
      </c>
      <c r="N82" s="9" t="s">
        <v>66</v>
      </c>
    </row>
    <row r="83" spans="1:14" ht="14" x14ac:dyDescent="0.15">
      <c r="A83" s="9" t="s">
        <v>260</v>
      </c>
      <c r="B83" s="9" t="s">
        <v>241</v>
      </c>
      <c r="C83" s="9" t="s">
        <v>49</v>
      </c>
      <c r="D83" s="9" t="s">
        <v>261</v>
      </c>
      <c r="E83" s="9" t="s">
        <v>243</v>
      </c>
      <c r="F83" s="9" t="s">
        <v>52</v>
      </c>
      <c r="G83" s="9" t="s">
        <v>69</v>
      </c>
      <c r="H83" s="9"/>
      <c r="I83" s="9"/>
      <c r="J83" s="9"/>
      <c r="K83" s="9"/>
      <c r="L83" s="9" t="s">
        <v>3</v>
      </c>
      <c r="M83" s="9" t="s">
        <v>58</v>
      </c>
      <c r="N83" s="9" t="s">
        <v>66</v>
      </c>
    </row>
    <row r="84" spans="1:14" ht="14" x14ac:dyDescent="0.15">
      <c r="A84" s="9" t="s">
        <v>262</v>
      </c>
      <c r="B84" s="9" t="s">
        <v>241</v>
      </c>
      <c r="C84" s="9" t="s">
        <v>49</v>
      </c>
      <c r="D84" s="9" t="s">
        <v>263</v>
      </c>
      <c r="E84" s="9" t="s">
        <v>243</v>
      </c>
      <c r="F84" s="9" t="s">
        <v>52</v>
      </c>
      <c r="G84" s="9" t="s">
        <v>69</v>
      </c>
      <c r="H84" s="9"/>
      <c r="I84" s="9"/>
      <c r="J84" s="9"/>
      <c r="K84" s="9"/>
      <c r="L84" s="9" t="s">
        <v>3</v>
      </c>
      <c r="M84" s="9" t="s">
        <v>58</v>
      </c>
      <c r="N84" s="9" t="s">
        <v>66</v>
      </c>
    </row>
    <row r="85" spans="1:14" ht="14" x14ac:dyDescent="0.15">
      <c r="A85" s="9" t="s">
        <v>264</v>
      </c>
      <c r="B85" s="9" t="s">
        <v>241</v>
      </c>
      <c r="C85" s="9" t="s">
        <v>49</v>
      </c>
      <c r="D85" s="9" t="s">
        <v>265</v>
      </c>
      <c r="E85" s="9" t="s">
        <v>243</v>
      </c>
      <c r="F85" s="9" t="s">
        <v>52</v>
      </c>
      <c r="G85" s="9" t="s">
        <v>69</v>
      </c>
      <c r="H85" s="9"/>
      <c r="I85" s="9"/>
      <c r="J85" s="9"/>
      <c r="K85" s="9"/>
      <c r="L85" s="9" t="s">
        <v>3</v>
      </c>
      <c r="M85" s="9" t="s">
        <v>58</v>
      </c>
      <c r="N85" s="9" t="s">
        <v>66</v>
      </c>
    </row>
    <row r="86" spans="1:14" ht="14" x14ac:dyDescent="0.15">
      <c r="A86" s="9" t="s">
        <v>266</v>
      </c>
      <c r="B86" s="9" t="s">
        <v>241</v>
      </c>
      <c r="C86" s="9" t="s">
        <v>49</v>
      </c>
      <c r="D86" s="9" t="s">
        <v>267</v>
      </c>
      <c r="E86" s="9" t="s">
        <v>243</v>
      </c>
      <c r="F86" s="9" t="s">
        <v>52</v>
      </c>
      <c r="G86" s="9" t="s">
        <v>69</v>
      </c>
      <c r="H86" s="9"/>
      <c r="I86" s="9"/>
      <c r="J86" s="9"/>
      <c r="K86" s="9"/>
      <c r="L86" s="9" t="s">
        <v>3</v>
      </c>
      <c r="M86" s="9" t="s">
        <v>58</v>
      </c>
      <c r="N86" s="9" t="s">
        <v>66</v>
      </c>
    </row>
    <row r="87" spans="1:14" ht="14" x14ac:dyDescent="0.15">
      <c r="A87" s="9" t="s">
        <v>268</v>
      </c>
      <c r="B87" s="9" t="s">
        <v>241</v>
      </c>
      <c r="C87" s="9" t="s">
        <v>49</v>
      </c>
      <c r="D87" s="9" t="s">
        <v>269</v>
      </c>
      <c r="E87" s="9" t="s">
        <v>243</v>
      </c>
      <c r="F87" s="9" t="s">
        <v>52</v>
      </c>
      <c r="G87" s="9" t="s">
        <v>69</v>
      </c>
      <c r="H87" s="9"/>
      <c r="I87" s="9"/>
      <c r="J87" s="9"/>
      <c r="K87" s="9"/>
      <c r="L87" s="9" t="s">
        <v>3</v>
      </c>
      <c r="M87" s="9" t="s">
        <v>58</v>
      </c>
      <c r="N87" s="9" t="s">
        <v>66</v>
      </c>
    </row>
    <row r="88" spans="1:14" ht="14" x14ac:dyDescent="0.15">
      <c r="A88" s="9" t="s">
        <v>270</v>
      </c>
      <c r="B88" s="9" t="s">
        <v>241</v>
      </c>
      <c r="C88" s="9" t="s">
        <v>49</v>
      </c>
      <c r="D88" s="9" t="s">
        <v>271</v>
      </c>
      <c r="E88" s="9" t="s">
        <v>243</v>
      </c>
      <c r="F88" s="9" t="s">
        <v>52</v>
      </c>
      <c r="G88" s="9" t="s">
        <v>69</v>
      </c>
      <c r="H88" s="9"/>
      <c r="I88" s="9"/>
      <c r="J88" s="9"/>
      <c r="K88" s="9"/>
      <c r="L88" s="9" t="s">
        <v>3</v>
      </c>
      <c r="M88" s="9" t="s">
        <v>58</v>
      </c>
      <c r="N88" s="9" t="s">
        <v>66</v>
      </c>
    </row>
    <row r="89" spans="1:14" ht="14" x14ac:dyDescent="0.15">
      <c r="A89" s="9" t="s">
        <v>272</v>
      </c>
      <c r="B89" s="9" t="s">
        <v>241</v>
      </c>
      <c r="C89" s="9" t="s">
        <v>49</v>
      </c>
      <c r="D89" s="9" t="s">
        <v>273</v>
      </c>
      <c r="E89" s="9" t="s">
        <v>243</v>
      </c>
      <c r="F89" s="9" t="s">
        <v>52</v>
      </c>
      <c r="G89" s="9" t="s">
        <v>69</v>
      </c>
      <c r="H89" s="9"/>
      <c r="I89" s="9"/>
      <c r="J89" s="9"/>
      <c r="K89" s="9"/>
      <c r="L89" s="9" t="s">
        <v>3</v>
      </c>
      <c r="M89" s="9" t="s">
        <v>58</v>
      </c>
      <c r="N89" s="9" t="s">
        <v>66</v>
      </c>
    </row>
    <row r="90" spans="1:14" ht="14" x14ac:dyDescent="0.15">
      <c r="A90" s="9" t="s">
        <v>274</v>
      </c>
      <c r="B90" s="9" t="s">
        <v>241</v>
      </c>
      <c r="C90" s="9" t="s">
        <v>49</v>
      </c>
      <c r="D90" s="9" t="s">
        <v>275</v>
      </c>
      <c r="E90" s="9" t="s">
        <v>243</v>
      </c>
      <c r="F90" s="9" t="s">
        <v>52</v>
      </c>
      <c r="G90" s="9" t="s">
        <v>69</v>
      </c>
      <c r="H90" s="9"/>
      <c r="I90" s="9"/>
      <c r="J90" s="9"/>
      <c r="K90" s="9"/>
      <c r="L90" s="9" t="s">
        <v>3</v>
      </c>
      <c r="M90" s="9" t="s">
        <v>58</v>
      </c>
      <c r="N90" s="9" t="s">
        <v>66</v>
      </c>
    </row>
    <row r="91" spans="1:14" ht="14" x14ac:dyDescent="0.15">
      <c r="A91" s="9" t="s">
        <v>276</v>
      </c>
      <c r="B91" s="9" t="s">
        <v>241</v>
      </c>
      <c r="C91" s="9" t="s">
        <v>49</v>
      </c>
      <c r="D91" s="9" t="s">
        <v>277</v>
      </c>
      <c r="E91" s="9" t="s">
        <v>243</v>
      </c>
      <c r="F91" s="9" t="s">
        <v>52</v>
      </c>
      <c r="G91" s="9" t="s">
        <v>69</v>
      </c>
      <c r="H91" s="9"/>
      <c r="I91" s="9"/>
      <c r="J91" s="9"/>
      <c r="K91" s="9"/>
      <c r="L91" s="9" t="s">
        <v>3</v>
      </c>
      <c r="M91" s="9" t="s">
        <v>58</v>
      </c>
      <c r="N91" s="9" t="s">
        <v>66</v>
      </c>
    </row>
    <row r="92" spans="1:14" ht="14" x14ac:dyDescent="0.15">
      <c r="A92" s="9" t="s">
        <v>278</v>
      </c>
      <c r="B92" s="9" t="s">
        <v>241</v>
      </c>
      <c r="C92" s="9" t="s">
        <v>49</v>
      </c>
      <c r="D92" s="9" t="s">
        <v>279</v>
      </c>
      <c r="E92" s="9" t="s">
        <v>243</v>
      </c>
      <c r="F92" s="9" t="s">
        <v>52</v>
      </c>
      <c r="G92" s="9" t="s">
        <v>69</v>
      </c>
      <c r="H92" s="9"/>
      <c r="I92" s="9"/>
      <c r="J92" s="9"/>
      <c r="K92" s="9"/>
      <c r="L92" s="9" t="s">
        <v>3</v>
      </c>
      <c r="M92" s="9" t="s">
        <v>58</v>
      </c>
      <c r="N92" s="9" t="s">
        <v>66</v>
      </c>
    </row>
    <row r="93" spans="1:14" ht="14" x14ac:dyDescent="0.15">
      <c r="A93" s="9" t="s">
        <v>280</v>
      </c>
      <c r="B93" s="9" t="s">
        <v>241</v>
      </c>
      <c r="C93" s="9" t="s">
        <v>49</v>
      </c>
      <c r="D93" s="9" t="s">
        <v>281</v>
      </c>
      <c r="E93" s="9" t="s">
        <v>243</v>
      </c>
      <c r="F93" s="9" t="s">
        <v>52</v>
      </c>
      <c r="G93" s="9" t="s">
        <v>69</v>
      </c>
      <c r="H93" s="9"/>
      <c r="I93" s="9"/>
      <c r="J93" s="9"/>
      <c r="K93" s="9"/>
      <c r="L93" s="9" t="s">
        <v>3</v>
      </c>
      <c r="M93" s="9" t="s">
        <v>58</v>
      </c>
      <c r="N93" s="9" t="s">
        <v>66</v>
      </c>
    </row>
    <row r="94" spans="1:14" ht="14" x14ac:dyDescent="0.15">
      <c r="A94" s="9" t="s">
        <v>282</v>
      </c>
      <c r="B94" s="9" t="s">
        <v>241</v>
      </c>
      <c r="C94" s="9" t="s">
        <v>49</v>
      </c>
      <c r="D94" s="9" t="s">
        <v>283</v>
      </c>
      <c r="E94" s="9" t="s">
        <v>243</v>
      </c>
      <c r="F94" s="9" t="s">
        <v>52</v>
      </c>
      <c r="G94" s="9" t="s">
        <v>69</v>
      </c>
      <c r="H94" s="9"/>
      <c r="I94" s="9"/>
      <c r="J94" s="9"/>
      <c r="K94" s="9"/>
      <c r="L94" s="9" t="s">
        <v>3</v>
      </c>
      <c r="M94" s="9" t="s">
        <v>58</v>
      </c>
      <c r="N94" s="9" t="s">
        <v>66</v>
      </c>
    </row>
    <row r="95" spans="1:14" ht="14" x14ac:dyDescent="0.15">
      <c r="A95" s="9" t="s">
        <v>284</v>
      </c>
      <c r="B95" s="9" t="s">
        <v>241</v>
      </c>
      <c r="C95" s="9" t="s">
        <v>49</v>
      </c>
      <c r="D95" s="9" t="s">
        <v>285</v>
      </c>
      <c r="E95" s="9" t="s">
        <v>243</v>
      </c>
      <c r="F95" s="9" t="s">
        <v>52</v>
      </c>
      <c r="G95" s="9" t="s">
        <v>69</v>
      </c>
      <c r="H95" s="9"/>
      <c r="I95" s="9"/>
      <c r="J95" s="9"/>
      <c r="K95" s="9"/>
      <c r="L95" s="9" t="s">
        <v>3</v>
      </c>
      <c r="M95" s="9" t="s">
        <v>58</v>
      </c>
      <c r="N95" s="9" t="s">
        <v>66</v>
      </c>
    </row>
    <row r="96" spans="1:14" ht="14" x14ac:dyDescent="0.15">
      <c r="A96" s="9" t="s">
        <v>286</v>
      </c>
      <c r="B96" s="9" t="s">
        <v>241</v>
      </c>
      <c r="C96" s="9" t="s">
        <v>49</v>
      </c>
      <c r="D96" s="9" t="s">
        <v>287</v>
      </c>
      <c r="E96" s="9" t="s">
        <v>243</v>
      </c>
      <c r="F96" s="9" t="s">
        <v>52</v>
      </c>
      <c r="G96" s="9" t="s">
        <v>69</v>
      </c>
      <c r="H96" s="9"/>
      <c r="I96" s="9"/>
      <c r="J96" s="9"/>
      <c r="K96" s="9"/>
      <c r="L96" s="9" t="s">
        <v>3</v>
      </c>
      <c r="M96" s="9" t="s">
        <v>58</v>
      </c>
      <c r="N96" s="9" t="s">
        <v>66</v>
      </c>
    </row>
    <row r="97" spans="1:14" ht="14" x14ac:dyDescent="0.15">
      <c r="A97" s="9" t="s">
        <v>288</v>
      </c>
      <c r="B97" s="9" t="s">
        <v>241</v>
      </c>
      <c r="C97" s="9" t="s">
        <v>49</v>
      </c>
      <c r="D97" s="9" t="s">
        <v>289</v>
      </c>
      <c r="E97" s="9" t="s">
        <v>243</v>
      </c>
      <c r="F97" s="9" t="s">
        <v>52</v>
      </c>
      <c r="G97" s="9" t="s">
        <v>69</v>
      </c>
      <c r="H97" s="9"/>
      <c r="I97" s="9"/>
      <c r="J97" s="9"/>
      <c r="K97" s="9"/>
      <c r="L97" s="9" t="s">
        <v>3</v>
      </c>
      <c r="M97" s="9" t="s">
        <v>58</v>
      </c>
      <c r="N97" s="9" t="s">
        <v>66</v>
      </c>
    </row>
    <row r="98" spans="1:14" ht="14" x14ac:dyDescent="0.15">
      <c r="A98" s="9" t="s">
        <v>290</v>
      </c>
      <c r="B98" s="9" t="s">
        <v>241</v>
      </c>
      <c r="C98" s="9" t="s">
        <v>49</v>
      </c>
      <c r="D98" s="9" t="s">
        <v>291</v>
      </c>
      <c r="E98" s="9" t="s">
        <v>243</v>
      </c>
      <c r="F98" s="9" t="s">
        <v>52</v>
      </c>
      <c r="G98" s="9" t="s">
        <v>69</v>
      </c>
      <c r="H98" s="9"/>
      <c r="I98" s="9"/>
      <c r="J98" s="9"/>
      <c r="K98" s="9"/>
      <c r="L98" s="9" t="s">
        <v>3</v>
      </c>
      <c r="M98" s="9" t="s">
        <v>58</v>
      </c>
      <c r="N98" s="9" t="s">
        <v>66</v>
      </c>
    </row>
    <row r="99" spans="1:14" ht="14" x14ac:dyDescent="0.15">
      <c r="A99" s="9" t="s">
        <v>292</v>
      </c>
      <c r="B99" s="9" t="s">
        <v>241</v>
      </c>
      <c r="C99" s="9" t="s">
        <v>49</v>
      </c>
      <c r="D99" s="9" t="s">
        <v>293</v>
      </c>
      <c r="E99" s="9" t="s">
        <v>243</v>
      </c>
      <c r="F99" s="9" t="s">
        <v>52</v>
      </c>
      <c r="G99" s="9" t="s">
        <v>69</v>
      </c>
      <c r="H99" s="9"/>
      <c r="I99" s="9"/>
      <c r="J99" s="9"/>
      <c r="K99" s="9"/>
      <c r="L99" s="9" t="s">
        <v>3</v>
      </c>
      <c r="M99" s="9" t="s">
        <v>58</v>
      </c>
      <c r="N99" s="9" t="s">
        <v>66</v>
      </c>
    </row>
    <row r="100" spans="1:14" ht="14" x14ac:dyDescent="0.15">
      <c r="A100" s="9" t="s">
        <v>294</v>
      </c>
      <c r="B100" s="9" t="s">
        <v>241</v>
      </c>
      <c r="C100" s="9" t="s">
        <v>49</v>
      </c>
      <c r="D100" s="9" t="s">
        <v>295</v>
      </c>
      <c r="E100" s="9" t="s">
        <v>243</v>
      </c>
      <c r="F100" s="9" t="s">
        <v>52</v>
      </c>
      <c r="G100" s="9" t="s">
        <v>69</v>
      </c>
      <c r="H100" s="9"/>
      <c r="I100" s="9"/>
      <c r="J100" s="9"/>
      <c r="K100" s="9"/>
      <c r="L100" s="9" t="s">
        <v>3</v>
      </c>
      <c r="M100" s="9" t="s">
        <v>58</v>
      </c>
      <c r="N100" s="9" t="s">
        <v>66</v>
      </c>
    </row>
    <row r="101" spans="1:14" ht="14" x14ac:dyDescent="0.15">
      <c r="A101" s="9" t="s">
        <v>296</v>
      </c>
      <c r="B101" s="9" t="s">
        <v>241</v>
      </c>
      <c r="C101" s="9" t="s">
        <v>49</v>
      </c>
      <c r="D101" s="9" t="s">
        <v>297</v>
      </c>
      <c r="E101" s="9" t="s">
        <v>243</v>
      </c>
      <c r="F101" s="9" t="s">
        <v>52</v>
      </c>
      <c r="G101" s="9" t="s">
        <v>69</v>
      </c>
      <c r="H101" s="9"/>
      <c r="I101" s="9"/>
      <c r="J101" s="9"/>
      <c r="K101" s="9"/>
      <c r="L101" s="9" t="s">
        <v>3</v>
      </c>
      <c r="M101" s="9" t="s">
        <v>58</v>
      </c>
      <c r="N101" s="9" t="s">
        <v>66</v>
      </c>
    </row>
    <row r="102" spans="1:14" ht="14" x14ac:dyDescent="0.15">
      <c r="A102" s="9" t="s">
        <v>298</v>
      </c>
      <c r="B102" s="9" t="s">
        <v>241</v>
      </c>
      <c r="C102" s="9" t="s">
        <v>49</v>
      </c>
      <c r="D102" s="9" t="s">
        <v>299</v>
      </c>
      <c r="E102" s="9" t="s">
        <v>243</v>
      </c>
      <c r="F102" s="9" t="s">
        <v>52</v>
      </c>
      <c r="G102" s="9" t="s">
        <v>69</v>
      </c>
      <c r="H102" s="9"/>
      <c r="I102" s="9"/>
      <c r="J102" s="9"/>
      <c r="K102" s="9"/>
      <c r="L102" s="9" t="s">
        <v>3</v>
      </c>
      <c r="M102" s="9" t="s">
        <v>58</v>
      </c>
      <c r="N102" s="9" t="s">
        <v>66</v>
      </c>
    </row>
    <row r="103" spans="1:14" ht="14" x14ac:dyDescent="0.15">
      <c r="A103" s="9" t="s">
        <v>300</v>
      </c>
      <c r="B103" s="9" t="s">
        <v>241</v>
      </c>
      <c r="C103" s="9" t="s">
        <v>49</v>
      </c>
      <c r="D103" s="9" t="s">
        <v>301</v>
      </c>
      <c r="E103" s="9" t="s">
        <v>243</v>
      </c>
      <c r="F103" s="9" t="s">
        <v>52</v>
      </c>
      <c r="G103" s="9" t="s">
        <v>69</v>
      </c>
      <c r="H103" s="9"/>
      <c r="I103" s="9"/>
      <c r="J103" s="9"/>
      <c r="K103" s="9"/>
      <c r="L103" s="9" t="s">
        <v>3</v>
      </c>
      <c r="M103" s="9" t="s">
        <v>58</v>
      </c>
      <c r="N103" s="9" t="s">
        <v>66</v>
      </c>
    </row>
    <row r="104" spans="1:14" ht="14" x14ac:dyDescent="0.15">
      <c r="A104" s="9" t="s">
        <v>302</v>
      </c>
      <c r="B104" s="9" t="s">
        <v>241</v>
      </c>
      <c r="C104" s="9" t="s">
        <v>49</v>
      </c>
      <c r="D104" s="9" t="s">
        <v>303</v>
      </c>
      <c r="E104" s="9" t="s">
        <v>243</v>
      </c>
      <c r="F104" s="9" t="s">
        <v>52</v>
      </c>
      <c r="G104" s="9" t="s">
        <v>69</v>
      </c>
      <c r="H104" s="9"/>
      <c r="I104" s="9"/>
      <c r="J104" s="9"/>
      <c r="K104" s="9"/>
      <c r="L104" s="9" t="s">
        <v>3</v>
      </c>
      <c r="M104" s="9" t="s">
        <v>58</v>
      </c>
      <c r="N104" s="9" t="s">
        <v>66</v>
      </c>
    </row>
    <row r="105" spans="1:14" ht="14" x14ac:dyDescent="0.15">
      <c r="A105" s="9" t="s">
        <v>304</v>
      </c>
      <c r="B105" s="9" t="s">
        <v>241</v>
      </c>
      <c r="C105" s="9" t="s">
        <v>49</v>
      </c>
      <c r="D105" s="9" t="s">
        <v>305</v>
      </c>
      <c r="E105" s="9" t="s">
        <v>243</v>
      </c>
      <c r="F105" s="9" t="s">
        <v>52</v>
      </c>
      <c r="G105" s="9" t="s">
        <v>69</v>
      </c>
      <c r="H105" s="9"/>
      <c r="I105" s="9"/>
      <c r="J105" s="9"/>
      <c r="K105" s="9"/>
      <c r="L105" s="9" t="s">
        <v>3</v>
      </c>
      <c r="M105" s="9" t="s">
        <v>58</v>
      </c>
      <c r="N105" s="9" t="s">
        <v>66</v>
      </c>
    </row>
    <row r="106" spans="1:14" ht="14" x14ac:dyDescent="0.15">
      <c r="A106" s="9" t="s">
        <v>306</v>
      </c>
      <c r="B106" s="9" t="s">
        <v>241</v>
      </c>
      <c r="C106" s="9" t="s">
        <v>307</v>
      </c>
      <c r="D106" s="9" t="s">
        <v>308</v>
      </c>
      <c r="E106" s="9" t="s">
        <v>243</v>
      </c>
      <c r="F106" s="9" t="s">
        <v>52</v>
      </c>
      <c r="G106" s="9" t="s">
        <v>69</v>
      </c>
      <c r="H106" s="9"/>
      <c r="I106" s="9"/>
      <c r="J106" s="9"/>
      <c r="K106" s="9"/>
      <c r="L106" s="9" t="s">
        <v>3</v>
      </c>
      <c r="M106" s="9" t="s">
        <v>58</v>
      </c>
      <c r="N106" s="9" t="s">
        <v>66</v>
      </c>
    </row>
    <row r="107" spans="1:14" ht="14" x14ac:dyDescent="0.15">
      <c r="A107" s="9" t="s">
        <v>309</v>
      </c>
      <c r="B107" s="9" t="s">
        <v>241</v>
      </c>
      <c r="C107" s="9" t="s">
        <v>307</v>
      </c>
      <c r="D107" s="9" t="s">
        <v>310</v>
      </c>
      <c r="E107" s="9" t="s">
        <v>243</v>
      </c>
      <c r="F107" s="9" t="s">
        <v>52</v>
      </c>
      <c r="G107" s="9" t="s">
        <v>69</v>
      </c>
      <c r="H107" s="9"/>
      <c r="I107" s="9"/>
      <c r="J107" s="9"/>
      <c r="K107" s="9"/>
      <c r="L107" s="9" t="s">
        <v>3</v>
      </c>
      <c r="M107" s="9" t="s">
        <v>58</v>
      </c>
      <c r="N107" s="9" t="s">
        <v>66</v>
      </c>
    </row>
    <row r="108" spans="1:14" ht="14" x14ac:dyDescent="0.15">
      <c r="A108" s="9" t="s">
        <v>311</v>
      </c>
      <c r="B108" s="9" t="s">
        <v>241</v>
      </c>
      <c r="C108" s="9" t="s">
        <v>307</v>
      </c>
      <c r="D108" s="9" t="s">
        <v>312</v>
      </c>
      <c r="E108" s="9" t="s">
        <v>243</v>
      </c>
      <c r="F108" s="9" t="s">
        <v>52</v>
      </c>
      <c r="G108" s="9" t="s">
        <v>69</v>
      </c>
      <c r="H108" s="9"/>
      <c r="I108" s="9"/>
      <c r="J108" s="9"/>
      <c r="K108" s="9"/>
      <c r="L108" s="9" t="s">
        <v>3</v>
      </c>
      <c r="M108" s="9" t="s">
        <v>58</v>
      </c>
      <c r="N108" s="9" t="s">
        <v>66</v>
      </c>
    </row>
    <row r="109" spans="1:14" ht="14" x14ac:dyDescent="0.15">
      <c r="A109" s="9" t="s">
        <v>313</v>
      </c>
      <c r="B109" s="9" t="s">
        <v>241</v>
      </c>
      <c r="C109" s="9" t="s">
        <v>307</v>
      </c>
      <c r="D109" s="9" t="s">
        <v>314</v>
      </c>
      <c r="E109" s="9" t="s">
        <v>243</v>
      </c>
      <c r="F109" s="9" t="s">
        <v>52</v>
      </c>
      <c r="G109" s="9" t="s">
        <v>69</v>
      </c>
      <c r="H109" s="9"/>
      <c r="I109" s="9"/>
      <c r="J109" s="9"/>
      <c r="K109" s="9"/>
      <c r="L109" s="9" t="s">
        <v>3</v>
      </c>
      <c r="M109" s="9" t="s">
        <v>58</v>
      </c>
      <c r="N109" s="9" t="s">
        <v>66</v>
      </c>
    </row>
    <row r="110" spans="1:14" ht="14" x14ac:dyDescent="0.15">
      <c r="A110" s="9" t="s">
        <v>315</v>
      </c>
      <c r="B110" s="9" t="s">
        <v>241</v>
      </c>
      <c r="C110" s="9" t="s">
        <v>307</v>
      </c>
      <c r="D110" s="9" t="s">
        <v>316</v>
      </c>
      <c r="E110" s="9" t="s">
        <v>243</v>
      </c>
      <c r="F110" s="9" t="s">
        <v>52</v>
      </c>
      <c r="G110" s="9" t="s">
        <v>69</v>
      </c>
      <c r="H110" s="9"/>
      <c r="I110" s="9"/>
      <c r="J110" s="9"/>
      <c r="K110" s="9"/>
      <c r="L110" s="9" t="s">
        <v>3</v>
      </c>
      <c r="M110" s="9" t="s">
        <v>58</v>
      </c>
      <c r="N110" s="9" t="s">
        <v>66</v>
      </c>
    </row>
    <row r="111" spans="1:14" ht="14" x14ac:dyDescent="0.15">
      <c r="A111" s="9" t="s">
        <v>317</v>
      </c>
      <c r="B111" s="9" t="s">
        <v>241</v>
      </c>
      <c r="C111" s="9" t="s">
        <v>307</v>
      </c>
      <c r="D111" s="9" t="s">
        <v>318</v>
      </c>
      <c r="E111" s="9" t="s">
        <v>243</v>
      </c>
      <c r="F111" s="9" t="s">
        <v>52</v>
      </c>
      <c r="G111" s="9" t="s">
        <v>69</v>
      </c>
      <c r="H111" s="9"/>
      <c r="I111" s="9"/>
      <c r="J111" s="9"/>
      <c r="K111" s="9"/>
      <c r="L111" s="9" t="s">
        <v>3</v>
      </c>
      <c r="M111" s="9" t="s">
        <v>58</v>
      </c>
      <c r="N111" s="9" t="s">
        <v>66</v>
      </c>
    </row>
    <row r="112" spans="1:14" ht="14" x14ac:dyDescent="0.15">
      <c r="A112" s="9" t="s">
        <v>319</v>
      </c>
      <c r="B112" s="9" t="s">
        <v>241</v>
      </c>
      <c r="C112" s="9" t="s">
        <v>320</v>
      </c>
      <c r="D112" s="9" t="s">
        <v>321</v>
      </c>
      <c r="E112" s="9" t="s">
        <v>243</v>
      </c>
      <c r="F112" s="9" t="s">
        <v>52</v>
      </c>
      <c r="G112" s="9" t="s">
        <v>69</v>
      </c>
      <c r="H112" s="9"/>
      <c r="I112" s="9"/>
      <c r="J112" s="9"/>
      <c r="K112" s="9"/>
      <c r="L112" s="9" t="s">
        <v>3</v>
      </c>
      <c r="M112" s="9" t="s">
        <v>58</v>
      </c>
      <c r="N112" s="9" t="s">
        <v>66</v>
      </c>
    </row>
    <row r="113" spans="1:14" ht="14" x14ac:dyDescent="0.15">
      <c r="A113" s="9" t="s">
        <v>322</v>
      </c>
      <c r="B113" s="9" t="s">
        <v>241</v>
      </c>
      <c r="C113" s="9" t="s">
        <v>320</v>
      </c>
      <c r="D113" s="9" t="s">
        <v>323</v>
      </c>
      <c r="E113" s="9" t="s">
        <v>243</v>
      </c>
      <c r="F113" s="9" t="s">
        <v>52</v>
      </c>
      <c r="G113" s="9" t="s">
        <v>69</v>
      </c>
      <c r="H113" s="9"/>
      <c r="I113" s="9"/>
      <c r="J113" s="9"/>
      <c r="K113" s="9"/>
      <c r="L113" s="9" t="s">
        <v>3</v>
      </c>
      <c r="M113" s="9" t="s">
        <v>58</v>
      </c>
      <c r="N113" s="9" t="s">
        <v>66</v>
      </c>
    </row>
    <row r="114" spans="1:14" ht="14" x14ac:dyDescent="0.15">
      <c r="A114" s="9" t="s">
        <v>324</v>
      </c>
      <c r="B114" s="9" t="s">
        <v>241</v>
      </c>
      <c r="C114" s="9" t="s">
        <v>320</v>
      </c>
      <c r="D114" s="9" t="s">
        <v>325</v>
      </c>
      <c r="E114" s="9" t="s">
        <v>243</v>
      </c>
      <c r="F114" s="9" t="s">
        <v>52</v>
      </c>
      <c r="G114" s="9" t="s">
        <v>69</v>
      </c>
      <c r="H114" s="9"/>
      <c r="I114" s="9"/>
      <c r="J114" s="9"/>
      <c r="K114" s="9"/>
      <c r="L114" s="9" t="s">
        <v>3</v>
      </c>
      <c r="M114" s="9" t="s">
        <v>58</v>
      </c>
      <c r="N114" s="9" t="s">
        <v>66</v>
      </c>
    </row>
    <row r="115" spans="1:14" ht="14" x14ac:dyDescent="0.15">
      <c r="A115" s="9" t="s">
        <v>326</v>
      </c>
      <c r="B115" s="9" t="s">
        <v>241</v>
      </c>
      <c r="C115" s="9" t="s">
        <v>320</v>
      </c>
      <c r="D115" s="9" t="s">
        <v>327</v>
      </c>
      <c r="E115" s="9" t="s">
        <v>243</v>
      </c>
      <c r="F115" s="9" t="s">
        <v>52</v>
      </c>
      <c r="G115" s="9" t="s">
        <v>69</v>
      </c>
      <c r="H115" s="9"/>
      <c r="I115" s="9"/>
      <c r="J115" s="9"/>
      <c r="K115" s="9"/>
      <c r="L115" s="9" t="s">
        <v>3</v>
      </c>
      <c r="M115" s="9" t="s">
        <v>58</v>
      </c>
      <c r="N115" s="9" t="s">
        <v>66</v>
      </c>
    </row>
    <row r="116" spans="1:14" ht="14" x14ac:dyDescent="0.15">
      <c r="A116" s="9" t="s">
        <v>328</v>
      </c>
      <c r="B116" s="9" t="s">
        <v>241</v>
      </c>
      <c r="C116" s="9" t="s">
        <v>320</v>
      </c>
      <c r="D116" s="9" t="s">
        <v>329</v>
      </c>
      <c r="E116" s="9" t="s">
        <v>243</v>
      </c>
      <c r="F116" s="9" t="s">
        <v>52</v>
      </c>
      <c r="G116" s="9" t="s">
        <v>69</v>
      </c>
      <c r="H116" s="9"/>
      <c r="I116" s="9"/>
      <c r="J116" s="9"/>
      <c r="K116" s="9"/>
      <c r="L116" s="9" t="s">
        <v>3</v>
      </c>
      <c r="M116" s="9" t="s">
        <v>58</v>
      </c>
      <c r="N116" s="9" t="s">
        <v>66</v>
      </c>
    </row>
    <row r="117" spans="1:14" ht="14" x14ac:dyDescent="0.15">
      <c r="A117" s="9" t="s">
        <v>330</v>
      </c>
      <c r="B117" s="9" t="s">
        <v>241</v>
      </c>
      <c r="C117" s="9" t="s">
        <v>320</v>
      </c>
      <c r="D117" s="9" t="s">
        <v>331</v>
      </c>
      <c r="E117" s="9" t="s">
        <v>243</v>
      </c>
      <c r="F117" s="9" t="s">
        <v>52</v>
      </c>
      <c r="G117" s="9" t="s">
        <v>69</v>
      </c>
      <c r="H117" s="9"/>
      <c r="I117" s="9"/>
      <c r="J117" s="9"/>
      <c r="K117" s="9"/>
      <c r="L117" s="9" t="s">
        <v>3</v>
      </c>
      <c r="M117" s="9" t="s">
        <v>58</v>
      </c>
      <c r="N117" s="9" t="s">
        <v>66</v>
      </c>
    </row>
    <row r="118" spans="1:14" ht="14" x14ac:dyDescent="0.15">
      <c r="A118" s="9" t="s">
        <v>332</v>
      </c>
      <c r="B118" s="9" t="s">
        <v>241</v>
      </c>
      <c r="C118" s="9" t="s">
        <v>320</v>
      </c>
      <c r="D118" s="9" t="s">
        <v>333</v>
      </c>
      <c r="E118" s="9" t="s">
        <v>243</v>
      </c>
      <c r="F118" s="9" t="s">
        <v>52</v>
      </c>
      <c r="G118" s="9" t="s">
        <v>69</v>
      </c>
      <c r="H118" s="9"/>
      <c r="I118" s="9"/>
      <c r="J118" s="9"/>
      <c r="K118" s="9"/>
      <c r="L118" s="9" t="s">
        <v>3</v>
      </c>
      <c r="M118" s="9" t="s">
        <v>58</v>
      </c>
      <c r="N118" s="9" t="s">
        <v>66</v>
      </c>
    </row>
    <row r="119" spans="1:14" ht="14" x14ac:dyDescent="0.15">
      <c r="A119" s="9" t="s">
        <v>334</v>
      </c>
      <c r="B119" s="9" t="s">
        <v>241</v>
      </c>
      <c r="C119" s="9" t="s">
        <v>320</v>
      </c>
      <c r="D119" s="9" t="s">
        <v>335</v>
      </c>
      <c r="E119" s="9" t="s">
        <v>243</v>
      </c>
      <c r="F119" s="9" t="s">
        <v>52</v>
      </c>
      <c r="G119" s="9" t="s">
        <v>69</v>
      </c>
      <c r="H119" s="9"/>
      <c r="I119" s="9"/>
      <c r="J119" s="9"/>
      <c r="K119" s="9"/>
      <c r="L119" s="9" t="s">
        <v>3</v>
      </c>
      <c r="M119" s="9" t="s">
        <v>58</v>
      </c>
      <c r="N119" s="9" t="s">
        <v>66</v>
      </c>
    </row>
    <row r="120" spans="1:14" ht="14" x14ac:dyDescent="0.15">
      <c r="A120" s="9" t="s">
        <v>336</v>
      </c>
      <c r="B120" s="9" t="s">
        <v>241</v>
      </c>
      <c r="C120" s="9" t="s">
        <v>320</v>
      </c>
      <c r="D120" s="9" t="s">
        <v>337</v>
      </c>
      <c r="E120" s="9" t="s">
        <v>243</v>
      </c>
      <c r="F120" s="9" t="s">
        <v>52</v>
      </c>
      <c r="G120" s="9" t="s">
        <v>69</v>
      </c>
      <c r="H120" s="9"/>
      <c r="I120" s="9"/>
      <c r="J120" s="9"/>
      <c r="K120" s="9"/>
      <c r="L120" s="9" t="s">
        <v>3</v>
      </c>
      <c r="M120" s="9" t="s">
        <v>58</v>
      </c>
      <c r="N120" s="9" t="s">
        <v>66</v>
      </c>
    </row>
    <row r="121" spans="1:14" ht="14" x14ac:dyDescent="0.15">
      <c r="A121" s="9" t="s">
        <v>338</v>
      </c>
      <c r="B121" s="9" t="s">
        <v>241</v>
      </c>
      <c r="C121" s="9" t="s">
        <v>320</v>
      </c>
      <c r="D121" s="9" t="s">
        <v>339</v>
      </c>
      <c r="E121" s="9" t="s">
        <v>243</v>
      </c>
      <c r="F121" s="9" t="s">
        <v>52</v>
      </c>
      <c r="G121" s="9" t="s">
        <v>69</v>
      </c>
      <c r="H121" s="9"/>
      <c r="I121" s="9"/>
      <c r="J121" s="9"/>
      <c r="K121" s="9"/>
      <c r="L121" s="9" t="s">
        <v>3</v>
      </c>
      <c r="M121" s="9" t="s">
        <v>58</v>
      </c>
      <c r="N121" s="9" t="s">
        <v>66</v>
      </c>
    </row>
    <row r="122" spans="1:14" ht="14" x14ac:dyDescent="0.15">
      <c r="A122" s="9" t="s">
        <v>340</v>
      </c>
      <c r="B122" s="9" t="s">
        <v>241</v>
      </c>
      <c r="C122" s="9" t="s">
        <v>320</v>
      </c>
      <c r="D122" s="9" t="s">
        <v>341</v>
      </c>
      <c r="E122" s="9" t="s">
        <v>243</v>
      </c>
      <c r="F122" s="9" t="s">
        <v>52</v>
      </c>
      <c r="G122" s="9" t="s">
        <v>69</v>
      </c>
      <c r="H122" s="9"/>
      <c r="I122" s="9"/>
      <c r="J122" s="9"/>
      <c r="K122" s="9"/>
      <c r="L122" s="9" t="s">
        <v>3</v>
      </c>
      <c r="M122" s="9" t="s">
        <v>58</v>
      </c>
      <c r="N122" s="9" t="s">
        <v>66</v>
      </c>
    </row>
    <row r="123" spans="1:14" ht="14" x14ac:dyDescent="0.15">
      <c r="A123" s="9" t="s">
        <v>342</v>
      </c>
      <c r="B123" s="9" t="s">
        <v>241</v>
      </c>
      <c r="C123" s="9" t="s">
        <v>320</v>
      </c>
      <c r="D123" s="9" t="s">
        <v>343</v>
      </c>
      <c r="E123" s="9" t="s">
        <v>243</v>
      </c>
      <c r="F123" s="9" t="s">
        <v>52</v>
      </c>
      <c r="G123" s="9" t="s">
        <v>69</v>
      </c>
      <c r="H123" s="9"/>
      <c r="I123" s="9"/>
      <c r="J123" s="9"/>
      <c r="K123" s="9"/>
      <c r="L123" s="9" t="s">
        <v>3</v>
      </c>
      <c r="M123" s="9" t="s">
        <v>58</v>
      </c>
      <c r="N123" s="9" t="s">
        <v>66</v>
      </c>
    </row>
    <row r="124" spans="1:14" ht="14" x14ac:dyDescent="0.15">
      <c r="A124" s="9" t="s">
        <v>344</v>
      </c>
      <c r="B124" s="9" t="s">
        <v>241</v>
      </c>
      <c r="C124" s="9" t="s">
        <v>320</v>
      </c>
      <c r="D124" s="9" t="s">
        <v>345</v>
      </c>
      <c r="E124" s="9" t="s">
        <v>243</v>
      </c>
      <c r="F124" s="9" t="s">
        <v>52</v>
      </c>
      <c r="G124" s="9" t="s">
        <v>69</v>
      </c>
      <c r="H124" s="9"/>
      <c r="I124" s="9"/>
      <c r="J124" s="9"/>
      <c r="K124" s="9"/>
      <c r="L124" s="9" t="s">
        <v>3</v>
      </c>
      <c r="M124" s="9" t="s">
        <v>58</v>
      </c>
      <c r="N124" s="9" t="s">
        <v>66</v>
      </c>
    </row>
    <row r="125" spans="1:14" ht="14" x14ac:dyDescent="0.15">
      <c r="A125" s="9" t="s">
        <v>346</v>
      </c>
      <c r="B125" s="9" t="s">
        <v>241</v>
      </c>
      <c r="C125" s="9" t="s">
        <v>320</v>
      </c>
      <c r="D125" s="9" t="s">
        <v>347</v>
      </c>
      <c r="E125" s="9" t="s">
        <v>243</v>
      </c>
      <c r="F125" s="9" t="s">
        <v>52</v>
      </c>
      <c r="G125" s="9" t="s">
        <v>69</v>
      </c>
      <c r="H125" s="9"/>
      <c r="I125" s="9"/>
      <c r="J125" s="9"/>
      <c r="K125" s="9"/>
      <c r="L125" s="9" t="s">
        <v>3</v>
      </c>
      <c r="M125" s="9" t="s">
        <v>58</v>
      </c>
      <c r="N125" s="9" t="s">
        <v>66</v>
      </c>
    </row>
    <row r="126" spans="1:14" ht="14" x14ac:dyDescent="0.15">
      <c r="A126" s="9" t="s">
        <v>348</v>
      </c>
      <c r="B126" s="9" t="s">
        <v>241</v>
      </c>
      <c r="C126" s="9" t="s">
        <v>320</v>
      </c>
      <c r="D126" s="9" t="s">
        <v>349</v>
      </c>
      <c r="E126" s="9" t="s">
        <v>243</v>
      </c>
      <c r="F126" s="9" t="s">
        <v>52</v>
      </c>
      <c r="G126" s="9" t="s">
        <v>69</v>
      </c>
      <c r="H126" s="9"/>
      <c r="I126" s="9"/>
      <c r="J126" s="9"/>
      <c r="K126" s="9"/>
      <c r="L126" s="9" t="s">
        <v>3</v>
      </c>
      <c r="M126" s="9" t="s">
        <v>58</v>
      </c>
      <c r="N126" s="9" t="s">
        <v>66</v>
      </c>
    </row>
    <row r="127" spans="1:14" ht="14" x14ac:dyDescent="0.15">
      <c r="A127" s="9" t="s">
        <v>350</v>
      </c>
      <c r="B127" s="9" t="s">
        <v>241</v>
      </c>
      <c r="C127" s="9" t="s">
        <v>320</v>
      </c>
      <c r="D127" s="9" t="s">
        <v>351</v>
      </c>
      <c r="E127" s="9" t="s">
        <v>243</v>
      </c>
      <c r="F127" s="9" t="s">
        <v>52</v>
      </c>
      <c r="G127" s="9" t="s">
        <v>69</v>
      </c>
      <c r="H127" s="9"/>
      <c r="I127" s="9"/>
      <c r="J127" s="9"/>
      <c r="K127" s="9"/>
      <c r="L127" s="9" t="s">
        <v>3</v>
      </c>
      <c r="M127" s="9" t="s">
        <v>58</v>
      </c>
      <c r="N127" s="9" t="s">
        <v>66</v>
      </c>
    </row>
    <row r="128" spans="1:14" ht="14" x14ac:dyDescent="0.15">
      <c r="A128" s="9" t="s">
        <v>352</v>
      </c>
      <c r="B128" s="9" t="s">
        <v>241</v>
      </c>
      <c r="C128" s="9" t="s">
        <v>320</v>
      </c>
      <c r="D128" s="9" t="s">
        <v>353</v>
      </c>
      <c r="E128" s="9" t="s">
        <v>243</v>
      </c>
      <c r="F128" s="9" t="s">
        <v>52</v>
      </c>
      <c r="G128" s="9" t="s">
        <v>69</v>
      </c>
      <c r="H128" s="9"/>
      <c r="I128" s="9"/>
      <c r="J128" s="9"/>
      <c r="K128" s="9"/>
      <c r="L128" s="9" t="s">
        <v>3</v>
      </c>
      <c r="M128" s="9" t="s">
        <v>58</v>
      </c>
      <c r="N128" s="9" t="s">
        <v>66</v>
      </c>
    </row>
    <row r="129" spans="1:14" ht="14" x14ac:dyDescent="0.15">
      <c r="A129" s="9" t="s">
        <v>354</v>
      </c>
      <c r="B129" s="9" t="s">
        <v>241</v>
      </c>
      <c r="C129" s="9" t="s">
        <v>320</v>
      </c>
      <c r="D129" s="9" t="s">
        <v>355</v>
      </c>
      <c r="E129" s="9" t="s">
        <v>243</v>
      </c>
      <c r="F129" s="9" t="s">
        <v>52</v>
      </c>
      <c r="G129" s="9" t="s">
        <v>69</v>
      </c>
      <c r="H129" s="9"/>
      <c r="I129" s="9"/>
      <c r="J129" s="9"/>
      <c r="K129" s="9"/>
      <c r="L129" s="9" t="s">
        <v>3</v>
      </c>
      <c r="M129" s="9" t="s">
        <v>58</v>
      </c>
      <c r="N129" s="9" t="s">
        <v>66</v>
      </c>
    </row>
    <row r="130" spans="1:14" ht="14" x14ac:dyDescent="0.15">
      <c r="A130" s="9" t="s">
        <v>356</v>
      </c>
      <c r="B130" s="9" t="s">
        <v>241</v>
      </c>
      <c r="C130" s="9" t="s">
        <v>357</v>
      </c>
      <c r="D130" s="9" t="s">
        <v>358</v>
      </c>
      <c r="E130" s="9" t="s">
        <v>243</v>
      </c>
      <c r="F130" s="9" t="s">
        <v>52</v>
      </c>
      <c r="G130" s="9" t="s">
        <v>69</v>
      </c>
      <c r="H130" s="9"/>
      <c r="I130" s="9"/>
      <c r="J130" s="9"/>
      <c r="K130" s="9"/>
      <c r="L130" s="9" t="s">
        <v>3</v>
      </c>
      <c r="M130" s="9" t="s">
        <v>58</v>
      </c>
      <c r="N130" s="9" t="s">
        <v>66</v>
      </c>
    </row>
    <row r="131" spans="1:14" ht="14" x14ac:dyDescent="0.15">
      <c r="A131" s="9" t="s">
        <v>359</v>
      </c>
      <c r="B131" s="9" t="s">
        <v>241</v>
      </c>
      <c r="C131" s="9" t="s">
        <v>357</v>
      </c>
      <c r="D131" s="9" t="s">
        <v>360</v>
      </c>
      <c r="E131" s="9" t="s">
        <v>243</v>
      </c>
      <c r="F131" s="9" t="s">
        <v>52</v>
      </c>
      <c r="G131" s="9" t="s">
        <v>69</v>
      </c>
      <c r="H131" s="9"/>
      <c r="I131" s="9"/>
      <c r="J131" s="9"/>
      <c r="K131" s="9"/>
      <c r="L131" s="9" t="s">
        <v>3</v>
      </c>
      <c r="M131" s="9" t="s">
        <v>58</v>
      </c>
      <c r="N131" s="9" t="s">
        <v>66</v>
      </c>
    </row>
    <row r="132" spans="1:14" ht="14" x14ac:dyDescent="0.15">
      <c r="A132" s="9" t="s">
        <v>361</v>
      </c>
      <c r="B132" s="9" t="s">
        <v>241</v>
      </c>
      <c r="C132" s="9" t="s">
        <v>357</v>
      </c>
      <c r="D132" s="9" t="s">
        <v>362</v>
      </c>
      <c r="E132" s="9" t="s">
        <v>243</v>
      </c>
      <c r="F132" s="9" t="s">
        <v>52</v>
      </c>
      <c r="G132" s="9" t="s">
        <v>69</v>
      </c>
      <c r="H132" s="9"/>
      <c r="I132" s="9"/>
      <c r="J132" s="9"/>
      <c r="K132" s="9"/>
      <c r="L132" s="9" t="s">
        <v>3</v>
      </c>
      <c r="M132" s="9" t="s">
        <v>58</v>
      </c>
      <c r="N132" s="9" t="s">
        <v>66</v>
      </c>
    </row>
    <row r="133" spans="1:14" ht="14" x14ac:dyDescent="0.15">
      <c r="A133" s="9" t="s">
        <v>363</v>
      </c>
      <c r="B133" s="9" t="s">
        <v>241</v>
      </c>
      <c r="C133" s="9" t="s">
        <v>357</v>
      </c>
      <c r="D133" s="9" t="s">
        <v>364</v>
      </c>
      <c r="E133" s="9" t="s">
        <v>243</v>
      </c>
      <c r="F133" s="9" t="s">
        <v>52</v>
      </c>
      <c r="G133" s="9" t="s">
        <v>69</v>
      </c>
      <c r="H133" s="9"/>
      <c r="I133" s="9"/>
      <c r="J133" s="9"/>
      <c r="K133" s="9"/>
      <c r="L133" s="9" t="s">
        <v>3</v>
      </c>
      <c r="M133" s="9" t="s">
        <v>58</v>
      </c>
      <c r="N133" s="9" t="s">
        <v>66</v>
      </c>
    </row>
    <row r="134" spans="1:14" ht="14" x14ac:dyDescent="0.15">
      <c r="A134" s="9" t="s">
        <v>365</v>
      </c>
      <c r="B134" s="9" t="s">
        <v>241</v>
      </c>
      <c r="C134" s="9" t="s">
        <v>357</v>
      </c>
      <c r="D134" s="9" t="s">
        <v>366</v>
      </c>
      <c r="E134" s="9" t="s">
        <v>243</v>
      </c>
      <c r="F134" s="9" t="s">
        <v>52</v>
      </c>
      <c r="G134" s="9" t="s">
        <v>69</v>
      </c>
      <c r="H134" s="9"/>
      <c r="I134" s="9"/>
      <c r="J134" s="9"/>
      <c r="K134" s="9"/>
      <c r="L134" s="9" t="s">
        <v>3</v>
      </c>
      <c r="M134" s="9" t="s">
        <v>58</v>
      </c>
      <c r="N134" s="9" t="s">
        <v>66</v>
      </c>
    </row>
    <row r="135" spans="1:14" ht="14" x14ac:dyDescent="0.15">
      <c r="A135" s="9" t="s">
        <v>367</v>
      </c>
      <c r="B135" s="9" t="s">
        <v>241</v>
      </c>
      <c r="C135" s="9" t="s">
        <v>357</v>
      </c>
      <c r="D135" s="9" t="s">
        <v>368</v>
      </c>
      <c r="E135" s="9" t="s">
        <v>243</v>
      </c>
      <c r="F135" s="9" t="s">
        <v>52</v>
      </c>
      <c r="G135" s="9" t="s">
        <v>69</v>
      </c>
      <c r="H135" s="9"/>
      <c r="I135" s="9"/>
      <c r="J135" s="9"/>
      <c r="K135" s="9"/>
      <c r="L135" s="9" t="s">
        <v>3</v>
      </c>
      <c r="M135" s="9" t="s">
        <v>58</v>
      </c>
      <c r="N135" s="9" t="s">
        <v>66</v>
      </c>
    </row>
    <row r="136" spans="1:14" ht="14" x14ac:dyDescent="0.15">
      <c r="A136" s="9" t="s">
        <v>369</v>
      </c>
      <c r="B136" s="9" t="s">
        <v>241</v>
      </c>
      <c r="C136" s="9" t="s">
        <v>357</v>
      </c>
      <c r="D136" s="9" t="s">
        <v>370</v>
      </c>
      <c r="E136" s="9" t="s">
        <v>243</v>
      </c>
      <c r="F136" s="9" t="s">
        <v>52</v>
      </c>
      <c r="G136" s="9" t="s">
        <v>69</v>
      </c>
      <c r="H136" s="9"/>
      <c r="I136" s="9"/>
      <c r="J136" s="9"/>
      <c r="K136" s="9"/>
      <c r="L136" s="9" t="s">
        <v>3</v>
      </c>
      <c r="M136" s="9" t="s">
        <v>58</v>
      </c>
      <c r="N136" s="9" t="s">
        <v>66</v>
      </c>
    </row>
    <row r="137" spans="1:14" ht="14" x14ac:dyDescent="0.15">
      <c r="A137" s="9" t="s">
        <v>371</v>
      </c>
      <c r="B137" s="9" t="s">
        <v>241</v>
      </c>
      <c r="C137" s="9" t="s">
        <v>117</v>
      </c>
      <c r="D137" s="9" t="s">
        <v>372</v>
      </c>
      <c r="E137" s="9" t="s">
        <v>243</v>
      </c>
      <c r="F137" s="9" t="s">
        <v>52</v>
      </c>
      <c r="G137" s="9" t="s">
        <v>69</v>
      </c>
      <c r="H137" s="9"/>
      <c r="I137" s="9"/>
      <c r="J137" s="9"/>
      <c r="K137" s="9"/>
      <c r="L137" s="9" t="s">
        <v>3</v>
      </c>
      <c r="M137" s="9" t="s">
        <v>58</v>
      </c>
      <c r="N137" s="9" t="s">
        <v>66</v>
      </c>
    </row>
    <row r="138" spans="1:14" ht="14" x14ac:dyDescent="0.15">
      <c r="A138" s="9" t="s">
        <v>373</v>
      </c>
      <c r="B138" s="9" t="s">
        <v>241</v>
      </c>
      <c r="C138" s="9" t="s">
        <v>117</v>
      </c>
      <c r="D138" s="9" t="s">
        <v>374</v>
      </c>
      <c r="E138" s="9" t="s">
        <v>243</v>
      </c>
      <c r="F138" s="9" t="s">
        <v>52</v>
      </c>
      <c r="G138" s="9" t="s">
        <v>69</v>
      </c>
      <c r="H138" s="9"/>
      <c r="I138" s="9"/>
      <c r="J138" s="9"/>
      <c r="K138" s="9"/>
      <c r="L138" s="9" t="s">
        <v>3</v>
      </c>
      <c r="M138" s="9" t="s">
        <v>58</v>
      </c>
      <c r="N138" s="9" t="s">
        <v>66</v>
      </c>
    </row>
    <row r="139" spans="1:14" ht="14" x14ac:dyDescent="0.15">
      <c r="A139" s="9" t="s">
        <v>375</v>
      </c>
      <c r="B139" s="9" t="s">
        <v>241</v>
      </c>
      <c r="C139" s="9" t="s">
        <v>117</v>
      </c>
      <c r="D139" s="9" t="s">
        <v>376</v>
      </c>
      <c r="E139" s="9" t="s">
        <v>243</v>
      </c>
      <c r="F139" s="9" t="s">
        <v>52</v>
      </c>
      <c r="G139" s="9" t="s">
        <v>69</v>
      </c>
      <c r="H139" s="9"/>
      <c r="I139" s="9"/>
      <c r="J139" s="9"/>
      <c r="K139" s="9"/>
      <c r="L139" s="9" t="s">
        <v>3</v>
      </c>
      <c r="M139" s="9" t="s">
        <v>58</v>
      </c>
      <c r="N139" s="9" t="s">
        <v>66</v>
      </c>
    </row>
    <row r="140" spans="1:14" ht="14" x14ac:dyDescent="0.15">
      <c r="A140" s="9" t="s">
        <v>377</v>
      </c>
      <c r="B140" s="9" t="s">
        <v>241</v>
      </c>
      <c r="C140" s="9" t="s">
        <v>117</v>
      </c>
      <c r="D140" s="9" t="s">
        <v>378</v>
      </c>
      <c r="E140" s="9" t="s">
        <v>243</v>
      </c>
      <c r="F140" s="9" t="s">
        <v>52</v>
      </c>
      <c r="G140" s="9" t="s">
        <v>69</v>
      </c>
      <c r="H140" s="9"/>
      <c r="I140" s="9"/>
      <c r="J140" s="9"/>
      <c r="K140" s="9"/>
      <c r="L140" s="9" t="s">
        <v>3</v>
      </c>
      <c r="M140" s="9" t="s">
        <v>58</v>
      </c>
      <c r="N140" s="9" t="s">
        <v>66</v>
      </c>
    </row>
    <row r="141" spans="1:14" ht="14" x14ac:dyDescent="0.15">
      <c r="A141" s="9" t="s">
        <v>379</v>
      </c>
      <c r="B141" s="9" t="s">
        <v>241</v>
      </c>
      <c r="C141" s="9" t="s">
        <v>117</v>
      </c>
      <c r="D141" s="9" t="s">
        <v>380</v>
      </c>
      <c r="E141" s="9" t="s">
        <v>243</v>
      </c>
      <c r="F141" s="9" t="s">
        <v>52</v>
      </c>
      <c r="G141" s="9" t="s">
        <v>69</v>
      </c>
      <c r="H141" s="9"/>
      <c r="I141" s="9"/>
      <c r="J141" s="9"/>
      <c r="K141" s="9"/>
      <c r="L141" s="9" t="s">
        <v>3</v>
      </c>
      <c r="M141" s="9" t="s">
        <v>58</v>
      </c>
      <c r="N141" s="9" t="s">
        <v>66</v>
      </c>
    </row>
    <row r="142" spans="1:14" ht="14" x14ac:dyDescent="0.15">
      <c r="A142" s="9" t="s">
        <v>381</v>
      </c>
      <c r="B142" s="9" t="s">
        <v>241</v>
      </c>
      <c r="C142" s="9" t="s">
        <v>117</v>
      </c>
      <c r="D142" s="9" t="s">
        <v>382</v>
      </c>
      <c r="E142" s="9" t="s">
        <v>243</v>
      </c>
      <c r="F142" s="9" t="s">
        <v>52</v>
      </c>
      <c r="G142" s="9" t="s">
        <v>69</v>
      </c>
      <c r="H142" s="9"/>
      <c r="I142" s="9"/>
      <c r="J142" s="9"/>
      <c r="K142" s="9"/>
      <c r="L142" s="9" t="s">
        <v>3</v>
      </c>
      <c r="M142" s="9" t="s">
        <v>58</v>
      </c>
      <c r="N142" s="9" t="s">
        <v>66</v>
      </c>
    </row>
    <row r="143" spans="1:14" ht="14" x14ac:dyDescent="0.15">
      <c r="A143" s="9" t="s">
        <v>383</v>
      </c>
      <c r="B143" s="9" t="s">
        <v>241</v>
      </c>
      <c r="C143" s="9" t="s">
        <v>117</v>
      </c>
      <c r="D143" s="9" t="s">
        <v>384</v>
      </c>
      <c r="E143" s="9" t="s">
        <v>243</v>
      </c>
      <c r="F143" s="9" t="s">
        <v>52</v>
      </c>
      <c r="G143" s="9" t="s">
        <v>69</v>
      </c>
      <c r="H143" s="9"/>
      <c r="I143" s="9"/>
      <c r="J143" s="9"/>
      <c r="K143" s="9"/>
      <c r="L143" s="9" t="s">
        <v>3</v>
      </c>
      <c r="M143" s="9" t="s">
        <v>58</v>
      </c>
      <c r="N143" s="9" t="s">
        <v>66</v>
      </c>
    </row>
    <row r="144" spans="1:14" ht="14" x14ac:dyDescent="0.15">
      <c r="A144" s="9" t="s">
        <v>385</v>
      </c>
      <c r="B144" s="9" t="s">
        <v>241</v>
      </c>
      <c r="C144" s="9" t="s">
        <v>117</v>
      </c>
      <c r="D144" s="9" t="s">
        <v>386</v>
      </c>
      <c r="E144" s="9" t="s">
        <v>243</v>
      </c>
      <c r="F144" s="9" t="s">
        <v>52</v>
      </c>
      <c r="G144" s="9" t="s">
        <v>69</v>
      </c>
      <c r="H144" s="9"/>
      <c r="I144" s="9"/>
      <c r="J144" s="9"/>
      <c r="K144" s="9"/>
      <c r="L144" s="9" t="s">
        <v>3</v>
      </c>
      <c r="M144" s="9" t="s">
        <v>58</v>
      </c>
      <c r="N144" s="9" t="s">
        <v>66</v>
      </c>
    </row>
    <row r="145" spans="1:14" ht="14" x14ac:dyDescent="0.15">
      <c r="A145" s="9" t="s">
        <v>387</v>
      </c>
      <c r="B145" s="9" t="s">
        <v>241</v>
      </c>
      <c r="C145" s="9" t="s">
        <v>117</v>
      </c>
      <c r="D145" s="9" t="s">
        <v>388</v>
      </c>
      <c r="E145" s="9" t="s">
        <v>243</v>
      </c>
      <c r="F145" s="9" t="s">
        <v>52</v>
      </c>
      <c r="G145" s="9" t="s">
        <v>69</v>
      </c>
      <c r="H145" s="9"/>
      <c r="I145" s="9"/>
      <c r="J145" s="9"/>
      <c r="K145" s="9"/>
      <c r="L145" s="9" t="s">
        <v>3</v>
      </c>
      <c r="M145" s="9" t="s">
        <v>58</v>
      </c>
      <c r="N145" s="9" t="s">
        <v>66</v>
      </c>
    </row>
    <row r="146" spans="1:14" ht="14" x14ac:dyDescent="0.15">
      <c r="A146" s="9" t="s">
        <v>389</v>
      </c>
      <c r="B146" s="9" t="s">
        <v>241</v>
      </c>
      <c r="C146" s="9" t="s">
        <v>117</v>
      </c>
      <c r="D146" s="9" t="s">
        <v>390</v>
      </c>
      <c r="E146" s="9" t="s">
        <v>243</v>
      </c>
      <c r="F146" s="9" t="s">
        <v>52</v>
      </c>
      <c r="G146" s="9" t="s">
        <v>69</v>
      </c>
      <c r="H146" s="9"/>
      <c r="I146" s="9"/>
      <c r="J146" s="9"/>
      <c r="K146" s="9"/>
      <c r="L146" s="9" t="s">
        <v>3</v>
      </c>
      <c r="M146" s="9" t="s">
        <v>58</v>
      </c>
      <c r="N146" s="9" t="s">
        <v>66</v>
      </c>
    </row>
    <row r="147" spans="1:14" ht="14" x14ac:dyDescent="0.15">
      <c r="A147" s="9" t="s">
        <v>391</v>
      </c>
      <c r="B147" s="9" t="s">
        <v>241</v>
      </c>
      <c r="C147" s="9" t="s">
        <v>117</v>
      </c>
      <c r="D147" s="9" t="s">
        <v>392</v>
      </c>
      <c r="E147" s="9" t="s">
        <v>243</v>
      </c>
      <c r="F147" s="9" t="s">
        <v>52</v>
      </c>
      <c r="G147" s="9" t="s">
        <v>69</v>
      </c>
      <c r="H147" s="9"/>
      <c r="I147" s="9"/>
      <c r="J147" s="9"/>
      <c r="K147" s="9"/>
      <c r="L147" s="9" t="s">
        <v>3</v>
      </c>
      <c r="M147" s="9" t="s">
        <v>58</v>
      </c>
      <c r="N147" s="9" t="s">
        <v>66</v>
      </c>
    </row>
    <row r="148" spans="1:14" ht="14" x14ac:dyDescent="0.15">
      <c r="A148" s="9" t="s">
        <v>393</v>
      </c>
      <c r="B148" s="9" t="s">
        <v>241</v>
      </c>
      <c r="C148" s="9" t="s">
        <v>117</v>
      </c>
      <c r="D148" s="9" t="s">
        <v>394</v>
      </c>
      <c r="E148" s="9" t="s">
        <v>243</v>
      </c>
      <c r="F148" s="9" t="s">
        <v>52</v>
      </c>
      <c r="G148" s="9" t="s">
        <v>69</v>
      </c>
      <c r="H148" s="9"/>
      <c r="I148" s="9"/>
      <c r="J148" s="9"/>
      <c r="K148" s="9"/>
      <c r="L148" s="9" t="s">
        <v>3</v>
      </c>
      <c r="M148" s="9" t="s">
        <v>58</v>
      </c>
      <c r="N148" s="9" t="s">
        <v>66</v>
      </c>
    </row>
    <row r="149" spans="1:14" ht="14" x14ac:dyDescent="0.15">
      <c r="A149" s="9" t="s">
        <v>395</v>
      </c>
      <c r="B149" s="9" t="s">
        <v>241</v>
      </c>
      <c r="C149" s="9" t="s">
        <v>117</v>
      </c>
      <c r="D149" s="9" t="s">
        <v>396</v>
      </c>
      <c r="E149" s="9" t="s">
        <v>243</v>
      </c>
      <c r="F149" s="9" t="s">
        <v>52</v>
      </c>
      <c r="G149" s="9" t="s">
        <v>69</v>
      </c>
      <c r="H149" s="9"/>
      <c r="I149" s="9"/>
      <c r="J149" s="9"/>
      <c r="K149" s="9"/>
      <c r="L149" s="9" t="s">
        <v>3</v>
      </c>
      <c r="M149" s="9" t="s">
        <v>58</v>
      </c>
      <c r="N149" s="9" t="s">
        <v>66</v>
      </c>
    </row>
    <row r="150" spans="1:14" ht="14" x14ac:dyDescent="0.15">
      <c r="A150" s="9" t="s">
        <v>397</v>
      </c>
      <c r="B150" s="9" t="s">
        <v>241</v>
      </c>
      <c r="C150" s="9" t="s">
        <v>117</v>
      </c>
      <c r="D150" s="9" t="s">
        <v>398</v>
      </c>
      <c r="E150" s="9" t="s">
        <v>243</v>
      </c>
      <c r="F150" s="9" t="s">
        <v>52</v>
      </c>
      <c r="G150" s="9" t="s">
        <v>69</v>
      </c>
      <c r="H150" s="9"/>
      <c r="I150" s="9"/>
      <c r="J150" s="9"/>
      <c r="K150" s="9"/>
      <c r="L150" s="9" t="s">
        <v>3</v>
      </c>
      <c r="M150" s="9" t="s">
        <v>58</v>
      </c>
      <c r="N150" s="9" t="s">
        <v>66</v>
      </c>
    </row>
    <row r="151" spans="1:14" ht="14" x14ac:dyDescent="0.15">
      <c r="A151" s="9" t="s">
        <v>399</v>
      </c>
      <c r="B151" s="9" t="s">
        <v>241</v>
      </c>
      <c r="C151" s="9" t="s">
        <v>117</v>
      </c>
      <c r="D151" s="9" t="s">
        <v>400</v>
      </c>
      <c r="E151" s="9" t="s">
        <v>243</v>
      </c>
      <c r="F151" s="9" t="s">
        <v>52</v>
      </c>
      <c r="G151" s="9" t="s">
        <v>69</v>
      </c>
      <c r="H151" s="9"/>
      <c r="I151" s="9"/>
      <c r="J151" s="9"/>
      <c r="K151" s="9"/>
      <c r="L151" s="9" t="s">
        <v>3</v>
      </c>
      <c r="M151" s="9" t="s">
        <v>58</v>
      </c>
      <c r="N151" s="9" t="s">
        <v>66</v>
      </c>
    </row>
    <row r="152" spans="1:14" ht="14" x14ac:dyDescent="0.15">
      <c r="A152" s="9" t="s">
        <v>401</v>
      </c>
      <c r="B152" s="9" t="s">
        <v>241</v>
      </c>
      <c r="C152" s="9" t="s">
        <v>117</v>
      </c>
      <c r="D152" s="9" t="s">
        <v>402</v>
      </c>
      <c r="E152" s="9" t="s">
        <v>243</v>
      </c>
      <c r="F152" s="9" t="s">
        <v>52</v>
      </c>
      <c r="G152" s="9" t="s">
        <v>69</v>
      </c>
      <c r="H152" s="9"/>
      <c r="I152" s="9"/>
      <c r="J152" s="9"/>
      <c r="K152" s="9"/>
      <c r="L152" s="9" t="s">
        <v>3</v>
      </c>
      <c r="M152" s="9" t="s">
        <v>58</v>
      </c>
      <c r="N152" s="9" t="s">
        <v>66</v>
      </c>
    </row>
    <row r="153" spans="1:14" ht="14" x14ac:dyDescent="0.15">
      <c r="A153" s="9" t="s">
        <v>403</v>
      </c>
      <c r="B153" s="9" t="s">
        <v>241</v>
      </c>
      <c r="C153" s="9" t="s">
        <v>117</v>
      </c>
      <c r="D153" s="9" t="s">
        <v>404</v>
      </c>
      <c r="E153" s="9" t="s">
        <v>243</v>
      </c>
      <c r="F153" s="9" t="s">
        <v>52</v>
      </c>
      <c r="G153" s="9" t="s">
        <v>69</v>
      </c>
      <c r="H153" s="9"/>
      <c r="I153" s="9"/>
      <c r="J153" s="9"/>
      <c r="K153" s="9"/>
      <c r="L153" s="9" t="s">
        <v>3</v>
      </c>
      <c r="M153" s="9" t="s">
        <v>58</v>
      </c>
      <c r="N153" s="9" t="s">
        <v>66</v>
      </c>
    </row>
    <row r="154" spans="1:14" ht="14" x14ac:dyDescent="0.15">
      <c r="A154" s="9" t="s">
        <v>405</v>
      </c>
      <c r="B154" s="9" t="s">
        <v>241</v>
      </c>
      <c r="C154" s="9" t="s">
        <v>117</v>
      </c>
      <c r="D154" s="9" t="s">
        <v>406</v>
      </c>
      <c r="E154" s="9" t="s">
        <v>243</v>
      </c>
      <c r="F154" s="9" t="s">
        <v>52</v>
      </c>
      <c r="G154" s="9" t="s">
        <v>69</v>
      </c>
      <c r="H154" s="9"/>
      <c r="I154" s="9"/>
      <c r="J154" s="9"/>
      <c r="K154" s="9"/>
      <c r="L154" s="9" t="s">
        <v>3</v>
      </c>
      <c r="M154" s="9" t="s">
        <v>58</v>
      </c>
      <c r="N154" s="9" t="s">
        <v>66</v>
      </c>
    </row>
    <row r="155" spans="1:14" ht="14" x14ac:dyDescent="0.15">
      <c r="A155" s="9" t="s">
        <v>407</v>
      </c>
      <c r="B155" s="9" t="s">
        <v>241</v>
      </c>
      <c r="C155" s="9" t="s">
        <v>117</v>
      </c>
      <c r="D155" s="9" t="s">
        <v>408</v>
      </c>
      <c r="E155" s="9" t="s">
        <v>243</v>
      </c>
      <c r="F155" s="9" t="s">
        <v>52</v>
      </c>
      <c r="G155" s="9" t="s">
        <v>69</v>
      </c>
      <c r="H155" s="9"/>
      <c r="I155" s="9"/>
      <c r="J155" s="9"/>
      <c r="K155" s="9"/>
      <c r="L155" s="9" t="s">
        <v>3</v>
      </c>
      <c r="M155" s="9" t="s">
        <v>58</v>
      </c>
      <c r="N155" s="9" t="s">
        <v>66</v>
      </c>
    </row>
    <row r="156" spans="1:14" ht="14" x14ac:dyDescent="0.15">
      <c r="A156" s="9" t="s">
        <v>409</v>
      </c>
      <c r="B156" s="9" t="s">
        <v>241</v>
      </c>
      <c r="C156" s="9" t="s">
        <v>117</v>
      </c>
      <c r="D156" s="9" t="s">
        <v>410</v>
      </c>
      <c r="E156" s="9" t="s">
        <v>243</v>
      </c>
      <c r="F156" s="9" t="s">
        <v>52</v>
      </c>
      <c r="G156" s="9" t="s">
        <v>69</v>
      </c>
      <c r="H156" s="9"/>
      <c r="I156" s="9"/>
      <c r="J156" s="9"/>
      <c r="K156" s="9"/>
      <c r="L156" s="9" t="s">
        <v>3</v>
      </c>
      <c r="M156" s="9" t="s">
        <v>58</v>
      </c>
      <c r="N156" s="9" t="s">
        <v>66</v>
      </c>
    </row>
    <row r="157" spans="1:14" ht="14" x14ac:dyDescent="0.15">
      <c r="A157" s="9" t="s">
        <v>411</v>
      </c>
      <c r="B157" s="9" t="s">
        <v>241</v>
      </c>
      <c r="C157" s="9" t="s">
        <v>412</v>
      </c>
      <c r="D157" s="9" t="s">
        <v>413</v>
      </c>
      <c r="E157" s="9" t="s">
        <v>243</v>
      </c>
      <c r="F157" s="9" t="s">
        <v>52</v>
      </c>
      <c r="G157" s="9" t="s">
        <v>69</v>
      </c>
      <c r="H157" s="9"/>
      <c r="I157" s="9"/>
      <c r="J157" s="9"/>
      <c r="K157" s="9"/>
      <c r="L157" s="9" t="s">
        <v>3</v>
      </c>
      <c r="M157" s="9" t="s">
        <v>58</v>
      </c>
      <c r="N157" s="9" t="s">
        <v>66</v>
      </c>
    </row>
    <row r="158" spans="1:14" ht="14" x14ac:dyDescent="0.15">
      <c r="A158" s="9" t="s">
        <v>414</v>
      </c>
      <c r="B158" s="9" t="s">
        <v>241</v>
      </c>
      <c r="C158" s="9" t="s">
        <v>412</v>
      </c>
      <c r="D158" s="9" t="s">
        <v>415</v>
      </c>
      <c r="E158" s="9" t="s">
        <v>243</v>
      </c>
      <c r="F158" s="9" t="s">
        <v>52</v>
      </c>
      <c r="G158" s="9" t="s">
        <v>69</v>
      </c>
      <c r="H158" s="9"/>
      <c r="I158" s="9"/>
      <c r="J158" s="9"/>
      <c r="K158" s="9"/>
      <c r="L158" s="9" t="s">
        <v>3</v>
      </c>
      <c r="M158" s="9" t="s">
        <v>58</v>
      </c>
      <c r="N158" s="9" t="s">
        <v>66</v>
      </c>
    </row>
    <row r="159" spans="1:14" ht="14" x14ac:dyDescent="0.15">
      <c r="A159" s="9" t="s">
        <v>416</v>
      </c>
      <c r="B159" s="9" t="s">
        <v>241</v>
      </c>
      <c r="C159" s="9" t="s">
        <v>412</v>
      </c>
      <c r="D159" s="9" t="s">
        <v>417</v>
      </c>
      <c r="E159" s="9" t="s">
        <v>243</v>
      </c>
      <c r="F159" s="9" t="s">
        <v>52</v>
      </c>
      <c r="G159" s="9" t="s">
        <v>69</v>
      </c>
      <c r="H159" s="9"/>
      <c r="I159" s="9"/>
      <c r="J159" s="9"/>
      <c r="K159" s="9"/>
      <c r="L159" s="9" t="s">
        <v>3</v>
      </c>
      <c r="M159" s="9" t="s">
        <v>58</v>
      </c>
      <c r="N159" s="9" t="s">
        <v>66</v>
      </c>
    </row>
    <row r="160" spans="1:14" ht="14" x14ac:dyDescent="0.15">
      <c r="A160" s="9" t="s">
        <v>418</v>
      </c>
      <c r="B160" s="9" t="s">
        <v>241</v>
      </c>
      <c r="C160" s="9" t="s">
        <v>412</v>
      </c>
      <c r="D160" s="9" t="s">
        <v>419</v>
      </c>
      <c r="E160" s="9" t="s">
        <v>243</v>
      </c>
      <c r="F160" s="9" t="s">
        <v>52</v>
      </c>
      <c r="G160" s="9" t="s">
        <v>69</v>
      </c>
      <c r="H160" s="9"/>
      <c r="I160" s="9"/>
      <c r="J160" s="9"/>
      <c r="K160" s="9"/>
      <c r="L160" s="9" t="s">
        <v>3</v>
      </c>
      <c r="M160" s="9" t="s">
        <v>58</v>
      </c>
      <c r="N160" s="9" t="s">
        <v>66</v>
      </c>
    </row>
    <row r="161" spans="1:14" ht="14" x14ac:dyDescent="0.15">
      <c r="A161" s="9" t="s">
        <v>420</v>
      </c>
      <c r="B161" s="9" t="s">
        <v>241</v>
      </c>
      <c r="C161" s="9" t="s">
        <v>412</v>
      </c>
      <c r="D161" s="9" t="s">
        <v>421</v>
      </c>
      <c r="E161" s="9" t="s">
        <v>243</v>
      </c>
      <c r="F161" s="9" t="s">
        <v>52</v>
      </c>
      <c r="G161" s="9" t="s">
        <v>69</v>
      </c>
      <c r="H161" s="9"/>
      <c r="I161" s="9"/>
      <c r="J161" s="9"/>
      <c r="K161" s="9"/>
      <c r="L161" s="9" t="s">
        <v>3</v>
      </c>
      <c r="M161" s="9" t="s">
        <v>58</v>
      </c>
      <c r="N161" s="9" t="s">
        <v>66</v>
      </c>
    </row>
    <row r="162" spans="1:14" ht="14" x14ac:dyDescent="0.15">
      <c r="A162" s="9" t="s">
        <v>422</v>
      </c>
      <c r="B162" s="9" t="s">
        <v>241</v>
      </c>
      <c r="C162" s="9" t="s">
        <v>412</v>
      </c>
      <c r="D162" s="9" t="s">
        <v>423</v>
      </c>
      <c r="E162" s="9" t="s">
        <v>243</v>
      </c>
      <c r="F162" s="9" t="s">
        <v>52</v>
      </c>
      <c r="G162" s="9" t="s">
        <v>69</v>
      </c>
      <c r="H162" s="9"/>
      <c r="I162" s="9"/>
      <c r="J162" s="9"/>
      <c r="K162" s="9"/>
      <c r="L162" s="9" t="s">
        <v>3</v>
      </c>
      <c r="M162" s="9" t="s">
        <v>58</v>
      </c>
      <c r="N162" s="9" t="s">
        <v>66</v>
      </c>
    </row>
    <row r="163" spans="1:14" ht="14" x14ac:dyDescent="0.15">
      <c r="A163" s="9" t="s">
        <v>424</v>
      </c>
      <c r="B163" s="9" t="s">
        <v>241</v>
      </c>
      <c r="C163" s="9" t="s">
        <v>412</v>
      </c>
      <c r="D163" s="9" t="s">
        <v>425</v>
      </c>
      <c r="E163" s="9" t="s">
        <v>243</v>
      </c>
      <c r="F163" s="9" t="s">
        <v>52</v>
      </c>
      <c r="G163" s="9" t="s">
        <v>69</v>
      </c>
      <c r="H163" s="9"/>
      <c r="I163" s="9"/>
      <c r="J163" s="9"/>
      <c r="K163" s="9"/>
      <c r="L163" s="9" t="s">
        <v>3</v>
      </c>
      <c r="M163" s="9" t="s">
        <v>58</v>
      </c>
      <c r="N163" s="9" t="s">
        <v>66</v>
      </c>
    </row>
    <row r="164" spans="1:14" ht="14" x14ac:dyDescent="0.15">
      <c r="A164" s="9" t="s">
        <v>426</v>
      </c>
      <c r="B164" s="9" t="s">
        <v>241</v>
      </c>
      <c r="C164" s="9" t="s">
        <v>412</v>
      </c>
      <c r="D164" s="9" t="s">
        <v>427</v>
      </c>
      <c r="E164" s="9" t="s">
        <v>243</v>
      </c>
      <c r="F164" s="9" t="s">
        <v>52</v>
      </c>
      <c r="G164" s="9" t="s">
        <v>69</v>
      </c>
      <c r="H164" s="9"/>
      <c r="I164" s="9"/>
      <c r="J164" s="9"/>
      <c r="K164" s="9"/>
      <c r="L164" s="9" t="s">
        <v>3</v>
      </c>
      <c r="M164" s="9" t="s">
        <v>58</v>
      </c>
      <c r="N164" s="9" t="s">
        <v>66</v>
      </c>
    </row>
    <row r="165" spans="1:14" ht="14" x14ac:dyDescent="0.15">
      <c r="A165" s="9" t="s">
        <v>428</v>
      </c>
      <c r="B165" s="9" t="s">
        <v>241</v>
      </c>
      <c r="C165" s="9" t="s">
        <v>412</v>
      </c>
      <c r="D165" s="9" t="s">
        <v>429</v>
      </c>
      <c r="E165" s="9" t="s">
        <v>243</v>
      </c>
      <c r="F165" s="9" t="s">
        <v>52</v>
      </c>
      <c r="G165" s="9" t="s">
        <v>69</v>
      </c>
      <c r="H165" s="9"/>
      <c r="I165" s="9"/>
      <c r="J165" s="9"/>
      <c r="K165" s="9"/>
      <c r="L165" s="9" t="s">
        <v>3</v>
      </c>
      <c r="M165" s="9" t="s">
        <v>58</v>
      </c>
      <c r="N165" s="9" t="s">
        <v>66</v>
      </c>
    </row>
    <row r="166" spans="1:14" ht="14" x14ac:dyDescent="0.15">
      <c r="A166" s="9" t="s">
        <v>430</v>
      </c>
      <c r="B166" s="9" t="s">
        <v>241</v>
      </c>
      <c r="C166" s="9" t="s">
        <v>412</v>
      </c>
      <c r="D166" s="9" t="s">
        <v>431</v>
      </c>
      <c r="E166" s="9" t="s">
        <v>243</v>
      </c>
      <c r="F166" s="9" t="s">
        <v>52</v>
      </c>
      <c r="G166" s="9" t="s">
        <v>69</v>
      </c>
      <c r="H166" s="9"/>
      <c r="I166" s="9"/>
      <c r="J166" s="9"/>
      <c r="K166" s="9"/>
      <c r="L166" s="9" t="s">
        <v>3</v>
      </c>
      <c r="M166" s="9" t="s">
        <v>58</v>
      </c>
      <c r="N166" s="9" t="s">
        <v>66</v>
      </c>
    </row>
    <row r="167" spans="1:14" ht="14" x14ac:dyDescent="0.15">
      <c r="A167" s="9" t="s">
        <v>432</v>
      </c>
      <c r="B167" s="9" t="s">
        <v>241</v>
      </c>
      <c r="C167" s="9" t="s">
        <v>412</v>
      </c>
      <c r="D167" s="9" t="s">
        <v>433</v>
      </c>
      <c r="E167" s="9" t="s">
        <v>243</v>
      </c>
      <c r="F167" s="9" t="s">
        <v>52</v>
      </c>
      <c r="G167" s="9" t="s">
        <v>69</v>
      </c>
      <c r="H167" s="9"/>
      <c r="I167" s="9"/>
      <c r="J167" s="9"/>
      <c r="K167" s="9"/>
      <c r="L167" s="9" t="s">
        <v>3</v>
      </c>
      <c r="M167" s="9" t="s">
        <v>58</v>
      </c>
      <c r="N167" s="9" t="s">
        <v>66</v>
      </c>
    </row>
    <row r="168" spans="1:14" ht="14" x14ac:dyDescent="0.15">
      <c r="A168" s="9" t="s">
        <v>434</v>
      </c>
      <c r="B168" s="9" t="s">
        <v>241</v>
      </c>
      <c r="C168" s="9" t="s">
        <v>412</v>
      </c>
      <c r="D168" s="9" t="s">
        <v>435</v>
      </c>
      <c r="E168" s="9" t="s">
        <v>243</v>
      </c>
      <c r="F168" s="9" t="s">
        <v>52</v>
      </c>
      <c r="G168" s="9" t="s">
        <v>69</v>
      </c>
      <c r="H168" s="9"/>
      <c r="I168" s="9"/>
      <c r="J168" s="9"/>
      <c r="K168" s="9"/>
      <c r="L168" s="9" t="s">
        <v>3</v>
      </c>
      <c r="M168" s="9" t="s">
        <v>58</v>
      </c>
      <c r="N168" s="9" t="s">
        <v>66</v>
      </c>
    </row>
    <row r="169" spans="1:14" ht="14" x14ac:dyDescent="0.15">
      <c r="A169" s="9" t="s">
        <v>436</v>
      </c>
      <c r="B169" s="9" t="s">
        <v>241</v>
      </c>
      <c r="C169" s="9" t="s">
        <v>412</v>
      </c>
      <c r="D169" s="9" t="s">
        <v>437</v>
      </c>
      <c r="E169" s="9" t="s">
        <v>243</v>
      </c>
      <c r="F169" s="9" t="s">
        <v>52</v>
      </c>
      <c r="G169" s="9" t="s">
        <v>69</v>
      </c>
      <c r="H169" s="9"/>
      <c r="I169" s="9"/>
      <c r="J169" s="9"/>
      <c r="K169" s="9"/>
      <c r="L169" s="9" t="s">
        <v>3</v>
      </c>
      <c r="M169" s="9" t="s">
        <v>58</v>
      </c>
      <c r="N169" s="9" t="s">
        <v>66</v>
      </c>
    </row>
    <row r="170" spans="1:14" ht="14" x14ac:dyDescent="0.15">
      <c r="A170" s="9" t="s">
        <v>438</v>
      </c>
      <c r="B170" s="9" t="s">
        <v>241</v>
      </c>
      <c r="C170" s="9" t="s">
        <v>412</v>
      </c>
      <c r="D170" s="9" t="s">
        <v>439</v>
      </c>
      <c r="E170" s="9" t="s">
        <v>243</v>
      </c>
      <c r="F170" s="9" t="s">
        <v>52</v>
      </c>
      <c r="G170" s="9" t="s">
        <v>69</v>
      </c>
      <c r="H170" s="9"/>
      <c r="I170" s="9"/>
      <c r="J170" s="9"/>
      <c r="K170" s="9"/>
      <c r="L170" s="9" t="s">
        <v>3</v>
      </c>
      <c r="M170" s="9" t="s">
        <v>58</v>
      </c>
      <c r="N170" s="9" t="s">
        <v>66</v>
      </c>
    </row>
    <row r="171" spans="1:14" ht="14" x14ac:dyDescent="0.15">
      <c r="A171" s="9" t="s">
        <v>440</v>
      </c>
      <c r="B171" s="9" t="s">
        <v>241</v>
      </c>
      <c r="C171" s="9" t="s">
        <v>412</v>
      </c>
      <c r="D171" s="9" t="s">
        <v>441</v>
      </c>
      <c r="E171" s="9" t="s">
        <v>243</v>
      </c>
      <c r="F171" s="9" t="s">
        <v>52</v>
      </c>
      <c r="G171" s="9" t="s">
        <v>69</v>
      </c>
      <c r="H171" s="9"/>
      <c r="I171" s="9"/>
      <c r="J171" s="9"/>
      <c r="K171" s="9"/>
      <c r="L171" s="9" t="s">
        <v>3</v>
      </c>
      <c r="M171" s="9" t="s">
        <v>58</v>
      </c>
      <c r="N171" s="9" t="s">
        <v>66</v>
      </c>
    </row>
    <row r="172" spans="1:14" ht="14" x14ac:dyDescent="0.15">
      <c r="A172" s="9" t="s">
        <v>442</v>
      </c>
      <c r="B172" s="9" t="s">
        <v>241</v>
      </c>
      <c r="C172" s="9" t="s">
        <v>412</v>
      </c>
      <c r="D172" s="9" t="s">
        <v>443</v>
      </c>
      <c r="E172" s="9" t="s">
        <v>243</v>
      </c>
      <c r="F172" s="9" t="s">
        <v>52</v>
      </c>
      <c r="G172" s="9" t="s">
        <v>69</v>
      </c>
      <c r="H172" s="9"/>
      <c r="I172" s="9"/>
      <c r="J172" s="9"/>
      <c r="K172" s="9"/>
      <c r="L172" s="9" t="s">
        <v>3</v>
      </c>
      <c r="M172" s="9" t="s">
        <v>58</v>
      </c>
      <c r="N172" s="9" t="s">
        <v>66</v>
      </c>
    </row>
    <row r="173" spans="1:14" ht="14" x14ac:dyDescent="0.15">
      <c r="A173" s="9" t="s">
        <v>444</v>
      </c>
      <c r="B173" s="9" t="s">
        <v>241</v>
      </c>
      <c r="C173" s="9" t="s">
        <v>412</v>
      </c>
      <c r="D173" s="9" t="s">
        <v>445</v>
      </c>
      <c r="E173" s="9" t="s">
        <v>243</v>
      </c>
      <c r="F173" s="9" t="s">
        <v>52</v>
      </c>
      <c r="G173" s="9" t="s">
        <v>69</v>
      </c>
      <c r="H173" s="9"/>
      <c r="I173" s="9"/>
      <c r="J173" s="9"/>
      <c r="K173" s="9"/>
      <c r="L173" s="9" t="s">
        <v>3</v>
      </c>
      <c r="M173" s="9" t="s">
        <v>58</v>
      </c>
      <c r="N173" s="9" t="s">
        <v>66</v>
      </c>
    </row>
    <row r="174" spans="1:14" ht="14" x14ac:dyDescent="0.15">
      <c r="A174" s="9" t="s">
        <v>446</v>
      </c>
      <c r="B174" s="9" t="s">
        <v>241</v>
      </c>
      <c r="C174" s="9" t="s">
        <v>412</v>
      </c>
      <c r="D174" s="9" t="s">
        <v>447</v>
      </c>
      <c r="E174" s="9" t="s">
        <v>243</v>
      </c>
      <c r="F174" s="9" t="s">
        <v>52</v>
      </c>
      <c r="G174" s="9" t="s">
        <v>69</v>
      </c>
      <c r="H174" s="9"/>
      <c r="I174" s="9"/>
      <c r="J174" s="9"/>
      <c r="K174" s="9"/>
      <c r="L174" s="9" t="s">
        <v>3</v>
      </c>
      <c r="M174" s="9" t="s">
        <v>58</v>
      </c>
      <c r="N174" s="9" t="s">
        <v>66</v>
      </c>
    </row>
    <row r="175" spans="1:14" ht="14" x14ac:dyDescent="0.15">
      <c r="A175" s="9" t="s">
        <v>448</v>
      </c>
      <c r="B175" s="9" t="s">
        <v>241</v>
      </c>
      <c r="C175" s="9" t="s">
        <v>412</v>
      </c>
      <c r="D175" s="9" t="s">
        <v>449</v>
      </c>
      <c r="E175" s="9" t="s">
        <v>243</v>
      </c>
      <c r="F175" s="9" t="s">
        <v>52</v>
      </c>
      <c r="G175" s="9" t="s">
        <v>69</v>
      </c>
      <c r="H175" s="9"/>
      <c r="I175" s="9"/>
      <c r="J175" s="9"/>
      <c r="K175" s="9"/>
      <c r="L175" s="9" t="s">
        <v>3</v>
      </c>
      <c r="M175" s="9" t="s">
        <v>58</v>
      </c>
      <c r="N175" s="9" t="s">
        <v>66</v>
      </c>
    </row>
    <row r="176" spans="1:14" ht="14" x14ac:dyDescent="0.15">
      <c r="A176" s="9" t="s">
        <v>450</v>
      </c>
      <c r="B176" s="9" t="s">
        <v>241</v>
      </c>
      <c r="C176" s="9" t="s">
        <v>412</v>
      </c>
      <c r="D176" s="9" t="s">
        <v>451</v>
      </c>
      <c r="E176" s="9" t="s">
        <v>243</v>
      </c>
      <c r="F176" s="9" t="s">
        <v>52</v>
      </c>
      <c r="G176" s="9" t="s">
        <v>69</v>
      </c>
      <c r="H176" s="9"/>
      <c r="I176" s="9"/>
      <c r="J176" s="9"/>
      <c r="K176" s="9"/>
      <c r="L176" s="9" t="s">
        <v>3</v>
      </c>
      <c r="M176" s="9" t="s">
        <v>58</v>
      </c>
      <c r="N176" s="9" t="s">
        <v>66</v>
      </c>
    </row>
    <row r="177" spans="1:14" ht="14" x14ac:dyDescent="0.15">
      <c r="A177" s="9" t="s">
        <v>452</v>
      </c>
      <c r="B177" s="9" t="s">
        <v>241</v>
      </c>
      <c r="C177" s="9" t="s">
        <v>412</v>
      </c>
      <c r="D177" s="9" t="s">
        <v>453</v>
      </c>
      <c r="E177" s="9" t="s">
        <v>243</v>
      </c>
      <c r="F177" s="9" t="s">
        <v>52</v>
      </c>
      <c r="G177" s="9" t="s">
        <v>69</v>
      </c>
      <c r="H177" s="9"/>
      <c r="I177" s="9"/>
      <c r="J177" s="9"/>
      <c r="K177" s="9"/>
      <c r="L177" s="9" t="s">
        <v>3</v>
      </c>
      <c r="M177" s="9" t="s">
        <v>58</v>
      </c>
      <c r="N177" s="9" t="s">
        <v>66</v>
      </c>
    </row>
    <row r="178" spans="1:14" ht="14" x14ac:dyDescent="0.15">
      <c r="A178" s="9" t="s">
        <v>454</v>
      </c>
      <c r="B178" s="9" t="s">
        <v>241</v>
      </c>
      <c r="C178" s="9" t="s">
        <v>412</v>
      </c>
      <c r="D178" s="9" t="s">
        <v>455</v>
      </c>
      <c r="E178" s="9" t="s">
        <v>243</v>
      </c>
      <c r="F178" s="9" t="s">
        <v>52</v>
      </c>
      <c r="G178" s="9" t="s">
        <v>69</v>
      </c>
      <c r="H178" s="9"/>
      <c r="I178" s="9"/>
      <c r="J178" s="9"/>
      <c r="K178" s="9"/>
      <c r="L178" s="9" t="s">
        <v>3</v>
      </c>
      <c r="M178" s="9" t="s">
        <v>58</v>
      </c>
      <c r="N178" s="9" t="s">
        <v>66</v>
      </c>
    </row>
    <row r="179" spans="1:14" ht="14" x14ac:dyDescent="0.15">
      <c r="A179" s="9" t="s">
        <v>456</v>
      </c>
      <c r="B179" s="9" t="s">
        <v>241</v>
      </c>
      <c r="C179" s="9" t="s">
        <v>412</v>
      </c>
      <c r="D179" s="9" t="s">
        <v>457</v>
      </c>
      <c r="E179" s="9" t="s">
        <v>243</v>
      </c>
      <c r="F179" s="9" t="s">
        <v>52</v>
      </c>
      <c r="G179" s="9" t="s">
        <v>69</v>
      </c>
      <c r="H179" s="9"/>
      <c r="I179" s="9"/>
      <c r="J179" s="9"/>
      <c r="K179" s="9"/>
      <c r="L179" s="9" t="s">
        <v>3</v>
      </c>
      <c r="M179" s="9" t="s">
        <v>58</v>
      </c>
      <c r="N179" s="9" t="s">
        <v>66</v>
      </c>
    </row>
    <row r="180" spans="1:14" ht="14" x14ac:dyDescent="0.15">
      <c r="A180" s="9" t="s">
        <v>458</v>
      </c>
      <c r="B180" s="9" t="s">
        <v>241</v>
      </c>
      <c r="C180" s="9" t="s">
        <v>412</v>
      </c>
      <c r="D180" s="9" t="s">
        <v>459</v>
      </c>
      <c r="E180" s="9" t="s">
        <v>243</v>
      </c>
      <c r="F180" s="9" t="s">
        <v>52</v>
      </c>
      <c r="G180" s="9" t="s">
        <v>69</v>
      </c>
      <c r="H180" s="9"/>
      <c r="I180" s="9"/>
      <c r="J180" s="9"/>
      <c r="K180" s="9"/>
      <c r="L180" s="9" t="s">
        <v>3</v>
      </c>
      <c r="M180" s="9" t="s">
        <v>58</v>
      </c>
      <c r="N180" s="9" t="s">
        <v>66</v>
      </c>
    </row>
    <row r="181" spans="1:14" ht="14" x14ac:dyDescent="0.15">
      <c r="A181" s="9" t="s">
        <v>460</v>
      </c>
      <c r="B181" s="9" t="s">
        <v>241</v>
      </c>
      <c r="C181" s="9" t="s">
        <v>412</v>
      </c>
      <c r="D181" s="9" t="s">
        <v>461</v>
      </c>
      <c r="E181" s="9" t="s">
        <v>243</v>
      </c>
      <c r="F181" s="9" t="s">
        <v>52</v>
      </c>
      <c r="G181" s="9" t="s">
        <v>69</v>
      </c>
      <c r="H181" s="9"/>
      <c r="I181" s="9"/>
      <c r="J181" s="9"/>
      <c r="K181" s="9"/>
      <c r="L181" s="9" t="s">
        <v>3</v>
      </c>
      <c r="M181" s="9" t="s">
        <v>58</v>
      </c>
      <c r="N181" s="9" t="s">
        <v>66</v>
      </c>
    </row>
    <row r="182" spans="1:14" ht="14" x14ac:dyDescent="0.15">
      <c r="A182" s="9" t="s">
        <v>462</v>
      </c>
      <c r="B182" s="9" t="s">
        <v>241</v>
      </c>
      <c r="C182" s="9" t="s">
        <v>412</v>
      </c>
      <c r="D182" s="9" t="s">
        <v>463</v>
      </c>
      <c r="E182" s="9" t="s">
        <v>243</v>
      </c>
      <c r="F182" s="9" t="s">
        <v>52</v>
      </c>
      <c r="G182" s="9" t="s">
        <v>69</v>
      </c>
      <c r="H182" s="9"/>
      <c r="I182" s="9"/>
      <c r="J182" s="9"/>
      <c r="K182" s="9"/>
      <c r="L182" s="9" t="s">
        <v>3</v>
      </c>
      <c r="M182" s="9" t="s">
        <v>58</v>
      </c>
      <c r="N182" s="9" t="s">
        <v>66</v>
      </c>
    </row>
    <row r="183" spans="1:14" ht="14" x14ac:dyDescent="0.15">
      <c r="A183" s="9" t="s">
        <v>464</v>
      </c>
      <c r="B183" s="9" t="s">
        <v>241</v>
      </c>
      <c r="C183" s="9" t="s">
        <v>412</v>
      </c>
      <c r="D183" s="9" t="s">
        <v>465</v>
      </c>
      <c r="E183" s="9" t="s">
        <v>243</v>
      </c>
      <c r="F183" s="9" t="s">
        <v>52</v>
      </c>
      <c r="G183" s="9" t="s">
        <v>69</v>
      </c>
      <c r="H183" s="9"/>
      <c r="I183" s="9"/>
      <c r="J183" s="9"/>
      <c r="K183" s="9"/>
      <c r="L183" s="9" t="s">
        <v>3</v>
      </c>
      <c r="M183" s="9" t="s">
        <v>58</v>
      </c>
      <c r="N183" s="9" t="s">
        <v>66</v>
      </c>
    </row>
    <row r="184" spans="1:14" ht="14" x14ac:dyDescent="0.15">
      <c r="A184" s="9" t="s">
        <v>466</v>
      </c>
      <c r="B184" s="9" t="s">
        <v>241</v>
      </c>
      <c r="C184" s="9" t="s">
        <v>412</v>
      </c>
      <c r="D184" s="9" t="s">
        <v>467</v>
      </c>
      <c r="E184" s="9" t="s">
        <v>243</v>
      </c>
      <c r="F184" s="9" t="s">
        <v>52</v>
      </c>
      <c r="G184" s="9" t="s">
        <v>69</v>
      </c>
      <c r="H184" s="9"/>
      <c r="I184" s="9"/>
      <c r="J184" s="9"/>
      <c r="K184" s="9"/>
      <c r="L184" s="9" t="s">
        <v>3</v>
      </c>
      <c r="M184" s="9" t="s">
        <v>58</v>
      </c>
      <c r="N184" s="9" t="s">
        <v>66</v>
      </c>
    </row>
    <row r="185" spans="1:14" ht="14" x14ac:dyDescent="0.15">
      <c r="A185" s="9" t="s">
        <v>468</v>
      </c>
      <c r="B185" s="9" t="s">
        <v>241</v>
      </c>
      <c r="C185" s="9" t="s">
        <v>412</v>
      </c>
      <c r="D185" s="9" t="s">
        <v>469</v>
      </c>
      <c r="E185" s="9" t="s">
        <v>243</v>
      </c>
      <c r="F185" s="9" t="s">
        <v>52</v>
      </c>
      <c r="G185" s="9" t="s">
        <v>69</v>
      </c>
      <c r="H185" s="9"/>
      <c r="I185" s="9"/>
      <c r="J185" s="9"/>
      <c r="K185" s="9"/>
      <c r="L185" s="9" t="s">
        <v>3</v>
      </c>
      <c r="M185" s="9" t="s">
        <v>58</v>
      </c>
      <c r="N185" s="9" t="s">
        <v>66</v>
      </c>
    </row>
    <row r="186" spans="1:14" ht="14" x14ac:dyDescent="0.15">
      <c r="A186" s="9" t="s">
        <v>470</v>
      </c>
      <c r="B186" s="9" t="s">
        <v>241</v>
      </c>
      <c r="C186" s="9" t="s">
        <v>412</v>
      </c>
      <c r="D186" s="9" t="s">
        <v>471</v>
      </c>
      <c r="E186" s="9" t="s">
        <v>243</v>
      </c>
      <c r="F186" s="9" t="s">
        <v>52</v>
      </c>
      <c r="G186" s="9" t="s">
        <v>69</v>
      </c>
      <c r="H186" s="9"/>
      <c r="I186" s="9"/>
      <c r="J186" s="9"/>
      <c r="K186" s="9"/>
      <c r="L186" s="9" t="s">
        <v>3</v>
      </c>
      <c r="M186" s="9" t="s">
        <v>58</v>
      </c>
      <c r="N186" s="9" t="s">
        <v>66</v>
      </c>
    </row>
    <row r="187" spans="1:14" ht="14" x14ac:dyDescent="0.15">
      <c r="A187" s="9" t="s">
        <v>472</v>
      </c>
      <c r="B187" s="9" t="s">
        <v>241</v>
      </c>
      <c r="C187" s="9" t="s">
        <v>412</v>
      </c>
      <c r="D187" s="9" t="s">
        <v>473</v>
      </c>
      <c r="E187" s="9" t="s">
        <v>243</v>
      </c>
      <c r="F187" s="9" t="s">
        <v>52</v>
      </c>
      <c r="G187" s="9" t="s">
        <v>69</v>
      </c>
      <c r="H187" s="9"/>
      <c r="I187" s="9"/>
      <c r="J187" s="9"/>
      <c r="K187" s="9"/>
      <c r="L187" s="9" t="s">
        <v>3</v>
      </c>
      <c r="M187" s="9" t="s">
        <v>58</v>
      </c>
      <c r="N187" s="9" t="s">
        <v>66</v>
      </c>
    </row>
    <row r="188" spans="1:14" ht="14" x14ac:dyDescent="0.15">
      <c r="A188" s="9" t="s">
        <v>474</v>
      </c>
      <c r="B188" s="9" t="s">
        <v>241</v>
      </c>
      <c r="C188" s="9" t="s">
        <v>412</v>
      </c>
      <c r="D188" s="9" t="s">
        <v>475</v>
      </c>
      <c r="E188" s="9" t="s">
        <v>243</v>
      </c>
      <c r="F188" s="9" t="s">
        <v>52</v>
      </c>
      <c r="G188" s="9" t="s">
        <v>69</v>
      </c>
      <c r="H188" s="9"/>
      <c r="I188" s="9"/>
      <c r="J188" s="9"/>
      <c r="K188" s="9"/>
      <c r="L188" s="9" t="s">
        <v>3</v>
      </c>
      <c r="M188" s="9" t="s">
        <v>58</v>
      </c>
      <c r="N188" s="9" t="s">
        <v>66</v>
      </c>
    </row>
    <row r="189" spans="1:14" ht="14" x14ac:dyDescent="0.15">
      <c r="A189" s="9" t="s">
        <v>476</v>
      </c>
      <c r="B189" s="9" t="s">
        <v>241</v>
      </c>
      <c r="C189" s="9" t="s">
        <v>412</v>
      </c>
      <c r="D189" s="9" t="s">
        <v>477</v>
      </c>
      <c r="E189" s="9" t="s">
        <v>243</v>
      </c>
      <c r="F189" s="9" t="s">
        <v>52</v>
      </c>
      <c r="G189" s="9" t="s">
        <v>69</v>
      </c>
      <c r="H189" s="9"/>
      <c r="I189" s="9"/>
      <c r="J189" s="9"/>
      <c r="K189" s="9"/>
      <c r="L189" s="9" t="s">
        <v>3</v>
      </c>
      <c r="M189" s="9" t="s">
        <v>58</v>
      </c>
      <c r="N189" s="9" t="s">
        <v>66</v>
      </c>
    </row>
    <row r="190" spans="1:14" ht="14" x14ac:dyDescent="0.15">
      <c r="A190" s="9" t="s">
        <v>478</v>
      </c>
      <c r="B190" s="9" t="s">
        <v>241</v>
      </c>
      <c r="C190" s="9" t="s">
        <v>412</v>
      </c>
      <c r="D190" s="9" t="s">
        <v>479</v>
      </c>
      <c r="E190" s="9" t="s">
        <v>243</v>
      </c>
      <c r="F190" s="9" t="s">
        <v>52</v>
      </c>
      <c r="G190" s="9" t="s">
        <v>69</v>
      </c>
      <c r="H190" s="9"/>
      <c r="I190" s="9"/>
      <c r="J190" s="9"/>
      <c r="K190" s="9"/>
      <c r="L190" s="9" t="s">
        <v>3</v>
      </c>
      <c r="M190" s="9" t="s">
        <v>58</v>
      </c>
      <c r="N190" s="9" t="s">
        <v>66</v>
      </c>
    </row>
    <row r="191" spans="1:14" ht="14" x14ac:dyDescent="0.15">
      <c r="A191" s="9" t="s">
        <v>480</v>
      </c>
      <c r="B191" s="9" t="s">
        <v>241</v>
      </c>
      <c r="C191" s="9" t="s">
        <v>412</v>
      </c>
      <c r="D191" s="9" t="s">
        <v>481</v>
      </c>
      <c r="E191" s="9" t="s">
        <v>243</v>
      </c>
      <c r="F191" s="9" t="s">
        <v>52</v>
      </c>
      <c r="G191" s="9" t="s">
        <v>69</v>
      </c>
      <c r="H191" s="9"/>
      <c r="I191" s="9"/>
      <c r="J191" s="9"/>
      <c r="K191" s="9"/>
      <c r="L191" s="9" t="s">
        <v>3</v>
      </c>
      <c r="M191" s="9" t="s">
        <v>58</v>
      </c>
      <c r="N191" s="9" t="s">
        <v>66</v>
      </c>
    </row>
    <row r="192" spans="1:14" ht="14" x14ac:dyDescent="0.15">
      <c r="A192" s="9" t="s">
        <v>482</v>
      </c>
      <c r="B192" s="9" t="s">
        <v>241</v>
      </c>
      <c r="C192" s="9" t="s">
        <v>412</v>
      </c>
      <c r="D192" s="9" t="s">
        <v>483</v>
      </c>
      <c r="E192" s="9" t="s">
        <v>243</v>
      </c>
      <c r="F192" s="9" t="s">
        <v>52</v>
      </c>
      <c r="G192" s="9" t="s">
        <v>69</v>
      </c>
      <c r="H192" s="9"/>
      <c r="I192" s="9"/>
      <c r="J192" s="9"/>
      <c r="K192" s="9"/>
      <c r="L192" s="9" t="s">
        <v>3</v>
      </c>
      <c r="M192" s="9" t="s">
        <v>58</v>
      </c>
      <c r="N192" s="9" t="s">
        <v>66</v>
      </c>
    </row>
    <row r="193" spans="1:14" ht="14" x14ac:dyDescent="0.15">
      <c r="A193" s="9" t="s">
        <v>484</v>
      </c>
      <c r="B193" s="9" t="s">
        <v>241</v>
      </c>
      <c r="C193" s="9" t="s">
        <v>412</v>
      </c>
      <c r="D193" s="9" t="s">
        <v>485</v>
      </c>
      <c r="E193" s="9" t="s">
        <v>243</v>
      </c>
      <c r="F193" s="9" t="s">
        <v>52</v>
      </c>
      <c r="G193" s="9" t="s">
        <v>69</v>
      </c>
      <c r="H193" s="9"/>
      <c r="I193" s="9"/>
      <c r="J193" s="9"/>
      <c r="K193" s="9"/>
      <c r="L193" s="9" t="s">
        <v>3</v>
      </c>
      <c r="M193" s="9" t="s">
        <v>58</v>
      </c>
      <c r="N193" s="9" t="s">
        <v>66</v>
      </c>
    </row>
    <row r="194" spans="1:14" ht="14" x14ac:dyDescent="0.15">
      <c r="A194" s="9" t="s">
        <v>486</v>
      </c>
      <c r="B194" s="9" t="s">
        <v>241</v>
      </c>
      <c r="C194" s="9" t="s">
        <v>412</v>
      </c>
      <c r="D194" s="9" t="s">
        <v>487</v>
      </c>
      <c r="E194" s="9" t="s">
        <v>243</v>
      </c>
      <c r="F194" s="9" t="s">
        <v>52</v>
      </c>
      <c r="G194" s="9" t="s">
        <v>69</v>
      </c>
      <c r="H194" s="9"/>
      <c r="I194" s="9"/>
      <c r="J194" s="9"/>
      <c r="K194" s="9"/>
      <c r="L194" s="9" t="s">
        <v>3</v>
      </c>
      <c r="M194" s="9" t="s">
        <v>58</v>
      </c>
      <c r="N194" s="9" t="s">
        <v>66</v>
      </c>
    </row>
    <row r="195" spans="1:14" ht="14" x14ac:dyDescent="0.15">
      <c r="A195" s="9" t="s">
        <v>488</v>
      </c>
      <c r="B195" s="9" t="s">
        <v>241</v>
      </c>
      <c r="C195" s="9" t="s">
        <v>412</v>
      </c>
      <c r="D195" s="9" t="s">
        <v>489</v>
      </c>
      <c r="E195" s="9" t="s">
        <v>243</v>
      </c>
      <c r="F195" s="9" t="s">
        <v>52</v>
      </c>
      <c r="G195" s="9" t="s">
        <v>69</v>
      </c>
      <c r="H195" s="9"/>
      <c r="I195" s="9"/>
      <c r="J195" s="9"/>
      <c r="K195" s="9"/>
      <c r="L195" s="9" t="s">
        <v>3</v>
      </c>
      <c r="M195" s="9" t="s">
        <v>58</v>
      </c>
      <c r="N195" s="9" t="s">
        <v>66</v>
      </c>
    </row>
    <row r="196" spans="1:14" ht="14" x14ac:dyDescent="0.15">
      <c r="A196" s="9" t="s">
        <v>490</v>
      </c>
      <c r="B196" s="9" t="s">
        <v>241</v>
      </c>
      <c r="C196" s="9" t="s">
        <v>412</v>
      </c>
      <c r="D196" s="9" t="s">
        <v>491</v>
      </c>
      <c r="E196" s="9" t="s">
        <v>243</v>
      </c>
      <c r="F196" s="9" t="s">
        <v>52</v>
      </c>
      <c r="G196" s="9" t="s">
        <v>69</v>
      </c>
      <c r="H196" s="9"/>
      <c r="I196" s="9"/>
      <c r="J196" s="9"/>
      <c r="K196" s="9"/>
      <c r="L196" s="9" t="s">
        <v>3</v>
      </c>
      <c r="M196" s="9" t="s">
        <v>58</v>
      </c>
      <c r="N196" s="9" t="s">
        <v>66</v>
      </c>
    </row>
    <row r="197" spans="1:14" ht="14" x14ac:dyDescent="0.15">
      <c r="A197" s="9" t="s">
        <v>492</v>
      </c>
      <c r="B197" s="9" t="s">
        <v>241</v>
      </c>
      <c r="C197" s="9" t="s">
        <v>412</v>
      </c>
      <c r="D197" s="9" t="s">
        <v>493</v>
      </c>
      <c r="E197" s="9" t="s">
        <v>243</v>
      </c>
      <c r="F197" s="9" t="s">
        <v>52</v>
      </c>
      <c r="G197" s="9" t="s">
        <v>69</v>
      </c>
      <c r="H197" s="9"/>
      <c r="I197" s="9"/>
      <c r="J197" s="9"/>
      <c r="K197" s="9"/>
      <c r="L197" s="9" t="s">
        <v>3</v>
      </c>
      <c r="M197" s="9" t="s">
        <v>58</v>
      </c>
      <c r="N197" s="9" t="s">
        <v>66</v>
      </c>
    </row>
    <row r="198" spans="1:14" ht="14" x14ac:dyDescent="0.15">
      <c r="A198" s="9" t="s">
        <v>494</v>
      </c>
      <c r="B198" s="9" t="s">
        <v>241</v>
      </c>
      <c r="C198" s="9" t="s">
        <v>412</v>
      </c>
      <c r="D198" s="9" t="s">
        <v>495</v>
      </c>
      <c r="E198" s="9" t="s">
        <v>243</v>
      </c>
      <c r="F198" s="9" t="s">
        <v>52</v>
      </c>
      <c r="G198" s="9" t="s">
        <v>69</v>
      </c>
      <c r="H198" s="9"/>
      <c r="I198" s="9"/>
      <c r="J198" s="9"/>
      <c r="K198" s="9"/>
      <c r="L198" s="9" t="s">
        <v>3</v>
      </c>
      <c r="M198" s="9" t="s">
        <v>58</v>
      </c>
      <c r="N198" s="9" t="s">
        <v>66</v>
      </c>
    </row>
    <row r="199" spans="1:14" ht="14" x14ac:dyDescent="0.15">
      <c r="A199" s="9" t="s">
        <v>496</v>
      </c>
      <c r="B199" s="9" t="s">
        <v>241</v>
      </c>
      <c r="C199" s="9" t="s">
        <v>412</v>
      </c>
      <c r="D199" s="9" t="s">
        <v>497</v>
      </c>
      <c r="E199" s="9" t="s">
        <v>243</v>
      </c>
      <c r="F199" s="9" t="s">
        <v>52</v>
      </c>
      <c r="G199" s="9" t="s">
        <v>69</v>
      </c>
      <c r="H199" s="9"/>
      <c r="I199" s="9"/>
      <c r="J199" s="9"/>
      <c r="K199" s="9"/>
      <c r="L199" s="9" t="s">
        <v>3</v>
      </c>
      <c r="M199" s="9" t="s">
        <v>58</v>
      </c>
      <c r="N199" s="9" t="s">
        <v>66</v>
      </c>
    </row>
    <row r="200" spans="1:14" ht="14" x14ac:dyDescent="0.15">
      <c r="A200" s="9" t="s">
        <v>498</v>
      </c>
      <c r="B200" s="9" t="s">
        <v>241</v>
      </c>
      <c r="C200" s="9" t="s">
        <v>412</v>
      </c>
      <c r="D200" s="9" t="s">
        <v>499</v>
      </c>
      <c r="E200" s="9" t="s">
        <v>243</v>
      </c>
      <c r="F200" s="9" t="s">
        <v>52</v>
      </c>
      <c r="G200" s="9" t="s">
        <v>69</v>
      </c>
      <c r="H200" s="9"/>
      <c r="I200" s="9"/>
      <c r="J200" s="9"/>
      <c r="K200" s="9"/>
      <c r="L200" s="9" t="s">
        <v>3</v>
      </c>
      <c r="M200" s="9" t="s">
        <v>58</v>
      </c>
      <c r="N200" s="9" t="s">
        <v>66</v>
      </c>
    </row>
    <row r="201" spans="1:14" ht="14" x14ac:dyDescent="0.15">
      <c r="A201" s="9" t="s">
        <v>500</v>
      </c>
      <c r="B201" s="9" t="s">
        <v>241</v>
      </c>
      <c r="C201" s="9" t="s">
        <v>412</v>
      </c>
      <c r="D201" s="9" t="s">
        <v>501</v>
      </c>
      <c r="E201" s="9" t="s">
        <v>243</v>
      </c>
      <c r="F201" s="9" t="s">
        <v>52</v>
      </c>
      <c r="G201" s="9" t="s">
        <v>69</v>
      </c>
      <c r="H201" s="9"/>
      <c r="I201" s="9"/>
      <c r="J201" s="9"/>
      <c r="K201" s="9"/>
      <c r="L201" s="9" t="s">
        <v>3</v>
      </c>
      <c r="M201" s="9" t="s">
        <v>58</v>
      </c>
      <c r="N201" s="9" t="s">
        <v>66</v>
      </c>
    </row>
    <row r="202" spans="1:14" ht="14" x14ac:dyDescent="0.15">
      <c r="A202" s="9" t="s">
        <v>502</v>
      </c>
      <c r="B202" s="9" t="s">
        <v>241</v>
      </c>
      <c r="C202" s="9" t="s">
        <v>412</v>
      </c>
      <c r="D202" s="9" t="s">
        <v>503</v>
      </c>
      <c r="E202" s="9" t="s">
        <v>243</v>
      </c>
      <c r="F202" s="9" t="s">
        <v>52</v>
      </c>
      <c r="G202" s="9" t="s">
        <v>69</v>
      </c>
      <c r="H202" s="9"/>
      <c r="I202" s="9"/>
      <c r="J202" s="9"/>
      <c r="K202" s="9"/>
      <c r="L202" s="9" t="s">
        <v>3</v>
      </c>
      <c r="M202" s="9" t="s">
        <v>58</v>
      </c>
      <c r="N202" s="9" t="s">
        <v>66</v>
      </c>
    </row>
    <row r="203" spans="1:14" ht="14" x14ac:dyDescent="0.15">
      <c r="A203" s="9" t="s">
        <v>504</v>
      </c>
      <c r="B203" s="9" t="s">
        <v>241</v>
      </c>
      <c r="C203" s="9" t="s">
        <v>412</v>
      </c>
      <c r="D203" s="9" t="s">
        <v>505</v>
      </c>
      <c r="E203" s="9" t="s">
        <v>243</v>
      </c>
      <c r="F203" s="9" t="s">
        <v>52</v>
      </c>
      <c r="G203" s="9" t="s">
        <v>69</v>
      </c>
      <c r="H203" s="9"/>
      <c r="I203" s="9"/>
      <c r="J203" s="9"/>
      <c r="K203" s="9"/>
      <c r="L203" s="9" t="s">
        <v>3</v>
      </c>
      <c r="M203" s="9" t="s">
        <v>58</v>
      </c>
      <c r="N203" s="9" t="s">
        <v>66</v>
      </c>
    </row>
    <row r="204" spans="1:14" ht="14" x14ac:dyDescent="0.15">
      <c r="A204" s="9" t="s">
        <v>506</v>
      </c>
      <c r="B204" s="9" t="s">
        <v>241</v>
      </c>
      <c r="C204" s="9" t="s">
        <v>412</v>
      </c>
      <c r="D204" s="9" t="s">
        <v>507</v>
      </c>
      <c r="E204" s="9" t="s">
        <v>243</v>
      </c>
      <c r="F204" s="9" t="s">
        <v>52</v>
      </c>
      <c r="G204" s="9" t="s">
        <v>69</v>
      </c>
      <c r="H204" s="9"/>
      <c r="I204" s="9"/>
      <c r="J204" s="9"/>
      <c r="K204" s="9"/>
      <c r="L204" s="9" t="s">
        <v>3</v>
      </c>
      <c r="M204" s="9" t="s">
        <v>58</v>
      </c>
      <c r="N204" s="9" t="s">
        <v>66</v>
      </c>
    </row>
    <row r="205" spans="1:14" ht="14" x14ac:dyDescent="0.15">
      <c r="A205" s="9" t="s">
        <v>508</v>
      </c>
      <c r="B205" s="9" t="s">
        <v>241</v>
      </c>
      <c r="C205" s="9" t="s">
        <v>412</v>
      </c>
      <c r="D205" s="9" t="s">
        <v>509</v>
      </c>
      <c r="E205" s="9" t="s">
        <v>243</v>
      </c>
      <c r="F205" s="9" t="s">
        <v>52</v>
      </c>
      <c r="G205" s="9" t="s">
        <v>69</v>
      </c>
      <c r="H205" s="9"/>
      <c r="I205" s="9"/>
      <c r="J205" s="9"/>
      <c r="K205" s="9"/>
      <c r="L205" s="9" t="s">
        <v>3</v>
      </c>
      <c r="M205" s="9" t="s">
        <v>58</v>
      </c>
      <c r="N205" s="9" t="s">
        <v>66</v>
      </c>
    </row>
    <row r="206" spans="1:14" ht="14" x14ac:dyDescent="0.15">
      <c r="A206" s="9" t="s">
        <v>510</v>
      </c>
      <c r="B206" s="9" t="s">
        <v>241</v>
      </c>
      <c r="C206" s="9" t="s">
        <v>412</v>
      </c>
      <c r="D206" s="9" t="s">
        <v>511</v>
      </c>
      <c r="E206" s="9" t="s">
        <v>243</v>
      </c>
      <c r="F206" s="9" t="s">
        <v>52</v>
      </c>
      <c r="G206" s="9" t="s">
        <v>69</v>
      </c>
      <c r="H206" s="9"/>
      <c r="I206" s="9"/>
      <c r="J206" s="9"/>
      <c r="K206" s="9"/>
      <c r="L206" s="9" t="s">
        <v>3</v>
      </c>
      <c r="M206" s="9" t="s">
        <v>58</v>
      </c>
      <c r="N206" s="9" t="s">
        <v>66</v>
      </c>
    </row>
    <row r="207" spans="1:14" ht="14" x14ac:dyDescent="0.15">
      <c r="A207" s="9" t="s">
        <v>512</v>
      </c>
      <c r="B207" s="9" t="s">
        <v>241</v>
      </c>
      <c r="C207" s="9" t="s">
        <v>412</v>
      </c>
      <c r="D207" s="9" t="s">
        <v>513</v>
      </c>
      <c r="E207" s="9" t="s">
        <v>243</v>
      </c>
      <c r="F207" s="9" t="s">
        <v>52</v>
      </c>
      <c r="G207" s="9" t="s">
        <v>69</v>
      </c>
      <c r="H207" s="9"/>
      <c r="I207" s="9"/>
      <c r="J207" s="9"/>
      <c r="K207" s="9"/>
      <c r="L207" s="9" t="s">
        <v>3</v>
      </c>
      <c r="M207" s="9" t="s">
        <v>58</v>
      </c>
      <c r="N207" s="9" t="s">
        <v>66</v>
      </c>
    </row>
    <row r="208" spans="1:14" ht="14" x14ac:dyDescent="0.15">
      <c r="A208" s="9" t="s">
        <v>514</v>
      </c>
      <c r="B208" s="9" t="s">
        <v>241</v>
      </c>
      <c r="C208" s="9" t="s">
        <v>412</v>
      </c>
      <c r="D208" s="9" t="s">
        <v>515</v>
      </c>
      <c r="E208" s="9" t="s">
        <v>243</v>
      </c>
      <c r="F208" s="9" t="s">
        <v>52</v>
      </c>
      <c r="G208" s="9" t="s">
        <v>69</v>
      </c>
      <c r="H208" s="9"/>
      <c r="I208" s="9"/>
      <c r="J208" s="9"/>
      <c r="K208" s="9"/>
      <c r="L208" s="9" t="s">
        <v>3</v>
      </c>
      <c r="M208" s="9" t="s">
        <v>58</v>
      </c>
      <c r="N208" s="9" t="s">
        <v>66</v>
      </c>
    </row>
    <row r="209" spans="1:14" ht="14" x14ac:dyDescent="0.15">
      <c r="A209" s="9" t="s">
        <v>516</v>
      </c>
      <c r="B209" s="9" t="s">
        <v>241</v>
      </c>
      <c r="C209" s="9" t="s">
        <v>412</v>
      </c>
      <c r="D209" s="9" t="s">
        <v>517</v>
      </c>
      <c r="E209" s="9" t="s">
        <v>243</v>
      </c>
      <c r="F209" s="9" t="s">
        <v>52</v>
      </c>
      <c r="G209" s="9" t="s">
        <v>69</v>
      </c>
      <c r="H209" s="9"/>
      <c r="I209" s="9"/>
      <c r="J209" s="9"/>
      <c r="K209" s="9"/>
      <c r="L209" s="9" t="s">
        <v>3</v>
      </c>
      <c r="M209" s="9" t="s">
        <v>58</v>
      </c>
      <c r="N209" s="9" t="s">
        <v>66</v>
      </c>
    </row>
    <row r="210" spans="1:14" ht="14" x14ac:dyDescent="0.15">
      <c r="A210" s="9" t="s">
        <v>518</v>
      </c>
      <c r="B210" s="9" t="s">
        <v>241</v>
      </c>
      <c r="C210" s="9" t="s">
        <v>412</v>
      </c>
      <c r="D210" s="9" t="s">
        <v>519</v>
      </c>
      <c r="E210" s="9" t="s">
        <v>243</v>
      </c>
      <c r="F210" s="9" t="s">
        <v>52</v>
      </c>
      <c r="G210" s="9" t="s">
        <v>69</v>
      </c>
      <c r="H210" s="9"/>
      <c r="I210" s="9"/>
      <c r="J210" s="9"/>
      <c r="K210" s="9"/>
      <c r="L210" s="9" t="s">
        <v>3</v>
      </c>
      <c r="M210" s="9" t="s">
        <v>58</v>
      </c>
      <c r="N210" s="9" t="s">
        <v>66</v>
      </c>
    </row>
    <row r="211" spans="1:14" ht="14" x14ac:dyDescent="0.15">
      <c r="A211" s="9" t="s">
        <v>520</v>
      </c>
      <c r="B211" s="9" t="s">
        <v>241</v>
      </c>
      <c r="C211" s="9" t="s">
        <v>412</v>
      </c>
      <c r="D211" s="9" t="s">
        <v>521</v>
      </c>
      <c r="E211" s="9" t="s">
        <v>243</v>
      </c>
      <c r="F211" s="9" t="s">
        <v>52</v>
      </c>
      <c r="G211" s="9" t="s">
        <v>69</v>
      </c>
      <c r="H211" s="9"/>
      <c r="I211" s="9"/>
      <c r="J211" s="9"/>
      <c r="K211" s="9"/>
      <c r="L211" s="9" t="s">
        <v>3</v>
      </c>
      <c r="M211" s="9" t="s">
        <v>58</v>
      </c>
      <c r="N211" s="9" t="s">
        <v>66</v>
      </c>
    </row>
    <row r="212" spans="1:14" ht="14" x14ac:dyDescent="0.15">
      <c r="A212" s="9" t="s">
        <v>522</v>
      </c>
      <c r="B212" s="9" t="s">
        <v>241</v>
      </c>
      <c r="C212" s="9" t="s">
        <v>412</v>
      </c>
      <c r="D212" s="9" t="s">
        <v>523</v>
      </c>
      <c r="E212" s="9" t="s">
        <v>243</v>
      </c>
      <c r="F212" s="9" t="s">
        <v>52</v>
      </c>
      <c r="G212" s="9" t="s">
        <v>69</v>
      </c>
      <c r="H212" s="9"/>
      <c r="I212" s="9"/>
      <c r="J212" s="9"/>
      <c r="K212" s="9"/>
      <c r="L212" s="9" t="s">
        <v>3</v>
      </c>
      <c r="M212" s="9" t="s">
        <v>58</v>
      </c>
      <c r="N212" s="9" t="s">
        <v>66</v>
      </c>
    </row>
    <row r="213" spans="1:14" ht="14" x14ac:dyDescent="0.15">
      <c r="A213" s="9" t="s">
        <v>524</v>
      </c>
      <c r="B213" s="9" t="s">
        <v>241</v>
      </c>
      <c r="C213" s="9" t="s">
        <v>412</v>
      </c>
      <c r="D213" s="9" t="s">
        <v>525</v>
      </c>
      <c r="E213" s="9" t="s">
        <v>243</v>
      </c>
      <c r="F213" s="9" t="s">
        <v>52</v>
      </c>
      <c r="G213" s="9" t="s">
        <v>69</v>
      </c>
      <c r="H213" s="9"/>
      <c r="I213" s="9"/>
      <c r="J213" s="9"/>
      <c r="K213" s="9"/>
      <c r="L213" s="9" t="s">
        <v>3</v>
      </c>
      <c r="M213" s="9" t="s">
        <v>58</v>
      </c>
      <c r="N213" s="9" t="s">
        <v>66</v>
      </c>
    </row>
    <row r="214" spans="1:14" ht="14" x14ac:dyDescent="0.15">
      <c r="A214" s="9" t="s">
        <v>526</v>
      </c>
      <c r="B214" s="9" t="s">
        <v>241</v>
      </c>
      <c r="C214" s="9" t="s">
        <v>412</v>
      </c>
      <c r="D214" s="9" t="s">
        <v>527</v>
      </c>
      <c r="E214" s="9" t="s">
        <v>243</v>
      </c>
      <c r="F214" s="9" t="s">
        <v>52</v>
      </c>
      <c r="G214" s="9" t="s">
        <v>69</v>
      </c>
      <c r="H214" s="9"/>
      <c r="I214" s="9"/>
      <c r="J214" s="9"/>
      <c r="K214" s="9"/>
      <c r="L214" s="9" t="s">
        <v>3</v>
      </c>
      <c r="M214" s="9" t="s">
        <v>58</v>
      </c>
      <c r="N214" s="9" t="s">
        <v>66</v>
      </c>
    </row>
    <row r="215" spans="1:14" ht="14" x14ac:dyDescent="0.15">
      <c r="A215" s="9" t="s">
        <v>528</v>
      </c>
      <c r="B215" s="9" t="s">
        <v>241</v>
      </c>
      <c r="C215" s="9" t="s">
        <v>412</v>
      </c>
      <c r="D215" s="9" t="s">
        <v>529</v>
      </c>
      <c r="E215" s="9" t="s">
        <v>243</v>
      </c>
      <c r="F215" s="9" t="s">
        <v>52</v>
      </c>
      <c r="G215" s="9" t="s">
        <v>69</v>
      </c>
      <c r="H215" s="9"/>
      <c r="I215" s="9"/>
      <c r="J215" s="9"/>
      <c r="K215" s="9"/>
      <c r="L215" s="9" t="s">
        <v>3</v>
      </c>
      <c r="M215" s="9" t="s">
        <v>58</v>
      </c>
      <c r="N215" s="9" t="s">
        <v>66</v>
      </c>
    </row>
    <row r="216" spans="1:14" ht="14" x14ac:dyDescent="0.15">
      <c r="A216" s="9" t="s">
        <v>530</v>
      </c>
      <c r="B216" s="9" t="s">
        <v>241</v>
      </c>
      <c r="C216" s="9" t="s">
        <v>412</v>
      </c>
      <c r="D216" s="9" t="s">
        <v>531</v>
      </c>
      <c r="E216" s="9" t="s">
        <v>243</v>
      </c>
      <c r="F216" s="9" t="s">
        <v>52</v>
      </c>
      <c r="G216" s="9" t="s">
        <v>69</v>
      </c>
      <c r="H216" s="9"/>
      <c r="I216" s="9"/>
      <c r="J216" s="9"/>
      <c r="K216" s="9"/>
      <c r="L216" s="9" t="s">
        <v>3</v>
      </c>
      <c r="M216" s="9" t="s">
        <v>58</v>
      </c>
      <c r="N216" s="9" t="s">
        <v>66</v>
      </c>
    </row>
    <row r="217" spans="1:14" ht="28" x14ac:dyDescent="0.15">
      <c r="A217" s="9" t="s">
        <v>532</v>
      </c>
      <c r="B217" s="9" t="s">
        <v>241</v>
      </c>
      <c r="C217" s="9" t="s">
        <v>412</v>
      </c>
      <c r="D217" s="9" t="s">
        <v>533</v>
      </c>
      <c r="E217" s="9" t="s">
        <v>243</v>
      </c>
      <c r="F217" s="9" t="s">
        <v>52</v>
      </c>
      <c r="G217" s="9" t="s">
        <v>69</v>
      </c>
      <c r="H217" s="9"/>
      <c r="I217" s="9"/>
      <c r="J217" s="9"/>
      <c r="K217" s="9"/>
      <c r="L217" s="9" t="s">
        <v>3</v>
      </c>
      <c r="M217" s="9" t="s">
        <v>58</v>
      </c>
      <c r="N217" s="9" t="s">
        <v>66</v>
      </c>
    </row>
    <row r="218" spans="1:14" ht="28" x14ac:dyDescent="0.15">
      <c r="A218" s="9" t="s">
        <v>534</v>
      </c>
      <c r="B218" s="9" t="s">
        <v>241</v>
      </c>
      <c r="C218" s="9" t="s">
        <v>412</v>
      </c>
      <c r="D218" s="9" t="s">
        <v>535</v>
      </c>
      <c r="E218" s="9" t="s">
        <v>243</v>
      </c>
      <c r="F218" s="9" t="s">
        <v>52</v>
      </c>
      <c r="G218" s="9" t="s">
        <v>69</v>
      </c>
      <c r="H218" s="9"/>
      <c r="I218" s="9"/>
      <c r="J218" s="9"/>
      <c r="K218" s="9"/>
      <c r="L218" s="9" t="s">
        <v>3</v>
      </c>
      <c r="M218" s="9" t="s">
        <v>58</v>
      </c>
      <c r="N218" s="9" t="s">
        <v>66</v>
      </c>
    </row>
    <row r="219" spans="1:14" ht="28" x14ac:dyDescent="0.15">
      <c r="A219" s="9" t="s">
        <v>536</v>
      </c>
      <c r="B219" s="9" t="s">
        <v>241</v>
      </c>
      <c r="C219" s="9" t="s">
        <v>412</v>
      </c>
      <c r="D219" s="9" t="s">
        <v>537</v>
      </c>
      <c r="E219" s="9" t="s">
        <v>243</v>
      </c>
      <c r="F219" s="9" t="s">
        <v>52</v>
      </c>
      <c r="G219" s="9" t="s">
        <v>69</v>
      </c>
      <c r="H219" s="9"/>
      <c r="I219" s="9"/>
      <c r="J219" s="9"/>
      <c r="K219" s="9"/>
      <c r="L219" s="9" t="s">
        <v>3</v>
      </c>
      <c r="M219" s="9" t="s">
        <v>58</v>
      </c>
      <c r="N219" s="9" t="s">
        <v>66</v>
      </c>
    </row>
    <row r="220" spans="1:14" ht="28" x14ac:dyDescent="0.15">
      <c r="A220" s="9" t="s">
        <v>538</v>
      </c>
      <c r="B220" s="9" t="s">
        <v>241</v>
      </c>
      <c r="C220" s="9" t="s">
        <v>412</v>
      </c>
      <c r="D220" s="9" t="s">
        <v>539</v>
      </c>
      <c r="E220" s="9" t="s">
        <v>243</v>
      </c>
      <c r="F220" s="9" t="s">
        <v>52</v>
      </c>
      <c r="G220" s="9" t="s">
        <v>69</v>
      </c>
      <c r="H220" s="9"/>
      <c r="I220" s="9"/>
      <c r="J220" s="9"/>
      <c r="K220" s="9"/>
      <c r="L220" s="9" t="s">
        <v>3</v>
      </c>
      <c r="M220" s="9" t="s">
        <v>58</v>
      </c>
      <c r="N220" s="9" t="s">
        <v>66</v>
      </c>
    </row>
    <row r="221" spans="1:14" ht="28" x14ac:dyDescent="0.15">
      <c r="A221" s="9" t="s">
        <v>540</v>
      </c>
      <c r="B221" s="9" t="s">
        <v>241</v>
      </c>
      <c r="C221" s="9" t="s">
        <v>412</v>
      </c>
      <c r="D221" s="9" t="s">
        <v>541</v>
      </c>
      <c r="E221" s="9" t="s">
        <v>243</v>
      </c>
      <c r="F221" s="9" t="s">
        <v>52</v>
      </c>
      <c r="G221" s="9" t="s">
        <v>69</v>
      </c>
      <c r="H221" s="9"/>
      <c r="I221" s="9"/>
      <c r="J221" s="9"/>
      <c r="K221" s="9"/>
      <c r="L221" s="9" t="s">
        <v>3</v>
      </c>
      <c r="M221" s="9" t="s">
        <v>58</v>
      </c>
      <c r="N221" s="9" t="s">
        <v>66</v>
      </c>
    </row>
    <row r="222" spans="1:14" ht="28" x14ac:dyDescent="0.15">
      <c r="A222" s="9" t="s">
        <v>542</v>
      </c>
      <c r="B222" s="9" t="s">
        <v>241</v>
      </c>
      <c r="C222" s="9" t="s">
        <v>412</v>
      </c>
      <c r="D222" s="9" t="s">
        <v>543</v>
      </c>
      <c r="E222" s="9" t="s">
        <v>243</v>
      </c>
      <c r="F222" s="9" t="s">
        <v>52</v>
      </c>
      <c r="G222" s="9" t="s">
        <v>69</v>
      </c>
      <c r="H222" s="9"/>
      <c r="I222" s="9"/>
      <c r="J222" s="9"/>
      <c r="K222" s="9"/>
      <c r="L222" s="9" t="s">
        <v>3</v>
      </c>
      <c r="M222" s="9" t="s">
        <v>58</v>
      </c>
      <c r="N222" s="9" t="s">
        <v>66</v>
      </c>
    </row>
    <row r="223" spans="1:14" ht="28" x14ac:dyDescent="0.15">
      <c r="A223" s="9" t="s">
        <v>544</v>
      </c>
      <c r="B223" s="9" t="s">
        <v>241</v>
      </c>
      <c r="C223" s="9" t="s">
        <v>412</v>
      </c>
      <c r="D223" s="9" t="s">
        <v>545</v>
      </c>
      <c r="E223" s="9" t="s">
        <v>243</v>
      </c>
      <c r="F223" s="9" t="s">
        <v>52</v>
      </c>
      <c r="G223" s="9" t="s">
        <v>69</v>
      </c>
      <c r="H223" s="9"/>
      <c r="I223" s="9"/>
      <c r="J223" s="9"/>
      <c r="K223" s="9"/>
      <c r="L223" s="9" t="s">
        <v>3</v>
      </c>
      <c r="M223" s="9" t="s">
        <v>58</v>
      </c>
      <c r="N223" s="9" t="s">
        <v>66</v>
      </c>
    </row>
    <row r="224" spans="1:14" ht="14" x14ac:dyDescent="0.15">
      <c r="A224" s="9" t="s">
        <v>546</v>
      </c>
      <c r="B224" s="9" t="s">
        <v>241</v>
      </c>
      <c r="C224" s="9" t="s">
        <v>547</v>
      </c>
      <c r="D224" s="9" t="s">
        <v>548</v>
      </c>
      <c r="E224" s="9" t="s">
        <v>243</v>
      </c>
      <c r="F224" s="9" t="s">
        <v>52</v>
      </c>
      <c r="G224" s="9" t="s">
        <v>69</v>
      </c>
      <c r="H224" s="9"/>
      <c r="I224" s="9"/>
      <c r="J224" s="9"/>
      <c r="K224" s="9"/>
      <c r="L224" s="9" t="s">
        <v>3</v>
      </c>
      <c r="M224" s="9" t="s">
        <v>58</v>
      </c>
      <c r="N224" s="9" t="s">
        <v>66</v>
      </c>
    </row>
    <row r="225" spans="1:14" ht="14" x14ac:dyDescent="0.15">
      <c r="A225" s="9" t="s">
        <v>549</v>
      </c>
      <c r="B225" s="9" t="s">
        <v>241</v>
      </c>
      <c r="C225" s="9" t="s">
        <v>547</v>
      </c>
      <c r="D225" s="9" t="s">
        <v>550</v>
      </c>
      <c r="E225" s="9" t="s">
        <v>243</v>
      </c>
      <c r="F225" s="9" t="s">
        <v>52</v>
      </c>
      <c r="G225" s="9" t="s">
        <v>69</v>
      </c>
      <c r="H225" s="9"/>
      <c r="I225" s="9"/>
      <c r="J225" s="9"/>
      <c r="K225" s="9"/>
      <c r="L225" s="9" t="s">
        <v>3</v>
      </c>
      <c r="M225" s="9" t="s">
        <v>58</v>
      </c>
      <c r="N225" s="9" t="s">
        <v>66</v>
      </c>
    </row>
    <row r="226" spans="1:14" ht="14" x14ac:dyDescent="0.15">
      <c r="A226" s="9" t="s">
        <v>551</v>
      </c>
      <c r="B226" s="9" t="s">
        <v>241</v>
      </c>
      <c r="C226" s="9" t="s">
        <v>547</v>
      </c>
      <c r="D226" s="9" t="s">
        <v>552</v>
      </c>
      <c r="E226" s="9" t="s">
        <v>243</v>
      </c>
      <c r="F226" s="9" t="s">
        <v>52</v>
      </c>
      <c r="G226" s="9" t="s">
        <v>69</v>
      </c>
      <c r="H226" s="9"/>
      <c r="I226" s="9"/>
      <c r="J226" s="9"/>
      <c r="K226" s="9"/>
      <c r="L226" s="9" t="s">
        <v>3</v>
      </c>
      <c r="M226" s="9" t="s">
        <v>58</v>
      </c>
      <c r="N226" s="9" t="s">
        <v>66</v>
      </c>
    </row>
    <row r="227" spans="1:14" ht="14" x14ac:dyDescent="0.15">
      <c r="A227" s="9" t="s">
        <v>553</v>
      </c>
      <c r="B227" s="9" t="s">
        <v>241</v>
      </c>
      <c r="C227" s="9" t="s">
        <v>547</v>
      </c>
      <c r="D227" s="9" t="s">
        <v>554</v>
      </c>
      <c r="E227" s="9" t="s">
        <v>243</v>
      </c>
      <c r="F227" s="9" t="s">
        <v>52</v>
      </c>
      <c r="G227" s="9" t="s">
        <v>69</v>
      </c>
      <c r="H227" s="9"/>
      <c r="I227" s="9"/>
      <c r="J227" s="9"/>
      <c r="K227" s="9"/>
      <c r="L227" s="9" t="s">
        <v>3</v>
      </c>
      <c r="M227" s="9" t="s">
        <v>58</v>
      </c>
      <c r="N227" s="9" t="s">
        <v>66</v>
      </c>
    </row>
    <row r="228" spans="1:14" ht="14" x14ac:dyDescent="0.15">
      <c r="A228" s="9" t="s">
        <v>555</v>
      </c>
      <c r="B228" s="9" t="s">
        <v>241</v>
      </c>
      <c r="C228" s="9" t="s">
        <v>547</v>
      </c>
      <c r="D228" s="9" t="s">
        <v>556</v>
      </c>
      <c r="E228" s="9" t="s">
        <v>243</v>
      </c>
      <c r="F228" s="9" t="s">
        <v>52</v>
      </c>
      <c r="G228" s="9" t="s">
        <v>69</v>
      </c>
      <c r="H228" s="9"/>
      <c r="I228" s="9"/>
      <c r="J228" s="9"/>
      <c r="K228" s="9"/>
      <c r="L228" s="9" t="s">
        <v>3</v>
      </c>
      <c r="M228" s="9" t="s">
        <v>58</v>
      </c>
      <c r="N228" s="9" t="s">
        <v>66</v>
      </c>
    </row>
    <row r="229" spans="1:14" ht="14" x14ac:dyDescent="0.15">
      <c r="A229" s="9" t="s">
        <v>557</v>
      </c>
      <c r="B229" s="9" t="s">
        <v>241</v>
      </c>
      <c r="C229" s="9" t="s">
        <v>547</v>
      </c>
      <c r="D229" s="9" t="s">
        <v>558</v>
      </c>
      <c r="E229" s="9" t="s">
        <v>243</v>
      </c>
      <c r="F229" s="9" t="s">
        <v>52</v>
      </c>
      <c r="G229" s="9" t="s">
        <v>69</v>
      </c>
      <c r="H229" s="9"/>
      <c r="I229" s="9"/>
      <c r="J229" s="9"/>
      <c r="K229" s="9"/>
      <c r="L229" s="9" t="s">
        <v>3</v>
      </c>
      <c r="M229" s="9" t="s">
        <v>58</v>
      </c>
      <c r="N229" s="9" t="s">
        <v>66</v>
      </c>
    </row>
    <row r="230" spans="1:14" ht="14" x14ac:dyDescent="0.15">
      <c r="A230" s="9" t="s">
        <v>559</v>
      </c>
      <c r="B230" s="9" t="s">
        <v>241</v>
      </c>
      <c r="C230" s="9" t="s">
        <v>547</v>
      </c>
      <c r="D230" s="9" t="s">
        <v>560</v>
      </c>
      <c r="E230" s="9" t="s">
        <v>243</v>
      </c>
      <c r="F230" s="9" t="s">
        <v>52</v>
      </c>
      <c r="G230" s="9" t="s">
        <v>69</v>
      </c>
      <c r="H230" s="9"/>
      <c r="I230" s="9"/>
      <c r="J230" s="9"/>
      <c r="K230" s="9"/>
      <c r="L230" s="9" t="s">
        <v>3</v>
      </c>
      <c r="M230" s="9" t="s">
        <v>58</v>
      </c>
      <c r="N230" s="9" t="s">
        <v>66</v>
      </c>
    </row>
    <row r="231" spans="1:14" ht="14" x14ac:dyDescent="0.15">
      <c r="A231" s="9" t="s">
        <v>561</v>
      </c>
      <c r="B231" s="9" t="s">
        <v>241</v>
      </c>
      <c r="C231" s="9" t="s">
        <v>547</v>
      </c>
      <c r="D231" s="9" t="s">
        <v>562</v>
      </c>
      <c r="E231" s="9" t="s">
        <v>243</v>
      </c>
      <c r="F231" s="9" t="s">
        <v>52</v>
      </c>
      <c r="G231" s="9" t="s">
        <v>69</v>
      </c>
      <c r="H231" s="9"/>
      <c r="I231" s="9"/>
      <c r="J231" s="9"/>
      <c r="K231" s="9"/>
      <c r="L231" s="9" t="s">
        <v>3</v>
      </c>
      <c r="M231" s="9" t="s">
        <v>58</v>
      </c>
      <c r="N231" s="9" t="s">
        <v>66</v>
      </c>
    </row>
    <row r="232" spans="1:14" ht="14" x14ac:dyDescent="0.15">
      <c r="A232" s="9" t="s">
        <v>563</v>
      </c>
      <c r="B232" s="9" t="s">
        <v>241</v>
      </c>
      <c r="C232" s="9" t="s">
        <v>547</v>
      </c>
      <c r="D232" s="9" t="s">
        <v>564</v>
      </c>
      <c r="E232" s="9" t="s">
        <v>243</v>
      </c>
      <c r="F232" s="9" t="s">
        <v>52</v>
      </c>
      <c r="G232" s="9" t="s">
        <v>69</v>
      </c>
      <c r="H232" s="9"/>
      <c r="I232" s="9"/>
      <c r="J232" s="9"/>
      <c r="K232" s="9"/>
      <c r="L232" s="9" t="s">
        <v>3</v>
      </c>
      <c r="M232" s="9" t="s">
        <v>58</v>
      </c>
      <c r="N232" s="9" t="s">
        <v>66</v>
      </c>
    </row>
    <row r="233" spans="1:14" ht="14" x14ac:dyDescent="0.15">
      <c r="A233" s="9" t="s">
        <v>565</v>
      </c>
      <c r="B233" s="9" t="s">
        <v>241</v>
      </c>
      <c r="C233" s="9" t="s">
        <v>547</v>
      </c>
      <c r="D233" s="9" t="s">
        <v>566</v>
      </c>
      <c r="E233" s="9" t="s">
        <v>243</v>
      </c>
      <c r="F233" s="9" t="s">
        <v>52</v>
      </c>
      <c r="G233" s="9" t="s">
        <v>69</v>
      </c>
      <c r="H233" s="9"/>
      <c r="I233" s="9"/>
      <c r="J233" s="9"/>
      <c r="K233" s="9"/>
      <c r="L233" s="9" t="s">
        <v>3</v>
      </c>
      <c r="M233" s="9" t="s">
        <v>58</v>
      </c>
      <c r="N233" s="9" t="s">
        <v>66</v>
      </c>
    </row>
    <row r="234" spans="1:14" ht="14" x14ac:dyDescent="0.15">
      <c r="A234" s="9" t="s">
        <v>567</v>
      </c>
      <c r="B234" s="9" t="s">
        <v>241</v>
      </c>
      <c r="C234" s="9" t="s">
        <v>568</v>
      </c>
      <c r="D234" s="9" t="s">
        <v>569</v>
      </c>
      <c r="E234" s="9" t="s">
        <v>243</v>
      </c>
      <c r="F234" s="9" t="s">
        <v>52</v>
      </c>
      <c r="G234" s="9" t="s">
        <v>69</v>
      </c>
      <c r="H234" s="9"/>
      <c r="I234" s="9"/>
      <c r="J234" s="9"/>
      <c r="K234" s="9"/>
      <c r="L234" s="9" t="s">
        <v>3</v>
      </c>
      <c r="M234" s="9" t="s">
        <v>58</v>
      </c>
      <c r="N234" s="9" t="s">
        <v>66</v>
      </c>
    </row>
    <row r="235" spans="1:14" ht="14" x14ac:dyDescent="0.15">
      <c r="A235" s="9" t="s">
        <v>570</v>
      </c>
      <c r="B235" s="9" t="s">
        <v>241</v>
      </c>
      <c r="C235" s="9" t="s">
        <v>568</v>
      </c>
      <c r="D235" s="9" t="s">
        <v>571</v>
      </c>
      <c r="E235" s="9" t="s">
        <v>243</v>
      </c>
      <c r="F235" s="9" t="s">
        <v>52</v>
      </c>
      <c r="G235" s="9" t="s">
        <v>69</v>
      </c>
      <c r="H235" s="9"/>
      <c r="I235" s="9"/>
      <c r="J235" s="9"/>
      <c r="K235" s="9"/>
      <c r="L235" s="9" t="s">
        <v>3</v>
      </c>
      <c r="M235" s="9" t="s">
        <v>58</v>
      </c>
      <c r="N235" s="9" t="s">
        <v>66</v>
      </c>
    </row>
    <row r="236" spans="1:14" ht="14" x14ac:dyDescent="0.15">
      <c r="A236" s="9" t="s">
        <v>572</v>
      </c>
      <c r="B236" s="9" t="s">
        <v>241</v>
      </c>
      <c r="C236" s="9" t="s">
        <v>568</v>
      </c>
      <c r="D236" s="9" t="s">
        <v>573</v>
      </c>
      <c r="E236" s="9" t="s">
        <v>243</v>
      </c>
      <c r="F236" s="9" t="s">
        <v>52</v>
      </c>
      <c r="G236" s="9" t="s">
        <v>69</v>
      </c>
      <c r="H236" s="9"/>
      <c r="I236" s="9"/>
      <c r="J236" s="9"/>
      <c r="K236" s="9"/>
      <c r="L236" s="9" t="s">
        <v>3</v>
      </c>
      <c r="M236" s="9" t="s">
        <v>58</v>
      </c>
      <c r="N236" s="9" t="s">
        <v>66</v>
      </c>
    </row>
    <row r="237" spans="1:14" ht="14" x14ac:dyDescent="0.15">
      <c r="A237" s="9" t="s">
        <v>574</v>
      </c>
      <c r="B237" s="9" t="s">
        <v>241</v>
      </c>
      <c r="C237" s="9" t="s">
        <v>568</v>
      </c>
      <c r="D237" s="9" t="s">
        <v>575</v>
      </c>
      <c r="E237" s="9" t="s">
        <v>243</v>
      </c>
      <c r="F237" s="9" t="s">
        <v>52</v>
      </c>
      <c r="G237" s="9" t="s">
        <v>69</v>
      </c>
      <c r="H237" s="9"/>
      <c r="I237" s="9"/>
      <c r="J237" s="9"/>
      <c r="K237" s="9"/>
      <c r="L237" s="9" t="s">
        <v>3</v>
      </c>
      <c r="M237" s="9" t="s">
        <v>58</v>
      </c>
      <c r="N237" s="9" t="s">
        <v>66</v>
      </c>
    </row>
    <row r="238" spans="1:14" ht="14" x14ac:dyDescent="0.15">
      <c r="A238" s="9" t="s">
        <v>576</v>
      </c>
      <c r="B238" s="9" t="s">
        <v>241</v>
      </c>
      <c r="C238" s="9" t="s">
        <v>568</v>
      </c>
      <c r="D238" s="9" t="s">
        <v>577</v>
      </c>
      <c r="E238" s="9" t="s">
        <v>243</v>
      </c>
      <c r="F238" s="9" t="s">
        <v>52</v>
      </c>
      <c r="G238" s="9" t="s">
        <v>69</v>
      </c>
      <c r="H238" s="9"/>
      <c r="I238" s="9"/>
      <c r="J238" s="9"/>
      <c r="K238" s="9"/>
      <c r="L238" s="9" t="s">
        <v>3</v>
      </c>
      <c r="M238" s="9" t="s">
        <v>58</v>
      </c>
      <c r="N238" s="9" t="s">
        <v>66</v>
      </c>
    </row>
    <row r="239" spans="1:14" ht="14" x14ac:dyDescent="0.15">
      <c r="A239" s="9" t="s">
        <v>578</v>
      </c>
      <c r="B239" s="9" t="s">
        <v>241</v>
      </c>
      <c r="C239" s="9" t="s">
        <v>568</v>
      </c>
      <c r="D239" s="9" t="s">
        <v>579</v>
      </c>
      <c r="E239" s="9" t="s">
        <v>243</v>
      </c>
      <c r="F239" s="9" t="s">
        <v>52</v>
      </c>
      <c r="G239" s="9" t="s">
        <v>69</v>
      </c>
      <c r="H239" s="9"/>
      <c r="I239" s="9"/>
      <c r="J239" s="9"/>
      <c r="K239" s="9"/>
      <c r="L239" s="9" t="s">
        <v>3</v>
      </c>
      <c r="M239" s="9" t="s">
        <v>58</v>
      </c>
      <c r="N239" s="9" t="s">
        <v>66</v>
      </c>
    </row>
    <row r="240" spans="1:14" ht="14" x14ac:dyDescent="0.15">
      <c r="A240" s="9" t="s">
        <v>580</v>
      </c>
      <c r="B240" s="9" t="s">
        <v>241</v>
      </c>
      <c r="C240" s="9" t="s">
        <v>568</v>
      </c>
      <c r="D240" s="9" t="s">
        <v>581</v>
      </c>
      <c r="E240" s="9" t="s">
        <v>243</v>
      </c>
      <c r="F240" s="9" t="s">
        <v>52</v>
      </c>
      <c r="G240" s="9" t="s">
        <v>69</v>
      </c>
      <c r="H240" s="9"/>
      <c r="I240" s="9"/>
      <c r="J240" s="9"/>
      <c r="K240" s="9"/>
      <c r="L240" s="9" t="s">
        <v>3</v>
      </c>
      <c r="M240" s="9" t="s">
        <v>58</v>
      </c>
      <c r="N240" s="9" t="s">
        <v>66</v>
      </c>
    </row>
    <row r="241" spans="1:14" ht="14" x14ac:dyDescent="0.15">
      <c r="A241" s="9" t="s">
        <v>582</v>
      </c>
      <c r="B241" s="9" t="s">
        <v>241</v>
      </c>
      <c r="C241" s="9" t="s">
        <v>568</v>
      </c>
      <c r="D241" s="9" t="s">
        <v>583</v>
      </c>
      <c r="E241" s="9" t="s">
        <v>243</v>
      </c>
      <c r="F241" s="9" t="s">
        <v>52</v>
      </c>
      <c r="G241" s="9" t="s">
        <v>69</v>
      </c>
      <c r="H241" s="9"/>
      <c r="I241" s="9"/>
      <c r="J241" s="9"/>
      <c r="K241" s="9"/>
      <c r="L241" s="9" t="s">
        <v>3</v>
      </c>
      <c r="M241" s="9" t="s">
        <v>58</v>
      </c>
      <c r="N241" s="9" t="s">
        <v>66</v>
      </c>
    </row>
    <row r="242" spans="1:14" ht="14" x14ac:dyDescent="0.15">
      <c r="A242" s="9" t="s">
        <v>584</v>
      </c>
      <c r="B242" s="9" t="s">
        <v>241</v>
      </c>
      <c r="C242" s="9" t="s">
        <v>568</v>
      </c>
      <c r="D242" s="9" t="s">
        <v>585</v>
      </c>
      <c r="E242" s="9" t="s">
        <v>243</v>
      </c>
      <c r="F242" s="9" t="s">
        <v>52</v>
      </c>
      <c r="G242" s="9" t="s">
        <v>69</v>
      </c>
      <c r="H242" s="9"/>
      <c r="I242" s="9"/>
      <c r="J242" s="9"/>
      <c r="K242" s="9"/>
      <c r="L242" s="9" t="s">
        <v>3</v>
      </c>
      <c r="M242" s="9" t="s">
        <v>58</v>
      </c>
      <c r="N242" s="9" t="s">
        <v>66</v>
      </c>
    </row>
    <row r="243" spans="1:14" ht="14" x14ac:dyDescent="0.15">
      <c r="A243" s="9" t="s">
        <v>586</v>
      </c>
      <c r="B243" s="9" t="s">
        <v>241</v>
      </c>
      <c r="C243" s="9" t="s">
        <v>568</v>
      </c>
      <c r="D243" s="9" t="s">
        <v>587</v>
      </c>
      <c r="E243" s="9" t="s">
        <v>243</v>
      </c>
      <c r="F243" s="9" t="s">
        <v>52</v>
      </c>
      <c r="G243" s="9" t="s">
        <v>69</v>
      </c>
      <c r="H243" s="9"/>
      <c r="I243" s="9"/>
      <c r="J243" s="9"/>
      <c r="K243" s="9"/>
      <c r="L243" s="9" t="s">
        <v>3</v>
      </c>
      <c r="M243" s="9" t="s">
        <v>58</v>
      </c>
      <c r="N243" s="9" t="s">
        <v>66</v>
      </c>
    </row>
    <row r="244" spans="1:14" ht="14" x14ac:dyDescent="0.15">
      <c r="A244" s="9" t="s">
        <v>588</v>
      </c>
      <c r="B244" s="9" t="s">
        <v>241</v>
      </c>
      <c r="C244" s="9" t="s">
        <v>568</v>
      </c>
      <c r="D244" s="9" t="s">
        <v>589</v>
      </c>
      <c r="E244" s="9" t="s">
        <v>243</v>
      </c>
      <c r="F244" s="9" t="s">
        <v>52</v>
      </c>
      <c r="G244" s="9" t="s">
        <v>69</v>
      </c>
      <c r="H244" s="9"/>
      <c r="I244" s="9"/>
      <c r="J244" s="9"/>
      <c r="K244" s="9"/>
      <c r="L244" s="9" t="s">
        <v>3</v>
      </c>
      <c r="M244" s="9" t="s">
        <v>58</v>
      </c>
      <c r="N244" s="9" t="s">
        <v>66</v>
      </c>
    </row>
    <row r="245" spans="1:14" ht="14" x14ac:dyDescent="0.15">
      <c r="A245" s="9" t="s">
        <v>590</v>
      </c>
      <c r="B245" s="9" t="s">
        <v>241</v>
      </c>
      <c r="C245" s="9" t="s">
        <v>568</v>
      </c>
      <c r="D245" s="9" t="s">
        <v>591</v>
      </c>
      <c r="E245" s="9" t="s">
        <v>243</v>
      </c>
      <c r="F245" s="9" t="s">
        <v>52</v>
      </c>
      <c r="G245" s="9" t="s">
        <v>69</v>
      </c>
      <c r="H245" s="9"/>
      <c r="I245" s="9"/>
      <c r="J245" s="9"/>
      <c r="K245" s="9"/>
      <c r="L245" s="9" t="s">
        <v>3</v>
      </c>
      <c r="M245" s="9" t="s">
        <v>58</v>
      </c>
      <c r="N245" s="9" t="s">
        <v>66</v>
      </c>
    </row>
    <row r="246" spans="1:14" ht="14" x14ac:dyDescent="0.15">
      <c r="A246" s="9" t="s">
        <v>592</v>
      </c>
      <c r="B246" s="9" t="s">
        <v>241</v>
      </c>
      <c r="C246" s="9" t="s">
        <v>593</v>
      </c>
      <c r="D246" s="9" t="s">
        <v>594</v>
      </c>
      <c r="E246" s="9" t="s">
        <v>243</v>
      </c>
      <c r="F246" s="9" t="s">
        <v>52</v>
      </c>
      <c r="G246" s="9" t="s">
        <v>69</v>
      </c>
      <c r="H246" s="9"/>
      <c r="I246" s="9"/>
      <c r="J246" s="9"/>
      <c r="K246" s="9"/>
      <c r="L246" s="9" t="s">
        <v>3</v>
      </c>
      <c r="M246" s="9" t="s">
        <v>58</v>
      </c>
      <c r="N246" s="9" t="s">
        <v>66</v>
      </c>
    </row>
    <row r="247" spans="1:14" ht="14" x14ac:dyDescent="0.15">
      <c r="A247" s="9" t="s">
        <v>595</v>
      </c>
      <c r="B247" s="9" t="s">
        <v>241</v>
      </c>
      <c r="C247" s="9" t="s">
        <v>593</v>
      </c>
      <c r="D247" s="9" t="s">
        <v>596</v>
      </c>
      <c r="E247" s="9" t="s">
        <v>243</v>
      </c>
      <c r="F247" s="9" t="s">
        <v>52</v>
      </c>
      <c r="G247" s="9" t="s">
        <v>69</v>
      </c>
      <c r="H247" s="9"/>
      <c r="I247" s="9"/>
      <c r="J247" s="9"/>
      <c r="K247" s="9"/>
      <c r="L247" s="9" t="s">
        <v>3</v>
      </c>
      <c r="M247" s="9" t="s">
        <v>58</v>
      </c>
      <c r="N247" s="9" t="s">
        <v>66</v>
      </c>
    </row>
    <row r="248" spans="1:14" ht="14" x14ac:dyDescent="0.15">
      <c r="A248" s="9" t="s">
        <v>597</v>
      </c>
      <c r="B248" s="9" t="s">
        <v>241</v>
      </c>
      <c r="C248" s="9" t="s">
        <v>593</v>
      </c>
      <c r="D248" s="9" t="s">
        <v>598</v>
      </c>
      <c r="E248" s="9" t="s">
        <v>243</v>
      </c>
      <c r="F248" s="9" t="s">
        <v>52</v>
      </c>
      <c r="G248" s="9" t="s">
        <v>69</v>
      </c>
      <c r="H248" s="9"/>
      <c r="I248" s="9"/>
      <c r="J248" s="9"/>
      <c r="K248" s="9"/>
      <c r="L248" s="9" t="s">
        <v>3</v>
      </c>
      <c r="M248" s="9" t="s">
        <v>58</v>
      </c>
      <c r="N248" s="9" t="s">
        <v>66</v>
      </c>
    </row>
    <row r="249" spans="1:14" ht="14" x14ac:dyDescent="0.15">
      <c r="A249" s="9" t="s">
        <v>599</v>
      </c>
      <c r="B249" s="9" t="s">
        <v>241</v>
      </c>
      <c r="C249" s="9" t="s">
        <v>593</v>
      </c>
      <c r="D249" s="9" t="s">
        <v>600</v>
      </c>
      <c r="E249" s="9" t="s">
        <v>243</v>
      </c>
      <c r="F249" s="9" t="s">
        <v>52</v>
      </c>
      <c r="G249" s="9" t="s">
        <v>69</v>
      </c>
      <c r="H249" s="9"/>
      <c r="I249" s="9"/>
      <c r="J249" s="9"/>
      <c r="K249" s="9"/>
      <c r="L249" s="9" t="s">
        <v>3</v>
      </c>
      <c r="M249" s="9" t="s">
        <v>58</v>
      </c>
      <c r="N249" s="9" t="s">
        <v>66</v>
      </c>
    </row>
    <row r="250" spans="1:14" ht="14" x14ac:dyDescent="0.15">
      <c r="A250" s="9" t="s">
        <v>601</v>
      </c>
      <c r="B250" s="9" t="s">
        <v>241</v>
      </c>
      <c r="C250" s="9" t="s">
        <v>593</v>
      </c>
      <c r="D250" s="9" t="s">
        <v>602</v>
      </c>
      <c r="E250" s="9" t="s">
        <v>243</v>
      </c>
      <c r="F250" s="9" t="s">
        <v>52</v>
      </c>
      <c r="G250" s="9" t="s">
        <v>69</v>
      </c>
      <c r="H250" s="9"/>
      <c r="I250" s="9"/>
      <c r="J250" s="9"/>
      <c r="K250" s="9"/>
      <c r="L250" s="9" t="s">
        <v>3</v>
      </c>
      <c r="M250" s="9" t="s">
        <v>58</v>
      </c>
      <c r="N250" s="9" t="s">
        <v>66</v>
      </c>
    </row>
    <row r="251" spans="1:14" ht="14" x14ac:dyDescent="0.15">
      <c r="A251" s="9" t="s">
        <v>603</v>
      </c>
      <c r="B251" s="9" t="s">
        <v>241</v>
      </c>
      <c r="C251" s="9" t="s">
        <v>593</v>
      </c>
      <c r="D251" s="9" t="s">
        <v>604</v>
      </c>
      <c r="E251" s="9" t="s">
        <v>243</v>
      </c>
      <c r="F251" s="9" t="s">
        <v>52</v>
      </c>
      <c r="G251" s="9" t="s">
        <v>69</v>
      </c>
      <c r="H251" s="9"/>
      <c r="I251" s="9"/>
      <c r="J251" s="9"/>
      <c r="K251" s="9"/>
      <c r="L251" s="9" t="s">
        <v>3</v>
      </c>
      <c r="M251" s="9" t="s">
        <v>58</v>
      </c>
      <c r="N251" s="9" t="s">
        <v>66</v>
      </c>
    </row>
    <row r="252" spans="1:14" ht="14" x14ac:dyDescent="0.15">
      <c r="A252" s="9" t="s">
        <v>605</v>
      </c>
      <c r="B252" s="9" t="s">
        <v>241</v>
      </c>
      <c r="C252" s="9" t="s">
        <v>593</v>
      </c>
      <c r="D252" s="9" t="s">
        <v>606</v>
      </c>
      <c r="E252" s="9" t="s">
        <v>243</v>
      </c>
      <c r="F252" s="9" t="s">
        <v>52</v>
      </c>
      <c r="G252" s="9" t="s">
        <v>69</v>
      </c>
      <c r="H252" s="9"/>
      <c r="I252" s="9"/>
      <c r="J252" s="9"/>
      <c r="K252" s="9"/>
      <c r="L252" s="9" t="s">
        <v>3</v>
      </c>
      <c r="M252" s="9" t="s">
        <v>58</v>
      </c>
      <c r="N252" s="9" t="s">
        <v>66</v>
      </c>
    </row>
    <row r="253" spans="1:14" ht="14" x14ac:dyDescent="0.15">
      <c r="A253" s="9" t="s">
        <v>607</v>
      </c>
      <c r="B253" s="9" t="s">
        <v>241</v>
      </c>
      <c r="C253" s="9" t="s">
        <v>593</v>
      </c>
      <c r="D253" s="9" t="s">
        <v>608</v>
      </c>
      <c r="E253" s="9" t="s">
        <v>243</v>
      </c>
      <c r="F253" s="9" t="s">
        <v>52</v>
      </c>
      <c r="G253" s="9" t="s">
        <v>69</v>
      </c>
      <c r="H253" s="9"/>
      <c r="I253" s="9"/>
      <c r="J253" s="9"/>
      <c r="K253" s="9"/>
      <c r="L253" s="9" t="s">
        <v>3</v>
      </c>
      <c r="M253" s="9" t="s">
        <v>58</v>
      </c>
      <c r="N253" s="9" t="s">
        <v>66</v>
      </c>
    </row>
    <row r="254" spans="1:14" ht="14" x14ac:dyDescent="0.15">
      <c r="A254" s="9" t="s">
        <v>609</v>
      </c>
      <c r="B254" s="9" t="s">
        <v>241</v>
      </c>
      <c r="C254" s="9" t="s">
        <v>593</v>
      </c>
      <c r="D254" s="9" t="s">
        <v>610</v>
      </c>
      <c r="E254" s="9" t="s">
        <v>243</v>
      </c>
      <c r="F254" s="9" t="s">
        <v>52</v>
      </c>
      <c r="G254" s="9" t="s">
        <v>69</v>
      </c>
      <c r="H254" s="9"/>
      <c r="I254" s="9"/>
      <c r="J254" s="9"/>
      <c r="K254" s="9"/>
      <c r="L254" s="9" t="s">
        <v>3</v>
      </c>
      <c r="M254" s="9" t="s">
        <v>58</v>
      </c>
      <c r="N254" s="9" t="s">
        <v>66</v>
      </c>
    </row>
    <row r="255" spans="1:14" ht="14" x14ac:dyDescent="0.15">
      <c r="A255" s="9" t="s">
        <v>611</v>
      </c>
      <c r="B255" s="9" t="s">
        <v>241</v>
      </c>
      <c r="C255" s="9" t="s">
        <v>612</v>
      </c>
      <c r="D255" s="9" t="s">
        <v>613</v>
      </c>
      <c r="E255" s="9" t="s">
        <v>243</v>
      </c>
      <c r="F255" s="9" t="s">
        <v>52</v>
      </c>
      <c r="G255" s="9" t="s">
        <v>69</v>
      </c>
      <c r="H255" s="9"/>
      <c r="I255" s="9"/>
      <c r="J255" s="9"/>
      <c r="K255" s="9"/>
      <c r="L255" s="9" t="s">
        <v>3</v>
      </c>
      <c r="M255" s="9" t="s">
        <v>58</v>
      </c>
      <c r="N255" s="9" t="s">
        <v>66</v>
      </c>
    </row>
    <row r="256" spans="1:14" ht="14" x14ac:dyDescent="0.15">
      <c r="A256" s="9" t="s">
        <v>614</v>
      </c>
      <c r="B256" s="9" t="s">
        <v>241</v>
      </c>
      <c r="C256" s="9" t="s">
        <v>615</v>
      </c>
      <c r="D256" s="9" t="s">
        <v>616</v>
      </c>
      <c r="E256" s="9" t="s">
        <v>243</v>
      </c>
      <c r="F256" s="9" t="s">
        <v>52</v>
      </c>
      <c r="G256" s="9" t="s">
        <v>69</v>
      </c>
      <c r="H256" s="9"/>
      <c r="I256" s="9"/>
      <c r="J256" s="9"/>
      <c r="K256" s="9"/>
      <c r="L256" s="9" t="s">
        <v>3</v>
      </c>
      <c r="M256" s="9" t="s">
        <v>58</v>
      </c>
      <c r="N256" s="9" t="s">
        <v>66</v>
      </c>
    </row>
    <row r="257" spans="1:14" ht="14" x14ac:dyDescent="0.15">
      <c r="A257" s="9" t="s">
        <v>617</v>
      </c>
      <c r="B257" s="9" t="s">
        <v>241</v>
      </c>
      <c r="C257" s="9" t="s">
        <v>615</v>
      </c>
      <c r="D257" s="9" t="s">
        <v>618</v>
      </c>
      <c r="E257" s="9" t="s">
        <v>243</v>
      </c>
      <c r="F257" s="9" t="s">
        <v>52</v>
      </c>
      <c r="G257" s="9" t="s">
        <v>69</v>
      </c>
      <c r="H257" s="9"/>
      <c r="I257" s="9"/>
      <c r="J257" s="9"/>
      <c r="K257" s="9"/>
      <c r="L257" s="9" t="s">
        <v>3</v>
      </c>
      <c r="M257" s="9" t="s">
        <v>58</v>
      </c>
      <c r="N257" s="9" t="s">
        <v>66</v>
      </c>
    </row>
    <row r="258" spans="1:14" ht="14" x14ac:dyDescent="0.15">
      <c r="A258" s="9" t="s">
        <v>619</v>
      </c>
      <c r="B258" s="9" t="s">
        <v>241</v>
      </c>
      <c r="C258" s="9" t="s">
        <v>615</v>
      </c>
      <c r="D258" s="9" t="s">
        <v>620</v>
      </c>
      <c r="E258" s="9" t="s">
        <v>243</v>
      </c>
      <c r="F258" s="9" t="s">
        <v>52</v>
      </c>
      <c r="G258" s="9" t="s">
        <v>69</v>
      </c>
      <c r="H258" s="9"/>
      <c r="I258" s="9"/>
      <c r="J258" s="9"/>
      <c r="K258" s="9"/>
      <c r="L258" s="9" t="s">
        <v>3</v>
      </c>
      <c r="M258" s="9" t="s">
        <v>58</v>
      </c>
      <c r="N258" s="9" t="s">
        <v>66</v>
      </c>
    </row>
    <row r="259" spans="1:14" ht="14" x14ac:dyDescent="0.15">
      <c r="A259" s="9" t="s">
        <v>621</v>
      </c>
      <c r="B259" s="9" t="s">
        <v>241</v>
      </c>
      <c r="C259" s="9" t="s">
        <v>622</v>
      </c>
      <c r="D259" s="9" t="s">
        <v>623</v>
      </c>
      <c r="E259" s="9" t="s">
        <v>243</v>
      </c>
      <c r="F259" s="9" t="s">
        <v>52</v>
      </c>
      <c r="G259" s="9" t="s">
        <v>69</v>
      </c>
      <c r="H259" s="9"/>
      <c r="I259" s="9"/>
      <c r="J259" s="9"/>
      <c r="K259" s="9"/>
      <c r="L259" s="9" t="s">
        <v>3</v>
      </c>
      <c r="M259" s="9" t="s">
        <v>58</v>
      </c>
      <c r="N259" s="9" t="s">
        <v>66</v>
      </c>
    </row>
    <row r="260" spans="1:14" ht="14" x14ac:dyDescent="0.15">
      <c r="A260" s="9" t="s">
        <v>624</v>
      </c>
      <c r="B260" s="9" t="s">
        <v>241</v>
      </c>
      <c r="C260" s="9" t="s">
        <v>622</v>
      </c>
      <c r="D260" s="9" t="s">
        <v>625</v>
      </c>
      <c r="E260" s="9" t="s">
        <v>243</v>
      </c>
      <c r="F260" s="9" t="s">
        <v>52</v>
      </c>
      <c r="G260" s="9" t="s">
        <v>69</v>
      </c>
      <c r="H260" s="9"/>
      <c r="I260" s="9"/>
      <c r="J260" s="9"/>
      <c r="K260" s="9"/>
      <c r="L260" s="9" t="s">
        <v>3</v>
      </c>
      <c r="M260" s="9" t="s">
        <v>58</v>
      </c>
      <c r="N260" s="9" t="s">
        <v>66</v>
      </c>
    </row>
    <row r="261" spans="1:14" ht="14" x14ac:dyDescent="0.15">
      <c r="A261" s="9" t="s">
        <v>626</v>
      </c>
      <c r="B261" s="9" t="s">
        <v>241</v>
      </c>
      <c r="C261" s="9" t="s">
        <v>622</v>
      </c>
      <c r="D261" s="9" t="s">
        <v>627</v>
      </c>
      <c r="E261" s="9" t="s">
        <v>243</v>
      </c>
      <c r="F261" s="9" t="s">
        <v>52</v>
      </c>
      <c r="G261" s="9" t="s">
        <v>69</v>
      </c>
      <c r="H261" s="9"/>
      <c r="I261" s="9"/>
      <c r="J261" s="9"/>
      <c r="K261" s="9"/>
      <c r="L261" s="9" t="s">
        <v>3</v>
      </c>
      <c r="M261" s="9" t="s">
        <v>58</v>
      </c>
      <c r="N261" s="9" t="s">
        <v>66</v>
      </c>
    </row>
    <row r="262" spans="1:14" ht="14" x14ac:dyDescent="0.15">
      <c r="A262" s="9" t="s">
        <v>628</v>
      </c>
      <c r="B262" s="9" t="s">
        <v>241</v>
      </c>
      <c r="C262" s="9" t="s">
        <v>622</v>
      </c>
      <c r="D262" s="9" t="s">
        <v>629</v>
      </c>
      <c r="E262" s="9" t="s">
        <v>243</v>
      </c>
      <c r="F262" s="9" t="s">
        <v>52</v>
      </c>
      <c r="G262" s="9" t="s">
        <v>69</v>
      </c>
      <c r="H262" s="9"/>
      <c r="I262" s="9"/>
      <c r="J262" s="9"/>
      <c r="K262" s="9"/>
      <c r="L262" s="9" t="s">
        <v>3</v>
      </c>
      <c r="M262" s="9" t="s">
        <v>58</v>
      </c>
      <c r="N262" s="9" t="s">
        <v>66</v>
      </c>
    </row>
    <row r="263" spans="1:14" ht="14" x14ac:dyDescent="0.15">
      <c r="A263" s="9" t="s">
        <v>630</v>
      </c>
      <c r="B263" s="9" t="s">
        <v>241</v>
      </c>
      <c r="C263" s="9" t="s">
        <v>622</v>
      </c>
      <c r="D263" s="9" t="s">
        <v>631</v>
      </c>
      <c r="E263" s="9" t="s">
        <v>243</v>
      </c>
      <c r="F263" s="9" t="s">
        <v>52</v>
      </c>
      <c r="G263" s="9" t="s">
        <v>69</v>
      </c>
      <c r="H263" s="9"/>
      <c r="I263" s="9"/>
      <c r="J263" s="9"/>
      <c r="K263" s="9"/>
      <c r="L263" s="9" t="s">
        <v>3</v>
      </c>
      <c r="M263" s="9" t="s">
        <v>58</v>
      </c>
      <c r="N263" s="9" t="s">
        <v>66</v>
      </c>
    </row>
    <row r="264" spans="1:14" ht="14" x14ac:dyDescent="0.15">
      <c r="A264" s="9" t="s">
        <v>632</v>
      </c>
      <c r="B264" s="9" t="s">
        <v>241</v>
      </c>
      <c r="C264" s="9" t="s">
        <v>633</v>
      </c>
      <c r="D264" s="9" t="s">
        <v>634</v>
      </c>
      <c r="E264" s="9" t="s">
        <v>243</v>
      </c>
      <c r="F264" s="9" t="s">
        <v>52</v>
      </c>
      <c r="G264" s="9" t="s">
        <v>69</v>
      </c>
      <c r="H264" s="9"/>
      <c r="I264" s="9"/>
      <c r="J264" s="9"/>
      <c r="K264" s="9"/>
      <c r="L264" s="9" t="s">
        <v>3</v>
      </c>
      <c r="M264" s="9" t="s">
        <v>58</v>
      </c>
      <c r="N264" s="9" t="s">
        <v>66</v>
      </c>
    </row>
    <row r="265" spans="1:14" ht="14" x14ac:dyDescent="0.15">
      <c r="A265" s="9" t="s">
        <v>635</v>
      </c>
      <c r="B265" s="9" t="s">
        <v>241</v>
      </c>
      <c r="C265" s="9" t="s">
        <v>633</v>
      </c>
      <c r="D265" s="9" t="s">
        <v>636</v>
      </c>
      <c r="E265" s="9" t="s">
        <v>243</v>
      </c>
      <c r="F265" s="9" t="s">
        <v>52</v>
      </c>
      <c r="G265" s="9" t="s">
        <v>69</v>
      </c>
      <c r="H265" s="9"/>
      <c r="I265" s="9"/>
      <c r="J265" s="9"/>
      <c r="K265" s="9"/>
      <c r="L265" s="9" t="s">
        <v>3</v>
      </c>
      <c r="M265" s="9" t="s">
        <v>58</v>
      </c>
      <c r="N265" s="9" t="s">
        <v>66</v>
      </c>
    </row>
    <row r="266" spans="1:14" ht="14" x14ac:dyDescent="0.15">
      <c r="A266" s="9" t="s">
        <v>637</v>
      </c>
      <c r="B266" s="9" t="s">
        <v>241</v>
      </c>
      <c r="C266" s="9" t="s">
        <v>633</v>
      </c>
      <c r="D266" s="9" t="s">
        <v>638</v>
      </c>
      <c r="E266" s="9" t="s">
        <v>243</v>
      </c>
      <c r="F266" s="9" t="s">
        <v>52</v>
      </c>
      <c r="G266" s="9" t="s">
        <v>69</v>
      </c>
      <c r="H266" s="9"/>
      <c r="I266" s="9"/>
      <c r="J266" s="9"/>
      <c r="K266" s="9"/>
      <c r="L266" s="9" t="s">
        <v>3</v>
      </c>
      <c r="M266" s="9" t="s">
        <v>58</v>
      </c>
      <c r="N266" s="9" t="s">
        <v>66</v>
      </c>
    </row>
    <row r="267" spans="1:14" ht="14" x14ac:dyDescent="0.15">
      <c r="A267" s="9" t="s">
        <v>639</v>
      </c>
      <c r="B267" s="9" t="s">
        <v>241</v>
      </c>
      <c r="C267" s="9" t="s">
        <v>633</v>
      </c>
      <c r="D267" s="9" t="s">
        <v>640</v>
      </c>
      <c r="E267" s="9" t="s">
        <v>243</v>
      </c>
      <c r="F267" s="9" t="s">
        <v>52</v>
      </c>
      <c r="G267" s="9" t="s">
        <v>69</v>
      </c>
      <c r="H267" s="9"/>
      <c r="I267" s="9"/>
      <c r="J267" s="9"/>
      <c r="K267" s="9"/>
      <c r="L267" s="9" t="s">
        <v>3</v>
      </c>
      <c r="M267" s="9" t="s">
        <v>58</v>
      </c>
      <c r="N267" s="9" t="s">
        <v>66</v>
      </c>
    </row>
    <row r="268" spans="1:14" ht="28" x14ac:dyDescent="0.15">
      <c r="A268" s="9" t="s">
        <v>641</v>
      </c>
      <c r="B268" s="9" t="s">
        <v>241</v>
      </c>
      <c r="C268" s="9" t="s">
        <v>633</v>
      </c>
      <c r="D268" s="9" t="s">
        <v>642</v>
      </c>
      <c r="E268" s="9" t="s">
        <v>243</v>
      </c>
      <c r="F268" s="9" t="s">
        <v>52</v>
      </c>
      <c r="G268" s="9" t="s">
        <v>69</v>
      </c>
      <c r="H268" s="9"/>
      <c r="I268" s="9"/>
      <c r="J268" s="9"/>
      <c r="K268" s="9"/>
      <c r="L268" s="9" t="s">
        <v>3</v>
      </c>
      <c r="M268" s="9" t="s">
        <v>58</v>
      </c>
      <c r="N268" s="9" t="s">
        <v>66</v>
      </c>
    </row>
    <row r="269" spans="1:14" ht="28" x14ac:dyDescent="0.15">
      <c r="A269" s="9" t="s">
        <v>643</v>
      </c>
      <c r="B269" s="9" t="s">
        <v>241</v>
      </c>
      <c r="C269" s="9" t="s">
        <v>633</v>
      </c>
      <c r="D269" s="9" t="s">
        <v>644</v>
      </c>
      <c r="E269" s="9" t="s">
        <v>243</v>
      </c>
      <c r="F269" s="9" t="s">
        <v>52</v>
      </c>
      <c r="G269" s="9" t="s">
        <v>69</v>
      </c>
      <c r="H269" s="9"/>
      <c r="I269" s="9"/>
      <c r="J269" s="9"/>
      <c r="K269" s="9"/>
      <c r="L269" s="9" t="s">
        <v>3</v>
      </c>
      <c r="M269" s="9" t="s">
        <v>58</v>
      </c>
      <c r="N269" s="9" t="s">
        <v>66</v>
      </c>
    </row>
    <row r="270" spans="1:14" ht="28" x14ac:dyDescent="0.15">
      <c r="A270" s="9" t="s">
        <v>645</v>
      </c>
      <c r="B270" s="9" t="s">
        <v>241</v>
      </c>
      <c r="C270" s="9" t="s">
        <v>633</v>
      </c>
      <c r="D270" s="9" t="s">
        <v>646</v>
      </c>
      <c r="E270" s="9" t="s">
        <v>243</v>
      </c>
      <c r="F270" s="9" t="s">
        <v>52</v>
      </c>
      <c r="G270" s="9" t="s">
        <v>69</v>
      </c>
      <c r="H270" s="9"/>
      <c r="I270" s="9"/>
      <c r="J270" s="9"/>
      <c r="K270" s="9"/>
      <c r="L270" s="9" t="s">
        <v>3</v>
      </c>
      <c r="M270" s="9" t="s">
        <v>58</v>
      </c>
      <c r="N270" s="9" t="s">
        <v>66</v>
      </c>
    </row>
    <row r="271" spans="1:14" ht="28" x14ac:dyDescent="0.15">
      <c r="A271" s="9" t="s">
        <v>647</v>
      </c>
      <c r="B271" s="9" t="s">
        <v>241</v>
      </c>
      <c r="C271" s="9" t="s">
        <v>633</v>
      </c>
      <c r="D271" s="9" t="s">
        <v>648</v>
      </c>
      <c r="E271" s="9" t="s">
        <v>243</v>
      </c>
      <c r="F271" s="9" t="s">
        <v>52</v>
      </c>
      <c r="G271" s="9" t="s">
        <v>69</v>
      </c>
      <c r="H271" s="9"/>
      <c r="I271" s="9"/>
      <c r="J271" s="9"/>
      <c r="K271" s="9"/>
      <c r="L271" s="9" t="s">
        <v>3</v>
      </c>
      <c r="M271" s="9" t="s">
        <v>58</v>
      </c>
      <c r="N271" s="9" t="s">
        <v>66</v>
      </c>
    </row>
    <row r="272" spans="1:14" ht="14" x14ac:dyDescent="0.15">
      <c r="A272" s="9" t="s">
        <v>649</v>
      </c>
      <c r="B272" s="9" t="s">
        <v>241</v>
      </c>
      <c r="C272" s="9" t="s">
        <v>650</v>
      </c>
      <c r="D272" s="9" t="s">
        <v>651</v>
      </c>
      <c r="E272" s="9" t="s">
        <v>243</v>
      </c>
      <c r="F272" s="9" t="s">
        <v>52</v>
      </c>
      <c r="G272" s="9" t="s">
        <v>69</v>
      </c>
      <c r="H272" s="9"/>
      <c r="I272" s="9"/>
      <c r="J272" s="9"/>
      <c r="K272" s="9"/>
      <c r="L272" s="9" t="s">
        <v>3</v>
      </c>
      <c r="M272" s="9" t="s">
        <v>58</v>
      </c>
      <c r="N272" s="9" t="s">
        <v>66</v>
      </c>
    </row>
    <row r="273" spans="1:14" ht="14" x14ac:dyDescent="0.15">
      <c r="A273" s="9" t="s">
        <v>652</v>
      </c>
      <c r="B273" s="9" t="s">
        <v>241</v>
      </c>
      <c r="C273" s="9" t="s">
        <v>650</v>
      </c>
      <c r="D273" s="9" t="s">
        <v>653</v>
      </c>
      <c r="E273" s="9" t="s">
        <v>243</v>
      </c>
      <c r="F273" s="9" t="s">
        <v>52</v>
      </c>
      <c r="G273" s="9" t="s">
        <v>69</v>
      </c>
      <c r="H273" s="9"/>
      <c r="I273" s="9"/>
      <c r="J273" s="9"/>
      <c r="K273" s="9"/>
      <c r="L273" s="9" t="s">
        <v>3</v>
      </c>
      <c r="M273" s="9" t="s">
        <v>58</v>
      </c>
      <c r="N273" s="9" t="s">
        <v>66</v>
      </c>
    </row>
    <row r="274" spans="1:14" ht="14" x14ac:dyDescent="0.15">
      <c r="A274" s="9" t="s">
        <v>654</v>
      </c>
      <c r="B274" s="9" t="s">
        <v>241</v>
      </c>
      <c r="C274" s="9" t="s">
        <v>650</v>
      </c>
      <c r="D274" s="9" t="s">
        <v>655</v>
      </c>
      <c r="E274" s="9" t="s">
        <v>243</v>
      </c>
      <c r="F274" s="9" t="s">
        <v>52</v>
      </c>
      <c r="G274" s="9" t="s">
        <v>69</v>
      </c>
      <c r="H274" s="9"/>
      <c r="I274" s="9"/>
      <c r="J274" s="9"/>
      <c r="K274" s="9"/>
      <c r="L274" s="9" t="s">
        <v>3</v>
      </c>
      <c r="M274" s="9" t="s">
        <v>58</v>
      </c>
      <c r="N274" s="9" t="s">
        <v>66</v>
      </c>
    </row>
    <row r="275" spans="1:14" ht="14" x14ac:dyDescent="0.15">
      <c r="A275" s="9" t="s">
        <v>656</v>
      </c>
      <c r="B275" s="9" t="s">
        <v>241</v>
      </c>
      <c r="C275" s="9" t="s">
        <v>650</v>
      </c>
      <c r="D275" s="9" t="s">
        <v>657</v>
      </c>
      <c r="E275" s="9" t="s">
        <v>243</v>
      </c>
      <c r="F275" s="9" t="s">
        <v>52</v>
      </c>
      <c r="G275" s="9" t="s">
        <v>69</v>
      </c>
      <c r="H275" s="9"/>
      <c r="I275" s="9"/>
      <c r="J275" s="9"/>
      <c r="K275" s="9"/>
      <c r="L275" s="9" t="s">
        <v>3</v>
      </c>
      <c r="M275" s="9" t="s">
        <v>58</v>
      </c>
      <c r="N275" s="9" t="s">
        <v>66</v>
      </c>
    </row>
    <row r="276" spans="1:14" ht="14" x14ac:dyDescent="0.15">
      <c r="A276" s="9" t="s">
        <v>658</v>
      </c>
      <c r="B276" s="9" t="s">
        <v>241</v>
      </c>
      <c r="C276" s="9" t="s">
        <v>650</v>
      </c>
      <c r="D276" s="9" t="s">
        <v>659</v>
      </c>
      <c r="E276" s="9" t="s">
        <v>243</v>
      </c>
      <c r="F276" s="9" t="s">
        <v>52</v>
      </c>
      <c r="G276" s="9" t="s">
        <v>69</v>
      </c>
      <c r="H276" s="9"/>
      <c r="I276" s="9"/>
      <c r="J276" s="9"/>
      <c r="K276" s="9"/>
      <c r="L276" s="9" t="s">
        <v>3</v>
      </c>
      <c r="M276" s="9" t="s">
        <v>58</v>
      </c>
      <c r="N276" s="9" t="s">
        <v>66</v>
      </c>
    </row>
    <row r="277" spans="1:14" ht="14" x14ac:dyDescent="0.15">
      <c r="A277" s="9" t="s">
        <v>660</v>
      </c>
      <c r="B277" s="9" t="s">
        <v>241</v>
      </c>
      <c r="C277" s="9" t="s">
        <v>650</v>
      </c>
      <c r="D277" s="9" t="s">
        <v>661</v>
      </c>
      <c r="E277" s="9" t="s">
        <v>243</v>
      </c>
      <c r="F277" s="9" t="s">
        <v>52</v>
      </c>
      <c r="G277" s="9" t="s">
        <v>69</v>
      </c>
      <c r="H277" s="9"/>
      <c r="I277" s="9"/>
      <c r="J277" s="9"/>
      <c r="K277" s="9"/>
      <c r="L277" s="9" t="s">
        <v>3</v>
      </c>
      <c r="M277" s="9" t="s">
        <v>58</v>
      </c>
      <c r="N277" s="9" t="s">
        <v>66</v>
      </c>
    </row>
    <row r="278" spans="1:14" ht="14" x14ac:dyDescent="0.15">
      <c r="A278" s="9" t="s">
        <v>662</v>
      </c>
      <c r="B278" s="9" t="s">
        <v>241</v>
      </c>
      <c r="C278" s="9" t="s">
        <v>650</v>
      </c>
      <c r="D278" s="9" t="s">
        <v>663</v>
      </c>
      <c r="E278" s="9" t="s">
        <v>243</v>
      </c>
      <c r="F278" s="9" t="s">
        <v>52</v>
      </c>
      <c r="G278" s="9" t="s">
        <v>69</v>
      </c>
      <c r="H278" s="9"/>
      <c r="I278" s="9"/>
      <c r="J278" s="9"/>
      <c r="K278" s="9"/>
      <c r="L278" s="9" t="s">
        <v>3</v>
      </c>
      <c r="M278" s="9" t="s">
        <v>58</v>
      </c>
      <c r="N278" s="9" t="s">
        <v>66</v>
      </c>
    </row>
    <row r="279" spans="1:14" ht="14" x14ac:dyDescent="0.15">
      <c r="A279" s="9" t="s">
        <v>664</v>
      </c>
      <c r="B279" s="9" t="s">
        <v>241</v>
      </c>
      <c r="C279" s="9" t="s">
        <v>650</v>
      </c>
      <c r="D279" s="9" t="s">
        <v>665</v>
      </c>
      <c r="E279" s="9" t="s">
        <v>243</v>
      </c>
      <c r="F279" s="9" t="s">
        <v>52</v>
      </c>
      <c r="G279" s="9" t="s">
        <v>69</v>
      </c>
      <c r="H279" s="9"/>
      <c r="I279" s="9"/>
      <c r="J279" s="9"/>
      <c r="K279" s="9"/>
      <c r="L279" s="9" t="s">
        <v>3</v>
      </c>
      <c r="M279" s="9" t="s">
        <v>58</v>
      </c>
      <c r="N279" s="9" t="s">
        <v>66</v>
      </c>
    </row>
    <row r="280" spans="1:14" ht="14" x14ac:dyDescent="0.15">
      <c r="A280" s="9" t="s">
        <v>666</v>
      </c>
      <c r="B280" s="9" t="s">
        <v>241</v>
      </c>
      <c r="C280" s="9" t="s">
        <v>650</v>
      </c>
      <c r="D280" s="9" t="s">
        <v>667</v>
      </c>
      <c r="E280" s="9" t="s">
        <v>243</v>
      </c>
      <c r="F280" s="9" t="s">
        <v>52</v>
      </c>
      <c r="G280" s="9" t="s">
        <v>69</v>
      </c>
      <c r="H280" s="9"/>
      <c r="I280" s="9"/>
      <c r="J280" s="9"/>
      <c r="K280" s="9"/>
      <c r="L280" s="9" t="s">
        <v>3</v>
      </c>
      <c r="M280" s="9" t="s">
        <v>58</v>
      </c>
      <c r="N280" s="9" t="s">
        <v>66</v>
      </c>
    </row>
    <row r="281" spans="1:14" ht="14" x14ac:dyDescent="0.15">
      <c r="A281" s="9" t="s">
        <v>668</v>
      </c>
      <c r="B281" s="9" t="s">
        <v>241</v>
      </c>
      <c r="C281" s="9" t="s">
        <v>650</v>
      </c>
      <c r="D281" s="9" t="s">
        <v>669</v>
      </c>
      <c r="E281" s="9" t="s">
        <v>243</v>
      </c>
      <c r="F281" s="9" t="s">
        <v>52</v>
      </c>
      <c r="G281" s="9" t="s">
        <v>69</v>
      </c>
      <c r="H281" s="9"/>
      <c r="I281" s="9"/>
      <c r="J281" s="9"/>
      <c r="K281" s="9"/>
      <c r="L281" s="9" t="s">
        <v>3</v>
      </c>
      <c r="M281" s="9" t="s">
        <v>58</v>
      </c>
      <c r="N281" s="9" t="s">
        <v>66</v>
      </c>
    </row>
    <row r="282" spans="1:14" ht="14" x14ac:dyDescent="0.15">
      <c r="A282" s="9" t="s">
        <v>670</v>
      </c>
      <c r="B282" s="9" t="s">
        <v>241</v>
      </c>
      <c r="C282" s="9" t="s">
        <v>650</v>
      </c>
      <c r="D282" s="9" t="s">
        <v>671</v>
      </c>
      <c r="E282" s="9" t="s">
        <v>243</v>
      </c>
      <c r="F282" s="9" t="s">
        <v>52</v>
      </c>
      <c r="G282" s="9" t="s">
        <v>69</v>
      </c>
      <c r="H282" s="9"/>
      <c r="I282" s="9"/>
      <c r="J282" s="9"/>
      <c r="K282" s="9"/>
      <c r="L282" s="9" t="s">
        <v>3</v>
      </c>
      <c r="M282" s="9" t="s">
        <v>58</v>
      </c>
      <c r="N282" s="9" t="s">
        <v>66</v>
      </c>
    </row>
    <row r="283" spans="1:14" ht="14" x14ac:dyDescent="0.15">
      <c r="A283" s="9" t="s">
        <v>672</v>
      </c>
      <c r="B283" s="9" t="s">
        <v>241</v>
      </c>
      <c r="C283" s="9" t="s">
        <v>650</v>
      </c>
      <c r="D283" s="9" t="s">
        <v>673</v>
      </c>
      <c r="E283" s="9" t="s">
        <v>243</v>
      </c>
      <c r="F283" s="9" t="s">
        <v>52</v>
      </c>
      <c r="G283" s="9" t="s">
        <v>69</v>
      </c>
      <c r="H283" s="9"/>
      <c r="I283" s="9"/>
      <c r="J283" s="9"/>
      <c r="K283" s="9"/>
      <c r="L283" s="9" t="s">
        <v>3</v>
      </c>
      <c r="M283" s="9" t="s">
        <v>58</v>
      </c>
      <c r="N283" s="9" t="s">
        <v>66</v>
      </c>
    </row>
    <row r="284" spans="1:14" ht="14" x14ac:dyDescent="0.15">
      <c r="A284" s="9" t="s">
        <v>674</v>
      </c>
      <c r="B284" s="9" t="s">
        <v>241</v>
      </c>
      <c r="C284" s="9" t="s">
        <v>650</v>
      </c>
      <c r="D284" s="9" t="s">
        <v>675</v>
      </c>
      <c r="E284" s="9" t="s">
        <v>243</v>
      </c>
      <c r="F284" s="9" t="s">
        <v>52</v>
      </c>
      <c r="G284" s="9" t="s">
        <v>69</v>
      </c>
      <c r="H284" s="9"/>
      <c r="I284" s="9"/>
      <c r="J284" s="9"/>
      <c r="K284" s="9"/>
      <c r="L284" s="9" t="s">
        <v>3</v>
      </c>
      <c r="M284" s="9" t="s">
        <v>58</v>
      </c>
      <c r="N284" s="9" t="s">
        <v>66</v>
      </c>
    </row>
    <row r="285" spans="1:14" ht="14" x14ac:dyDescent="0.15">
      <c r="A285" s="9" t="s">
        <v>676</v>
      </c>
      <c r="B285" s="9" t="s">
        <v>241</v>
      </c>
      <c r="C285" s="9" t="s">
        <v>650</v>
      </c>
      <c r="D285" s="9" t="s">
        <v>677</v>
      </c>
      <c r="E285" s="9" t="s">
        <v>243</v>
      </c>
      <c r="F285" s="9" t="s">
        <v>52</v>
      </c>
      <c r="G285" s="9" t="s">
        <v>69</v>
      </c>
      <c r="H285" s="9"/>
      <c r="I285" s="9"/>
      <c r="J285" s="9"/>
      <c r="K285" s="9"/>
      <c r="L285" s="9" t="s">
        <v>3</v>
      </c>
      <c r="M285" s="9" t="s">
        <v>58</v>
      </c>
      <c r="N285" s="9" t="s">
        <v>66</v>
      </c>
    </row>
    <row r="286" spans="1:14" ht="14" x14ac:dyDescent="0.15">
      <c r="A286" s="9" t="s">
        <v>678</v>
      </c>
      <c r="B286" s="9" t="s">
        <v>241</v>
      </c>
      <c r="C286" s="9" t="s">
        <v>650</v>
      </c>
      <c r="D286" s="9" t="s">
        <v>679</v>
      </c>
      <c r="E286" s="9" t="s">
        <v>243</v>
      </c>
      <c r="F286" s="9" t="s">
        <v>52</v>
      </c>
      <c r="G286" s="9" t="s">
        <v>69</v>
      </c>
      <c r="H286" s="9"/>
      <c r="I286" s="9"/>
      <c r="J286" s="9"/>
      <c r="K286" s="9"/>
      <c r="L286" s="9" t="s">
        <v>3</v>
      </c>
      <c r="M286" s="9" t="s">
        <v>58</v>
      </c>
      <c r="N286" s="9" t="s">
        <v>66</v>
      </c>
    </row>
    <row r="287" spans="1:14" ht="14" x14ac:dyDescent="0.15">
      <c r="A287" s="9" t="s">
        <v>680</v>
      </c>
      <c r="B287" s="9" t="s">
        <v>241</v>
      </c>
      <c r="C287" s="9" t="s">
        <v>650</v>
      </c>
      <c r="D287" s="9" t="s">
        <v>681</v>
      </c>
      <c r="E287" s="9" t="s">
        <v>243</v>
      </c>
      <c r="F287" s="9" t="s">
        <v>52</v>
      </c>
      <c r="G287" s="9" t="s">
        <v>69</v>
      </c>
      <c r="H287" s="9"/>
      <c r="I287" s="9"/>
      <c r="J287" s="9"/>
      <c r="K287" s="9"/>
      <c r="L287" s="9" t="s">
        <v>3</v>
      </c>
      <c r="M287" s="9" t="s">
        <v>58</v>
      </c>
      <c r="N287" s="9" t="s">
        <v>66</v>
      </c>
    </row>
    <row r="288" spans="1:14" ht="14" x14ac:dyDescent="0.15">
      <c r="A288" s="9" t="s">
        <v>682</v>
      </c>
      <c r="B288" s="9" t="s">
        <v>241</v>
      </c>
      <c r="C288" s="9" t="s">
        <v>650</v>
      </c>
      <c r="D288" s="9" t="s">
        <v>683</v>
      </c>
      <c r="E288" s="9" t="s">
        <v>243</v>
      </c>
      <c r="F288" s="9" t="s">
        <v>52</v>
      </c>
      <c r="G288" s="9" t="s">
        <v>69</v>
      </c>
      <c r="H288" s="9"/>
      <c r="I288" s="9"/>
      <c r="J288" s="9"/>
      <c r="K288" s="9"/>
      <c r="L288" s="9" t="s">
        <v>3</v>
      </c>
      <c r="M288" s="9" t="s">
        <v>58</v>
      </c>
      <c r="N288" s="9" t="s">
        <v>66</v>
      </c>
    </row>
    <row r="289" spans="1:14" ht="14" x14ac:dyDescent="0.15">
      <c r="A289" s="9" t="s">
        <v>684</v>
      </c>
      <c r="B289" s="9" t="s">
        <v>241</v>
      </c>
      <c r="C289" s="9" t="s">
        <v>650</v>
      </c>
      <c r="D289" s="9" t="s">
        <v>685</v>
      </c>
      <c r="E289" s="9" t="s">
        <v>243</v>
      </c>
      <c r="F289" s="9" t="s">
        <v>52</v>
      </c>
      <c r="G289" s="9" t="s">
        <v>69</v>
      </c>
      <c r="H289" s="9"/>
      <c r="I289" s="9"/>
      <c r="J289" s="9"/>
      <c r="K289" s="9"/>
      <c r="L289" s="9" t="s">
        <v>3</v>
      </c>
      <c r="M289" s="9" t="s">
        <v>58</v>
      </c>
      <c r="N289" s="9" t="s">
        <v>66</v>
      </c>
    </row>
    <row r="290" spans="1:14" ht="14" x14ac:dyDescent="0.15">
      <c r="A290" s="9" t="s">
        <v>686</v>
      </c>
      <c r="B290" s="9" t="s">
        <v>241</v>
      </c>
      <c r="C290" s="9" t="s">
        <v>650</v>
      </c>
      <c r="D290" s="9" t="s">
        <v>687</v>
      </c>
      <c r="E290" s="9" t="s">
        <v>243</v>
      </c>
      <c r="F290" s="9" t="s">
        <v>52</v>
      </c>
      <c r="G290" s="9" t="s">
        <v>69</v>
      </c>
      <c r="H290" s="9"/>
      <c r="I290" s="9"/>
      <c r="J290" s="9"/>
      <c r="K290" s="9"/>
      <c r="L290" s="9" t="s">
        <v>3</v>
      </c>
      <c r="M290" s="9" t="s">
        <v>58</v>
      </c>
      <c r="N290" s="9" t="s">
        <v>66</v>
      </c>
    </row>
    <row r="291" spans="1:14" ht="14" x14ac:dyDescent="0.15">
      <c r="A291" s="9" t="s">
        <v>688</v>
      </c>
      <c r="B291" s="9" t="s">
        <v>241</v>
      </c>
      <c r="C291" s="9" t="s">
        <v>650</v>
      </c>
      <c r="D291" s="9" t="s">
        <v>689</v>
      </c>
      <c r="E291" s="9" t="s">
        <v>243</v>
      </c>
      <c r="F291" s="9" t="s">
        <v>52</v>
      </c>
      <c r="G291" s="9" t="s">
        <v>69</v>
      </c>
      <c r="H291" s="9"/>
      <c r="I291" s="9"/>
      <c r="J291" s="9"/>
      <c r="K291" s="9"/>
      <c r="L291" s="9" t="s">
        <v>3</v>
      </c>
      <c r="M291" s="9" t="s">
        <v>58</v>
      </c>
      <c r="N291" s="9" t="s">
        <v>66</v>
      </c>
    </row>
    <row r="292" spans="1:14" ht="14" x14ac:dyDescent="0.15">
      <c r="A292" s="9" t="s">
        <v>690</v>
      </c>
      <c r="B292" s="9" t="s">
        <v>241</v>
      </c>
      <c r="C292" s="9" t="s">
        <v>650</v>
      </c>
      <c r="D292" s="9" t="s">
        <v>691</v>
      </c>
      <c r="E292" s="9" t="s">
        <v>243</v>
      </c>
      <c r="F292" s="9" t="s">
        <v>52</v>
      </c>
      <c r="G292" s="9" t="s">
        <v>69</v>
      </c>
      <c r="H292" s="9"/>
      <c r="I292" s="9"/>
      <c r="J292" s="9"/>
      <c r="K292" s="9"/>
      <c r="L292" s="9" t="s">
        <v>3</v>
      </c>
      <c r="M292" s="9" t="s">
        <v>58</v>
      </c>
      <c r="N292" s="9" t="s">
        <v>66</v>
      </c>
    </row>
    <row r="293" spans="1:14" ht="14" x14ac:dyDescent="0.15">
      <c r="A293" s="9" t="s">
        <v>692</v>
      </c>
      <c r="B293" s="9" t="s">
        <v>241</v>
      </c>
      <c r="C293" s="9" t="s">
        <v>650</v>
      </c>
      <c r="D293" s="9" t="s">
        <v>693</v>
      </c>
      <c r="E293" s="9" t="s">
        <v>243</v>
      </c>
      <c r="F293" s="9" t="s">
        <v>52</v>
      </c>
      <c r="G293" s="9" t="s">
        <v>69</v>
      </c>
      <c r="H293" s="9"/>
      <c r="I293" s="9"/>
      <c r="J293" s="9"/>
      <c r="K293" s="9"/>
      <c r="L293" s="9" t="s">
        <v>3</v>
      </c>
      <c r="M293" s="9" t="s">
        <v>58</v>
      </c>
      <c r="N293" s="9" t="s">
        <v>66</v>
      </c>
    </row>
    <row r="294" spans="1:14" ht="14" x14ac:dyDescent="0.15">
      <c r="A294" s="9" t="s">
        <v>694</v>
      </c>
      <c r="B294" s="9" t="s">
        <v>241</v>
      </c>
      <c r="C294" s="9" t="s">
        <v>650</v>
      </c>
      <c r="D294" s="9" t="s">
        <v>695</v>
      </c>
      <c r="E294" s="9" t="s">
        <v>243</v>
      </c>
      <c r="F294" s="9" t="s">
        <v>52</v>
      </c>
      <c r="G294" s="9" t="s">
        <v>69</v>
      </c>
      <c r="H294" s="9"/>
      <c r="I294" s="9"/>
      <c r="J294" s="9"/>
      <c r="K294" s="9"/>
      <c r="L294" s="9" t="s">
        <v>3</v>
      </c>
      <c r="M294" s="9" t="s">
        <v>58</v>
      </c>
      <c r="N294" s="9" t="s">
        <v>66</v>
      </c>
    </row>
    <row r="295" spans="1:14" ht="14" x14ac:dyDescent="0.15">
      <c r="A295" s="9" t="s">
        <v>696</v>
      </c>
      <c r="B295" s="9" t="s">
        <v>241</v>
      </c>
      <c r="C295" s="9" t="s">
        <v>650</v>
      </c>
      <c r="D295" s="9" t="s">
        <v>697</v>
      </c>
      <c r="E295" s="9" t="s">
        <v>243</v>
      </c>
      <c r="F295" s="9" t="s">
        <v>52</v>
      </c>
      <c r="G295" s="9" t="s">
        <v>69</v>
      </c>
      <c r="H295" s="9"/>
      <c r="I295" s="9"/>
      <c r="J295" s="9"/>
      <c r="K295" s="9"/>
      <c r="L295" s="9" t="s">
        <v>3</v>
      </c>
      <c r="M295" s="9" t="s">
        <v>58</v>
      </c>
      <c r="N295" s="9" t="s">
        <v>66</v>
      </c>
    </row>
    <row r="296" spans="1:14" ht="14" x14ac:dyDescent="0.15">
      <c r="A296" s="9" t="s">
        <v>698</v>
      </c>
      <c r="B296" s="9" t="s">
        <v>241</v>
      </c>
      <c r="C296" s="9" t="s">
        <v>650</v>
      </c>
      <c r="D296" s="9" t="s">
        <v>699</v>
      </c>
      <c r="E296" s="9" t="s">
        <v>243</v>
      </c>
      <c r="F296" s="9" t="s">
        <v>52</v>
      </c>
      <c r="G296" s="9" t="s">
        <v>69</v>
      </c>
      <c r="H296" s="9"/>
      <c r="I296" s="9"/>
      <c r="J296" s="9"/>
      <c r="K296" s="9"/>
      <c r="L296" s="9" t="s">
        <v>3</v>
      </c>
      <c r="M296" s="9" t="s">
        <v>58</v>
      </c>
      <c r="N296" s="9" t="s">
        <v>66</v>
      </c>
    </row>
    <row r="297" spans="1:14" ht="14" x14ac:dyDescent="0.15">
      <c r="A297" s="9" t="s">
        <v>700</v>
      </c>
      <c r="B297" s="9" t="s">
        <v>241</v>
      </c>
      <c r="C297" s="9" t="s">
        <v>701</v>
      </c>
      <c r="D297" s="9" t="s">
        <v>702</v>
      </c>
      <c r="E297" s="9" t="s">
        <v>243</v>
      </c>
      <c r="F297" s="9" t="s">
        <v>52</v>
      </c>
      <c r="G297" s="9" t="s">
        <v>69</v>
      </c>
      <c r="H297" s="9"/>
      <c r="I297" s="9"/>
      <c r="J297" s="9"/>
      <c r="K297" s="9"/>
      <c r="L297" s="9" t="s">
        <v>3</v>
      </c>
      <c r="M297" s="9" t="s">
        <v>58</v>
      </c>
      <c r="N297" s="9" t="s">
        <v>66</v>
      </c>
    </row>
    <row r="298" spans="1:14" ht="14" x14ac:dyDescent="0.15">
      <c r="A298" s="9" t="s">
        <v>703</v>
      </c>
      <c r="B298" s="9" t="s">
        <v>241</v>
      </c>
      <c r="C298" s="9" t="s">
        <v>701</v>
      </c>
      <c r="D298" s="9" t="s">
        <v>704</v>
      </c>
      <c r="E298" s="9" t="s">
        <v>243</v>
      </c>
      <c r="F298" s="9" t="s">
        <v>52</v>
      </c>
      <c r="G298" s="9" t="s">
        <v>69</v>
      </c>
      <c r="H298" s="9"/>
      <c r="I298" s="9"/>
      <c r="J298" s="9"/>
      <c r="K298" s="9"/>
      <c r="L298" s="9" t="s">
        <v>3</v>
      </c>
      <c r="M298" s="9" t="s">
        <v>58</v>
      </c>
      <c r="N298" s="9" t="s">
        <v>66</v>
      </c>
    </row>
    <row r="299" spans="1:14" ht="14" x14ac:dyDescent="0.15">
      <c r="A299" s="9" t="s">
        <v>705</v>
      </c>
      <c r="B299" s="9" t="s">
        <v>241</v>
      </c>
      <c r="C299" s="9" t="s">
        <v>701</v>
      </c>
      <c r="D299" s="9" t="s">
        <v>706</v>
      </c>
      <c r="E299" s="9" t="s">
        <v>243</v>
      </c>
      <c r="F299" s="9" t="s">
        <v>52</v>
      </c>
      <c r="G299" s="9" t="s">
        <v>69</v>
      </c>
      <c r="H299" s="9"/>
      <c r="I299" s="9"/>
      <c r="J299" s="9"/>
      <c r="K299" s="9"/>
      <c r="L299" s="9" t="s">
        <v>3</v>
      </c>
      <c r="M299" s="9" t="s">
        <v>58</v>
      </c>
      <c r="N299" s="9" t="s">
        <v>66</v>
      </c>
    </row>
    <row r="300" spans="1:14" ht="14" x14ac:dyDescent="0.15">
      <c r="A300" s="9" t="s">
        <v>707</v>
      </c>
      <c r="B300" s="9" t="s">
        <v>241</v>
      </c>
      <c r="C300" s="9" t="s">
        <v>701</v>
      </c>
      <c r="D300" s="9" t="s">
        <v>708</v>
      </c>
      <c r="E300" s="9" t="s">
        <v>243</v>
      </c>
      <c r="F300" s="9" t="s">
        <v>52</v>
      </c>
      <c r="G300" s="9" t="s">
        <v>69</v>
      </c>
      <c r="H300" s="9"/>
      <c r="I300" s="9"/>
      <c r="J300" s="9"/>
      <c r="K300" s="9"/>
      <c r="L300" s="9" t="s">
        <v>3</v>
      </c>
      <c r="M300" s="9" t="s">
        <v>58</v>
      </c>
      <c r="N300" s="9" t="s">
        <v>66</v>
      </c>
    </row>
    <row r="301" spans="1:14" ht="14" x14ac:dyDescent="0.15">
      <c r="A301" s="9" t="s">
        <v>709</v>
      </c>
      <c r="B301" s="9" t="s">
        <v>241</v>
      </c>
      <c r="C301" s="9" t="s">
        <v>701</v>
      </c>
      <c r="D301" s="9" t="s">
        <v>710</v>
      </c>
      <c r="E301" s="9" t="s">
        <v>243</v>
      </c>
      <c r="F301" s="9" t="s">
        <v>52</v>
      </c>
      <c r="G301" s="9" t="s">
        <v>69</v>
      </c>
      <c r="H301" s="9"/>
      <c r="I301" s="9"/>
      <c r="J301" s="9"/>
      <c r="K301" s="9"/>
      <c r="L301" s="9" t="s">
        <v>3</v>
      </c>
      <c r="M301" s="9" t="s">
        <v>58</v>
      </c>
      <c r="N301" s="9" t="s">
        <v>66</v>
      </c>
    </row>
    <row r="302" spans="1:14" ht="14" x14ac:dyDescent="0.15">
      <c r="A302" s="9" t="s">
        <v>711</v>
      </c>
      <c r="B302" s="9" t="s">
        <v>241</v>
      </c>
      <c r="C302" s="9" t="s">
        <v>701</v>
      </c>
      <c r="D302" s="9" t="s">
        <v>712</v>
      </c>
      <c r="E302" s="9" t="s">
        <v>243</v>
      </c>
      <c r="F302" s="9" t="s">
        <v>52</v>
      </c>
      <c r="G302" s="9" t="s">
        <v>69</v>
      </c>
      <c r="H302" s="9"/>
      <c r="I302" s="9"/>
      <c r="J302" s="9"/>
      <c r="K302" s="9"/>
      <c r="L302" s="9" t="s">
        <v>3</v>
      </c>
      <c r="M302" s="9" t="s">
        <v>58</v>
      </c>
      <c r="N302" s="9" t="s">
        <v>66</v>
      </c>
    </row>
    <row r="303" spans="1:14" ht="14" x14ac:dyDescent="0.15">
      <c r="A303" s="9" t="s">
        <v>713</v>
      </c>
      <c r="B303" s="9" t="s">
        <v>241</v>
      </c>
      <c r="C303" s="9" t="s">
        <v>701</v>
      </c>
      <c r="D303" s="9" t="s">
        <v>714</v>
      </c>
      <c r="E303" s="9" t="s">
        <v>243</v>
      </c>
      <c r="F303" s="9" t="s">
        <v>52</v>
      </c>
      <c r="G303" s="9" t="s">
        <v>69</v>
      </c>
      <c r="H303" s="9"/>
      <c r="I303" s="9"/>
      <c r="J303" s="9"/>
      <c r="K303" s="9"/>
      <c r="L303" s="9" t="s">
        <v>3</v>
      </c>
      <c r="M303" s="9" t="s">
        <v>58</v>
      </c>
      <c r="N303" s="9" t="s">
        <v>66</v>
      </c>
    </row>
    <row r="304" spans="1:14" ht="14" x14ac:dyDescent="0.15">
      <c r="A304" s="9" t="s">
        <v>715</v>
      </c>
      <c r="B304" s="9" t="s">
        <v>241</v>
      </c>
      <c r="C304" s="9" t="s">
        <v>701</v>
      </c>
      <c r="D304" s="9" t="s">
        <v>716</v>
      </c>
      <c r="E304" s="9" t="s">
        <v>243</v>
      </c>
      <c r="F304" s="9" t="s">
        <v>52</v>
      </c>
      <c r="G304" s="9" t="s">
        <v>69</v>
      </c>
      <c r="H304" s="9"/>
      <c r="I304" s="9"/>
      <c r="J304" s="9"/>
      <c r="K304" s="9"/>
      <c r="L304" s="9" t="s">
        <v>3</v>
      </c>
      <c r="M304" s="9" t="s">
        <v>58</v>
      </c>
      <c r="N304" s="9" t="s">
        <v>66</v>
      </c>
    </row>
    <row r="305" spans="1:14" ht="14" x14ac:dyDescent="0.15">
      <c r="A305" s="9" t="s">
        <v>717</v>
      </c>
      <c r="B305" s="9" t="s">
        <v>241</v>
      </c>
      <c r="C305" s="9" t="s">
        <v>701</v>
      </c>
      <c r="D305" s="9" t="s">
        <v>718</v>
      </c>
      <c r="E305" s="9" t="s">
        <v>243</v>
      </c>
      <c r="F305" s="9" t="s">
        <v>52</v>
      </c>
      <c r="G305" s="9" t="s">
        <v>69</v>
      </c>
      <c r="H305" s="9"/>
      <c r="I305" s="9"/>
      <c r="J305" s="9"/>
      <c r="K305" s="9"/>
      <c r="L305" s="9" t="s">
        <v>3</v>
      </c>
      <c r="M305" s="9" t="s">
        <v>58</v>
      </c>
      <c r="N305" s="9" t="s">
        <v>66</v>
      </c>
    </row>
    <row r="306" spans="1:14" ht="14" x14ac:dyDescent="0.15">
      <c r="A306" s="9" t="s">
        <v>719</v>
      </c>
      <c r="B306" s="9" t="s">
        <v>241</v>
      </c>
      <c r="C306" s="9" t="s">
        <v>701</v>
      </c>
      <c r="D306" s="9" t="s">
        <v>720</v>
      </c>
      <c r="E306" s="9" t="s">
        <v>243</v>
      </c>
      <c r="F306" s="9" t="s">
        <v>52</v>
      </c>
      <c r="G306" s="9" t="s">
        <v>69</v>
      </c>
      <c r="H306" s="9"/>
      <c r="I306" s="9"/>
      <c r="J306" s="9"/>
      <c r="K306" s="9"/>
      <c r="L306" s="9" t="s">
        <v>3</v>
      </c>
      <c r="M306" s="9" t="s">
        <v>58</v>
      </c>
      <c r="N306" s="9" t="s">
        <v>66</v>
      </c>
    </row>
    <row r="307" spans="1:14" ht="28" x14ac:dyDescent="0.15">
      <c r="A307" s="9" t="s">
        <v>721</v>
      </c>
      <c r="B307" s="9" t="s">
        <v>241</v>
      </c>
      <c r="C307" s="9" t="s">
        <v>722</v>
      </c>
      <c r="D307" s="9" t="s">
        <v>723</v>
      </c>
      <c r="E307" s="9" t="s">
        <v>243</v>
      </c>
      <c r="F307" s="9" t="s">
        <v>52</v>
      </c>
      <c r="G307" s="9" t="s">
        <v>69</v>
      </c>
      <c r="H307" s="9"/>
      <c r="I307" s="9"/>
      <c r="J307" s="9"/>
      <c r="K307" s="9"/>
      <c r="L307" s="9" t="s">
        <v>3</v>
      </c>
      <c r="M307" s="9" t="s">
        <v>58</v>
      </c>
      <c r="N307" s="9" t="s">
        <v>66</v>
      </c>
    </row>
    <row r="308" spans="1:14" ht="28" x14ac:dyDescent="0.15">
      <c r="A308" s="9" t="s">
        <v>724</v>
      </c>
      <c r="B308" s="9" t="s">
        <v>241</v>
      </c>
      <c r="C308" s="9" t="s">
        <v>722</v>
      </c>
      <c r="D308" s="9" t="s">
        <v>725</v>
      </c>
      <c r="E308" s="9" t="s">
        <v>243</v>
      </c>
      <c r="F308" s="9" t="s">
        <v>52</v>
      </c>
      <c r="G308" s="9" t="s">
        <v>69</v>
      </c>
      <c r="H308" s="9"/>
      <c r="I308" s="9"/>
      <c r="J308" s="9"/>
      <c r="K308" s="9"/>
      <c r="L308" s="9" t="s">
        <v>3</v>
      </c>
      <c r="M308" s="9" t="s">
        <v>58</v>
      </c>
      <c r="N308" s="9" t="s">
        <v>66</v>
      </c>
    </row>
    <row r="309" spans="1:14" ht="28" x14ac:dyDescent="0.15">
      <c r="A309" s="9" t="s">
        <v>726</v>
      </c>
      <c r="B309" s="9" t="s">
        <v>241</v>
      </c>
      <c r="C309" s="9" t="s">
        <v>722</v>
      </c>
      <c r="D309" s="9" t="s">
        <v>727</v>
      </c>
      <c r="E309" s="9" t="s">
        <v>243</v>
      </c>
      <c r="F309" s="9" t="s">
        <v>52</v>
      </c>
      <c r="G309" s="9" t="s">
        <v>69</v>
      </c>
      <c r="H309" s="9"/>
      <c r="I309" s="9"/>
      <c r="J309" s="9"/>
      <c r="K309" s="9"/>
      <c r="L309" s="9" t="s">
        <v>3</v>
      </c>
      <c r="M309" s="9" t="s">
        <v>58</v>
      </c>
      <c r="N309" s="9" t="s">
        <v>66</v>
      </c>
    </row>
    <row r="310" spans="1:14" ht="28" x14ac:dyDescent="0.15">
      <c r="A310" s="9" t="s">
        <v>728</v>
      </c>
      <c r="B310" s="9" t="s">
        <v>241</v>
      </c>
      <c r="C310" s="9" t="s">
        <v>722</v>
      </c>
      <c r="D310" s="9" t="s">
        <v>729</v>
      </c>
      <c r="E310" s="9" t="s">
        <v>243</v>
      </c>
      <c r="F310" s="9" t="s">
        <v>52</v>
      </c>
      <c r="G310" s="9" t="s">
        <v>69</v>
      </c>
      <c r="H310" s="9"/>
      <c r="I310" s="9"/>
      <c r="J310" s="9"/>
      <c r="K310" s="9"/>
      <c r="L310" s="9" t="s">
        <v>3</v>
      </c>
      <c r="M310" s="9" t="s">
        <v>58</v>
      </c>
      <c r="N310" s="9" t="s">
        <v>66</v>
      </c>
    </row>
    <row r="311" spans="1:14" ht="14" x14ac:dyDescent="0.15">
      <c r="A311" s="9" t="s">
        <v>730</v>
      </c>
      <c r="B311" s="9" t="s">
        <v>241</v>
      </c>
      <c r="C311" s="9" t="s">
        <v>152</v>
      </c>
      <c r="D311" s="9" t="s">
        <v>731</v>
      </c>
      <c r="E311" s="9" t="s">
        <v>243</v>
      </c>
      <c r="F311" s="9" t="s">
        <v>52</v>
      </c>
      <c r="G311" s="9" t="s">
        <v>69</v>
      </c>
      <c r="H311" s="9"/>
      <c r="I311" s="9"/>
      <c r="J311" s="9"/>
      <c r="K311" s="9"/>
      <c r="L311" s="9" t="s">
        <v>3</v>
      </c>
      <c r="M311" s="9" t="s">
        <v>58</v>
      </c>
      <c r="N311" s="9" t="s">
        <v>66</v>
      </c>
    </row>
    <row r="312" spans="1:14" ht="14" x14ac:dyDescent="0.15">
      <c r="A312" s="9" t="s">
        <v>732</v>
      </c>
      <c r="B312" s="9" t="s">
        <v>241</v>
      </c>
      <c r="C312" s="9" t="s">
        <v>152</v>
      </c>
      <c r="D312" s="9" t="s">
        <v>733</v>
      </c>
      <c r="E312" s="9" t="s">
        <v>243</v>
      </c>
      <c r="F312" s="9" t="s">
        <v>52</v>
      </c>
      <c r="G312" s="9" t="s">
        <v>69</v>
      </c>
      <c r="H312" s="9"/>
      <c r="I312" s="9"/>
      <c r="J312" s="9"/>
      <c r="K312" s="9"/>
      <c r="L312" s="9" t="s">
        <v>3</v>
      </c>
      <c r="M312" s="9" t="s">
        <v>58</v>
      </c>
      <c r="N312" s="9" t="s">
        <v>66</v>
      </c>
    </row>
    <row r="313" spans="1:14" ht="14" x14ac:dyDescent="0.15">
      <c r="A313" s="9" t="s">
        <v>734</v>
      </c>
      <c r="B313" s="9" t="s">
        <v>241</v>
      </c>
      <c r="C313" s="9" t="s">
        <v>152</v>
      </c>
      <c r="D313" s="9" t="s">
        <v>735</v>
      </c>
      <c r="E313" s="9" t="s">
        <v>243</v>
      </c>
      <c r="F313" s="9" t="s">
        <v>52</v>
      </c>
      <c r="G313" s="9" t="s">
        <v>69</v>
      </c>
      <c r="H313" s="9"/>
      <c r="I313" s="9"/>
      <c r="J313" s="9"/>
      <c r="K313" s="9"/>
      <c r="L313" s="9" t="s">
        <v>3</v>
      </c>
      <c r="M313" s="9" t="s">
        <v>58</v>
      </c>
      <c r="N313" s="9" t="s">
        <v>66</v>
      </c>
    </row>
    <row r="314" spans="1:14" ht="14" x14ac:dyDescent="0.15">
      <c r="A314" s="9" t="s">
        <v>736</v>
      </c>
      <c r="B314" s="9" t="s">
        <v>241</v>
      </c>
      <c r="C314" s="9" t="s">
        <v>152</v>
      </c>
      <c r="D314" s="9" t="s">
        <v>737</v>
      </c>
      <c r="E314" s="9" t="s">
        <v>243</v>
      </c>
      <c r="F314" s="9" t="s">
        <v>52</v>
      </c>
      <c r="G314" s="9" t="s">
        <v>69</v>
      </c>
      <c r="H314" s="9"/>
      <c r="I314" s="9"/>
      <c r="J314" s="9"/>
      <c r="K314" s="9"/>
      <c r="L314" s="9" t="s">
        <v>3</v>
      </c>
      <c r="M314" s="9" t="s">
        <v>58</v>
      </c>
      <c r="N314" s="9" t="s">
        <v>66</v>
      </c>
    </row>
    <row r="315" spans="1:14" ht="14" x14ac:dyDescent="0.15">
      <c r="A315" s="9" t="s">
        <v>738</v>
      </c>
      <c r="B315" s="9" t="s">
        <v>241</v>
      </c>
      <c r="C315" s="9" t="s">
        <v>152</v>
      </c>
      <c r="D315" s="9" t="s">
        <v>739</v>
      </c>
      <c r="E315" s="9" t="s">
        <v>243</v>
      </c>
      <c r="F315" s="9" t="s">
        <v>52</v>
      </c>
      <c r="G315" s="9" t="s">
        <v>69</v>
      </c>
      <c r="H315" s="9"/>
      <c r="I315" s="9"/>
      <c r="J315" s="9"/>
      <c r="K315" s="9"/>
      <c r="L315" s="9" t="s">
        <v>3</v>
      </c>
      <c r="M315" s="9" t="s">
        <v>58</v>
      </c>
      <c r="N315" s="9" t="s">
        <v>66</v>
      </c>
    </row>
    <row r="316" spans="1:14" ht="14" x14ac:dyDescent="0.15">
      <c r="A316" s="9" t="s">
        <v>740</v>
      </c>
      <c r="B316" s="9" t="s">
        <v>241</v>
      </c>
      <c r="C316" s="9" t="s">
        <v>152</v>
      </c>
      <c r="D316" s="9" t="s">
        <v>741</v>
      </c>
      <c r="E316" s="9" t="s">
        <v>243</v>
      </c>
      <c r="F316" s="9" t="s">
        <v>52</v>
      </c>
      <c r="G316" s="9" t="s">
        <v>69</v>
      </c>
      <c r="H316" s="9"/>
      <c r="I316" s="9"/>
      <c r="J316" s="9"/>
      <c r="K316" s="9"/>
      <c r="L316" s="9" t="s">
        <v>3</v>
      </c>
      <c r="M316" s="9" t="s">
        <v>58</v>
      </c>
      <c r="N316" s="9" t="s">
        <v>66</v>
      </c>
    </row>
    <row r="317" spans="1:14" ht="14" x14ac:dyDescent="0.15">
      <c r="A317" s="9" t="s">
        <v>742</v>
      </c>
      <c r="B317" s="9" t="s">
        <v>241</v>
      </c>
      <c r="C317" s="9" t="s">
        <v>152</v>
      </c>
      <c r="D317" s="9" t="s">
        <v>743</v>
      </c>
      <c r="E317" s="9" t="s">
        <v>243</v>
      </c>
      <c r="F317" s="9" t="s">
        <v>52</v>
      </c>
      <c r="G317" s="9" t="s">
        <v>69</v>
      </c>
      <c r="H317" s="9"/>
      <c r="I317" s="9"/>
      <c r="J317" s="9"/>
      <c r="K317" s="9"/>
      <c r="L317" s="9" t="s">
        <v>3</v>
      </c>
      <c r="M317" s="9" t="s">
        <v>58</v>
      </c>
      <c r="N317" s="9" t="s">
        <v>66</v>
      </c>
    </row>
    <row r="318" spans="1:14" ht="14" x14ac:dyDescent="0.15">
      <c r="A318" s="9" t="s">
        <v>744</v>
      </c>
      <c r="B318" s="9" t="s">
        <v>241</v>
      </c>
      <c r="C318" s="9" t="s">
        <v>152</v>
      </c>
      <c r="D318" s="9" t="s">
        <v>745</v>
      </c>
      <c r="E318" s="9" t="s">
        <v>243</v>
      </c>
      <c r="F318" s="9" t="s">
        <v>52</v>
      </c>
      <c r="G318" s="9" t="s">
        <v>69</v>
      </c>
      <c r="H318" s="9"/>
      <c r="I318" s="9"/>
      <c r="J318" s="9"/>
      <c r="K318" s="9"/>
      <c r="L318" s="9" t="s">
        <v>3</v>
      </c>
      <c r="M318" s="9" t="s">
        <v>58</v>
      </c>
      <c r="N318" s="9" t="s">
        <v>66</v>
      </c>
    </row>
    <row r="319" spans="1:14" ht="14" x14ac:dyDescent="0.15">
      <c r="A319" s="9" t="s">
        <v>746</v>
      </c>
      <c r="B319" s="9" t="s">
        <v>241</v>
      </c>
      <c r="C319" s="9" t="s">
        <v>152</v>
      </c>
      <c r="D319" s="9" t="s">
        <v>747</v>
      </c>
      <c r="E319" s="9" t="s">
        <v>243</v>
      </c>
      <c r="F319" s="9" t="s">
        <v>52</v>
      </c>
      <c r="G319" s="9" t="s">
        <v>69</v>
      </c>
      <c r="H319" s="9"/>
      <c r="I319" s="9"/>
      <c r="J319" s="9"/>
      <c r="K319" s="9"/>
      <c r="L319" s="9" t="s">
        <v>3</v>
      </c>
      <c r="M319" s="9" t="s">
        <v>58</v>
      </c>
      <c r="N319" s="9" t="s">
        <v>66</v>
      </c>
    </row>
    <row r="320" spans="1:14" ht="14" x14ac:dyDescent="0.15">
      <c r="A320" s="9" t="s">
        <v>748</v>
      </c>
      <c r="B320" s="9" t="s">
        <v>241</v>
      </c>
      <c r="C320" s="9" t="s">
        <v>152</v>
      </c>
      <c r="D320" s="9" t="s">
        <v>749</v>
      </c>
      <c r="E320" s="9" t="s">
        <v>243</v>
      </c>
      <c r="F320" s="9" t="s">
        <v>52</v>
      </c>
      <c r="G320" s="9" t="s">
        <v>69</v>
      </c>
      <c r="H320" s="9"/>
      <c r="I320" s="9"/>
      <c r="J320" s="9"/>
      <c r="K320" s="9"/>
      <c r="L320" s="9" t="s">
        <v>3</v>
      </c>
      <c r="M320" s="9" t="s">
        <v>58</v>
      </c>
      <c r="N320" s="9" t="s">
        <v>66</v>
      </c>
    </row>
    <row r="321" spans="1:14" ht="14" x14ac:dyDescent="0.15">
      <c r="A321" s="9" t="s">
        <v>750</v>
      </c>
      <c r="B321" s="9" t="s">
        <v>241</v>
      </c>
      <c r="C321" s="9" t="s">
        <v>152</v>
      </c>
      <c r="D321" s="9" t="s">
        <v>751</v>
      </c>
      <c r="E321" s="9" t="s">
        <v>243</v>
      </c>
      <c r="F321" s="9" t="s">
        <v>52</v>
      </c>
      <c r="G321" s="9" t="s">
        <v>69</v>
      </c>
      <c r="H321" s="9"/>
      <c r="I321" s="9"/>
      <c r="J321" s="9"/>
      <c r="K321" s="9"/>
      <c r="L321" s="9" t="s">
        <v>3</v>
      </c>
      <c r="M321" s="9" t="s">
        <v>58</v>
      </c>
      <c r="N321" s="9" t="s">
        <v>66</v>
      </c>
    </row>
    <row r="322" spans="1:14" ht="14" x14ac:dyDescent="0.15">
      <c r="A322" s="9" t="s">
        <v>752</v>
      </c>
      <c r="B322" s="9" t="s">
        <v>241</v>
      </c>
      <c r="C322" s="9" t="s">
        <v>152</v>
      </c>
      <c r="D322" s="9" t="s">
        <v>753</v>
      </c>
      <c r="E322" s="9" t="s">
        <v>243</v>
      </c>
      <c r="F322" s="9" t="s">
        <v>52</v>
      </c>
      <c r="G322" s="9" t="s">
        <v>69</v>
      </c>
      <c r="H322" s="9"/>
      <c r="I322" s="9"/>
      <c r="J322" s="9"/>
      <c r="K322" s="9"/>
      <c r="L322" s="9" t="s">
        <v>3</v>
      </c>
      <c r="M322" s="9" t="s">
        <v>58</v>
      </c>
      <c r="N322" s="9" t="s">
        <v>66</v>
      </c>
    </row>
    <row r="323" spans="1:14" ht="14" x14ac:dyDescent="0.15">
      <c r="A323" s="9" t="s">
        <v>754</v>
      </c>
      <c r="B323" s="9" t="s">
        <v>241</v>
      </c>
      <c r="C323" s="9" t="s">
        <v>152</v>
      </c>
      <c r="D323" s="9" t="s">
        <v>755</v>
      </c>
      <c r="E323" s="9" t="s">
        <v>243</v>
      </c>
      <c r="F323" s="9" t="s">
        <v>52</v>
      </c>
      <c r="G323" s="9" t="s">
        <v>69</v>
      </c>
      <c r="H323" s="9"/>
      <c r="I323" s="9"/>
      <c r="J323" s="9"/>
      <c r="K323" s="9"/>
      <c r="L323" s="9" t="s">
        <v>3</v>
      </c>
      <c r="M323" s="9" t="s">
        <v>58</v>
      </c>
      <c r="N323" s="9" t="s">
        <v>66</v>
      </c>
    </row>
    <row r="324" spans="1:14" ht="14" x14ac:dyDescent="0.15">
      <c r="A324" s="9" t="s">
        <v>756</v>
      </c>
      <c r="B324" s="9" t="s">
        <v>241</v>
      </c>
      <c r="C324" s="9" t="s">
        <v>152</v>
      </c>
      <c r="D324" s="9" t="s">
        <v>757</v>
      </c>
      <c r="E324" s="9" t="s">
        <v>243</v>
      </c>
      <c r="F324" s="9" t="s">
        <v>52</v>
      </c>
      <c r="G324" s="9" t="s">
        <v>69</v>
      </c>
      <c r="H324" s="9"/>
      <c r="I324" s="9"/>
      <c r="J324" s="9"/>
      <c r="K324" s="9"/>
      <c r="L324" s="9" t="s">
        <v>3</v>
      </c>
      <c r="M324" s="9" t="s">
        <v>58</v>
      </c>
      <c r="N324" s="9" t="s">
        <v>66</v>
      </c>
    </row>
    <row r="325" spans="1:14" ht="14" x14ac:dyDescent="0.15">
      <c r="A325" s="9" t="s">
        <v>758</v>
      </c>
      <c r="B325" s="9" t="s">
        <v>241</v>
      </c>
      <c r="C325" s="9" t="s">
        <v>152</v>
      </c>
      <c r="D325" s="9" t="s">
        <v>759</v>
      </c>
      <c r="E325" s="9" t="s">
        <v>243</v>
      </c>
      <c r="F325" s="9" t="s">
        <v>52</v>
      </c>
      <c r="G325" s="9" t="s">
        <v>69</v>
      </c>
      <c r="H325" s="9"/>
      <c r="I325" s="9"/>
      <c r="J325" s="9"/>
      <c r="K325" s="9"/>
      <c r="L325" s="9" t="s">
        <v>3</v>
      </c>
      <c r="M325" s="9" t="s">
        <v>58</v>
      </c>
      <c r="N325" s="9" t="s">
        <v>66</v>
      </c>
    </row>
    <row r="326" spans="1:14" ht="14" x14ac:dyDescent="0.15">
      <c r="A326" s="9" t="s">
        <v>760</v>
      </c>
      <c r="B326" s="9" t="s">
        <v>241</v>
      </c>
      <c r="C326" s="9" t="s">
        <v>152</v>
      </c>
      <c r="D326" s="9" t="s">
        <v>761</v>
      </c>
      <c r="E326" s="9" t="s">
        <v>243</v>
      </c>
      <c r="F326" s="9" t="s">
        <v>52</v>
      </c>
      <c r="G326" s="9" t="s">
        <v>69</v>
      </c>
      <c r="H326" s="9"/>
      <c r="I326" s="9"/>
      <c r="J326" s="9"/>
      <c r="K326" s="9"/>
      <c r="L326" s="9" t="s">
        <v>3</v>
      </c>
      <c r="M326" s="9" t="s">
        <v>58</v>
      </c>
      <c r="N326" s="9" t="s">
        <v>66</v>
      </c>
    </row>
    <row r="327" spans="1:14" ht="14" x14ac:dyDescent="0.15">
      <c r="A327" s="9" t="s">
        <v>762</v>
      </c>
      <c r="B327" s="9" t="s">
        <v>241</v>
      </c>
      <c r="C327" s="9" t="s">
        <v>152</v>
      </c>
      <c r="D327" s="9" t="s">
        <v>763</v>
      </c>
      <c r="E327" s="9" t="s">
        <v>243</v>
      </c>
      <c r="F327" s="9" t="s">
        <v>52</v>
      </c>
      <c r="G327" s="9" t="s">
        <v>69</v>
      </c>
      <c r="H327" s="9"/>
      <c r="I327" s="9"/>
      <c r="J327" s="9"/>
      <c r="K327" s="9"/>
      <c r="L327" s="9" t="s">
        <v>3</v>
      </c>
      <c r="M327" s="9" t="s">
        <v>58</v>
      </c>
      <c r="N327" s="9" t="s">
        <v>66</v>
      </c>
    </row>
    <row r="328" spans="1:14" ht="28" x14ac:dyDescent="0.15">
      <c r="A328" s="9" t="s">
        <v>764</v>
      </c>
      <c r="B328" s="9" t="s">
        <v>241</v>
      </c>
      <c r="C328" s="9" t="s">
        <v>152</v>
      </c>
      <c r="D328" s="9" t="s">
        <v>765</v>
      </c>
      <c r="E328" s="9" t="s">
        <v>243</v>
      </c>
      <c r="F328" s="9" t="s">
        <v>52</v>
      </c>
      <c r="G328" s="9" t="s">
        <v>69</v>
      </c>
      <c r="H328" s="9"/>
      <c r="I328" s="9"/>
      <c r="J328" s="9"/>
      <c r="K328" s="9"/>
      <c r="L328" s="9" t="s">
        <v>3</v>
      </c>
      <c r="M328" s="9" t="s">
        <v>58</v>
      </c>
      <c r="N328" s="9" t="s">
        <v>66</v>
      </c>
    </row>
    <row r="329" spans="1:14" ht="28" x14ac:dyDescent="0.15">
      <c r="A329" s="9" t="s">
        <v>766</v>
      </c>
      <c r="B329" s="9" t="s">
        <v>241</v>
      </c>
      <c r="C329" s="9" t="s">
        <v>152</v>
      </c>
      <c r="D329" s="9" t="s">
        <v>767</v>
      </c>
      <c r="E329" s="9" t="s">
        <v>243</v>
      </c>
      <c r="F329" s="9" t="s">
        <v>52</v>
      </c>
      <c r="G329" s="9" t="s">
        <v>69</v>
      </c>
      <c r="H329" s="9"/>
      <c r="I329" s="9"/>
      <c r="J329" s="9"/>
      <c r="K329" s="9"/>
      <c r="L329" s="9" t="s">
        <v>3</v>
      </c>
      <c r="M329" s="9" t="s">
        <v>58</v>
      </c>
      <c r="N329" s="9" t="s">
        <v>66</v>
      </c>
    </row>
    <row r="330" spans="1:14" ht="28" x14ac:dyDescent="0.15">
      <c r="A330" s="9" t="s">
        <v>768</v>
      </c>
      <c r="B330" s="9" t="s">
        <v>241</v>
      </c>
      <c r="C330" s="9" t="s">
        <v>152</v>
      </c>
      <c r="D330" s="9" t="s">
        <v>769</v>
      </c>
      <c r="E330" s="9" t="s">
        <v>243</v>
      </c>
      <c r="F330" s="9" t="s">
        <v>52</v>
      </c>
      <c r="G330" s="9" t="s">
        <v>69</v>
      </c>
      <c r="H330" s="9"/>
      <c r="I330" s="9"/>
      <c r="J330" s="9"/>
      <c r="K330" s="9"/>
      <c r="L330" s="9" t="s">
        <v>3</v>
      </c>
      <c r="M330" s="9" t="s">
        <v>58</v>
      </c>
      <c r="N330" s="9" t="s">
        <v>66</v>
      </c>
    </row>
    <row r="331" spans="1:14" ht="14" x14ac:dyDescent="0.15">
      <c r="A331" s="9" t="s">
        <v>770</v>
      </c>
      <c r="B331" s="9" t="s">
        <v>241</v>
      </c>
      <c r="C331" s="9" t="s">
        <v>152</v>
      </c>
      <c r="D331" s="9" t="s">
        <v>771</v>
      </c>
      <c r="E331" s="9" t="s">
        <v>243</v>
      </c>
      <c r="F331" s="9" t="s">
        <v>52</v>
      </c>
      <c r="G331" s="9" t="s">
        <v>69</v>
      </c>
      <c r="H331" s="9"/>
      <c r="I331" s="9"/>
      <c r="J331" s="9"/>
      <c r="K331" s="9"/>
      <c r="L331" s="9" t="s">
        <v>3</v>
      </c>
      <c r="M331" s="9" t="s">
        <v>58</v>
      </c>
      <c r="N331" s="9" t="s">
        <v>66</v>
      </c>
    </row>
    <row r="332" spans="1:14" ht="14" x14ac:dyDescent="0.15">
      <c r="A332" s="9" t="s">
        <v>772</v>
      </c>
      <c r="B332" s="9" t="s">
        <v>241</v>
      </c>
      <c r="C332" s="9" t="s">
        <v>152</v>
      </c>
      <c r="D332" s="9" t="s">
        <v>773</v>
      </c>
      <c r="E332" s="9" t="s">
        <v>243</v>
      </c>
      <c r="F332" s="9" t="s">
        <v>52</v>
      </c>
      <c r="G332" s="9" t="s">
        <v>69</v>
      </c>
      <c r="H332" s="9"/>
      <c r="I332" s="9"/>
      <c r="J332" s="9"/>
      <c r="K332" s="9"/>
      <c r="L332" s="9" t="s">
        <v>3</v>
      </c>
      <c r="M332" s="9" t="s">
        <v>58</v>
      </c>
      <c r="N332" s="9" t="s">
        <v>66</v>
      </c>
    </row>
    <row r="333" spans="1:14" ht="14" x14ac:dyDescent="0.15">
      <c r="A333" s="9" t="s">
        <v>774</v>
      </c>
      <c r="B333" s="9" t="s">
        <v>241</v>
      </c>
      <c r="C333" s="9" t="s">
        <v>152</v>
      </c>
      <c r="D333" s="9" t="s">
        <v>775</v>
      </c>
      <c r="E333" s="9" t="s">
        <v>243</v>
      </c>
      <c r="F333" s="9" t="s">
        <v>52</v>
      </c>
      <c r="G333" s="9" t="s">
        <v>69</v>
      </c>
      <c r="H333" s="9"/>
      <c r="I333" s="9"/>
      <c r="J333" s="9"/>
      <c r="K333" s="9"/>
      <c r="L333" s="9" t="s">
        <v>3</v>
      </c>
      <c r="M333" s="9" t="s">
        <v>58</v>
      </c>
      <c r="N333" s="9" t="s">
        <v>66</v>
      </c>
    </row>
    <row r="334" spans="1:14" ht="14" x14ac:dyDescent="0.15">
      <c r="A334" s="9" t="s">
        <v>776</v>
      </c>
      <c r="B334" s="9" t="s">
        <v>241</v>
      </c>
      <c r="C334" s="9" t="s">
        <v>152</v>
      </c>
      <c r="D334" s="9" t="s">
        <v>777</v>
      </c>
      <c r="E334" s="9" t="s">
        <v>243</v>
      </c>
      <c r="F334" s="9" t="s">
        <v>52</v>
      </c>
      <c r="G334" s="9" t="s">
        <v>69</v>
      </c>
      <c r="H334" s="9"/>
      <c r="I334" s="9"/>
      <c r="J334" s="9"/>
      <c r="K334" s="9"/>
      <c r="L334" s="9" t="s">
        <v>3</v>
      </c>
      <c r="M334" s="9" t="s">
        <v>58</v>
      </c>
      <c r="N334" s="9" t="s">
        <v>66</v>
      </c>
    </row>
    <row r="335" spans="1:14" ht="14" x14ac:dyDescent="0.15">
      <c r="A335" s="9" t="s">
        <v>778</v>
      </c>
      <c r="B335" s="9" t="s">
        <v>241</v>
      </c>
      <c r="C335" s="9" t="s">
        <v>152</v>
      </c>
      <c r="D335" s="9" t="s">
        <v>779</v>
      </c>
      <c r="E335" s="9" t="s">
        <v>243</v>
      </c>
      <c r="F335" s="9" t="s">
        <v>52</v>
      </c>
      <c r="G335" s="9" t="s">
        <v>69</v>
      </c>
      <c r="H335" s="9"/>
      <c r="I335" s="9"/>
      <c r="J335" s="9"/>
      <c r="K335" s="9"/>
      <c r="L335" s="9" t="s">
        <v>3</v>
      </c>
      <c r="M335" s="9" t="s">
        <v>58</v>
      </c>
      <c r="N335" s="9" t="s">
        <v>66</v>
      </c>
    </row>
    <row r="336" spans="1:14" ht="28" x14ac:dyDescent="0.15">
      <c r="A336" s="9" t="s">
        <v>780</v>
      </c>
      <c r="B336" s="9" t="s">
        <v>241</v>
      </c>
      <c r="C336" s="9" t="s">
        <v>152</v>
      </c>
      <c r="D336" s="9" t="s">
        <v>781</v>
      </c>
      <c r="E336" s="9" t="s">
        <v>243</v>
      </c>
      <c r="F336" s="9" t="s">
        <v>52</v>
      </c>
      <c r="G336" s="9" t="s">
        <v>69</v>
      </c>
      <c r="H336" s="9"/>
      <c r="I336" s="9"/>
      <c r="J336" s="9"/>
      <c r="K336" s="9"/>
      <c r="L336" s="9" t="s">
        <v>3</v>
      </c>
      <c r="M336" s="9" t="s">
        <v>58</v>
      </c>
      <c r="N336" s="9" t="s">
        <v>66</v>
      </c>
    </row>
    <row r="337" spans="1:14" ht="14" x14ac:dyDescent="0.15">
      <c r="A337" s="9" t="s">
        <v>782</v>
      </c>
      <c r="B337" s="9" t="s">
        <v>241</v>
      </c>
      <c r="C337" s="9" t="s">
        <v>783</v>
      </c>
      <c r="D337" s="9" t="s">
        <v>784</v>
      </c>
      <c r="E337" s="9" t="s">
        <v>243</v>
      </c>
      <c r="F337" s="9" t="s">
        <v>52</v>
      </c>
      <c r="G337" s="9" t="s">
        <v>69</v>
      </c>
      <c r="H337" s="9"/>
      <c r="I337" s="9"/>
      <c r="J337" s="9"/>
      <c r="K337" s="9"/>
      <c r="L337" s="9" t="s">
        <v>3</v>
      </c>
      <c r="M337" s="9" t="s">
        <v>58</v>
      </c>
      <c r="N337" s="9" t="s">
        <v>66</v>
      </c>
    </row>
    <row r="338" spans="1:14" ht="14" x14ac:dyDescent="0.15">
      <c r="A338" s="9" t="s">
        <v>785</v>
      </c>
      <c r="B338" s="9" t="s">
        <v>241</v>
      </c>
      <c r="C338" s="9" t="s">
        <v>783</v>
      </c>
      <c r="D338" s="9" t="s">
        <v>786</v>
      </c>
      <c r="E338" s="9" t="s">
        <v>243</v>
      </c>
      <c r="F338" s="9" t="s">
        <v>52</v>
      </c>
      <c r="G338" s="9" t="s">
        <v>69</v>
      </c>
      <c r="H338" s="9"/>
      <c r="I338" s="9"/>
      <c r="J338" s="9"/>
      <c r="K338" s="9"/>
      <c r="L338" s="9" t="s">
        <v>3</v>
      </c>
      <c r="M338" s="9" t="s">
        <v>58</v>
      </c>
      <c r="N338" s="9" t="s">
        <v>66</v>
      </c>
    </row>
    <row r="339" spans="1:14" ht="14" x14ac:dyDescent="0.15">
      <c r="A339" s="9" t="s">
        <v>787</v>
      </c>
      <c r="B339" s="9" t="s">
        <v>241</v>
      </c>
      <c r="C339" s="9" t="s">
        <v>783</v>
      </c>
      <c r="D339" s="9" t="s">
        <v>788</v>
      </c>
      <c r="E339" s="9" t="s">
        <v>243</v>
      </c>
      <c r="F339" s="9" t="s">
        <v>52</v>
      </c>
      <c r="G339" s="9" t="s">
        <v>69</v>
      </c>
      <c r="H339" s="9"/>
      <c r="I339" s="9"/>
      <c r="J339" s="9"/>
      <c r="K339" s="9"/>
      <c r="L339" s="9" t="s">
        <v>3</v>
      </c>
      <c r="M339" s="9" t="s">
        <v>58</v>
      </c>
      <c r="N339" s="9" t="s">
        <v>66</v>
      </c>
    </row>
    <row r="340" spans="1:14" ht="14" x14ac:dyDescent="0.15">
      <c r="A340" s="9" t="s">
        <v>789</v>
      </c>
      <c r="B340" s="9" t="s">
        <v>241</v>
      </c>
      <c r="C340" s="9" t="s">
        <v>783</v>
      </c>
      <c r="D340" s="9" t="s">
        <v>790</v>
      </c>
      <c r="E340" s="9" t="s">
        <v>243</v>
      </c>
      <c r="F340" s="9" t="s">
        <v>52</v>
      </c>
      <c r="G340" s="9" t="s">
        <v>69</v>
      </c>
      <c r="H340" s="9"/>
      <c r="I340" s="9"/>
      <c r="J340" s="9"/>
      <c r="K340" s="9"/>
      <c r="L340" s="9" t="s">
        <v>3</v>
      </c>
      <c r="M340" s="9" t="s">
        <v>58</v>
      </c>
      <c r="N340" s="9" t="s">
        <v>66</v>
      </c>
    </row>
    <row r="341" spans="1:14" ht="14" x14ac:dyDescent="0.15">
      <c r="A341" s="9" t="s">
        <v>791</v>
      </c>
      <c r="B341" s="9" t="s">
        <v>241</v>
      </c>
      <c r="C341" s="9" t="s">
        <v>783</v>
      </c>
      <c r="D341" s="9" t="s">
        <v>792</v>
      </c>
      <c r="E341" s="9" t="s">
        <v>243</v>
      </c>
      <c r="F341" s="9" t="s">
        <v>52</v>
      </c>
      <c r="G341" s="9" t="s">
        <v>69</v>
      </c>
      <c r="H341" s="9"/>
      <c r="I341" s="9"/>
      <c r="J341" s="9"/>
      <c r="K341" s="9"/>
      <c r="L341" s="9" t="s">
        <v>3</v>
      </c>
      <c r="M341" s="9" t="s">
        <v>58</v>
      </c>
      <c r="N341" s="9" t="s">
        <v>66</v>
      </c>
    </row>
    <row r="342" spans="1:14" ht="14" x14ac:dyDescent="0.15">
      <c r="A342" s="9" t="s">
        <v>793</v>
      </c>
      <c r="B342" s="9" t="s">
        <v>241</v>
      </c>
      <c r="C342" s="9" t="s">
        <v>794</v>
      </c>
      <c r="D342" s="9" t="s">
        <v>795</v>
      </c>
      <c r="E342" s="9" t="s">
        <v>243</v>
      </c>
      <c r="F342" s="9" t="s">
        <v>52</v>
      </c>
      <c r="G342" s="9" t="s">
        <v>69</v>
      </c>
      <c r="H342" s="9"/>
      <c r="I342" s="9"/>
      <c r="J342" s="9"/>
      <c r="K342" s="9"/>
      <c r="L342" s="9" t="s">
        <v>3</v>
      </c>
      <c r="M342" s="9" t="s">
        <v>58</v>
      </c>
      <c r="N342" s="9" t="s">
        <v>66</v>
      </c>
    </row>
    <row r="343" spans="1:14" ht="14" x14ac:dyDescent="0.15">
      <c r="A343" s="9" t="s">
        <v>796</v>
      </c>
      <c r="B343" s="9" t="s">
        <v>241</v>
      </c>
      <c r="C343" s="9" t="s">
        <v>794</v>
      </c>
      <c r="D343" s="9" t="s">
        <v>797</v>
      </c>
      <c r="E343" s="9" t="s">
        <v>243</v>
      </c>
      <c r="F343" s="9" t="s">
        <v>52</v>
      </c>
      <c r="G343" s="9" t="s">
        <v>69</v>
      </c>
      <c r="H343" s="9"/>
      <c r="I343" s="9"/>
      <c r="J343" s="9"/>
      <c r="K343" s="9"/>
      <c r="L343" s="9" t="s">
        <v>3</v>
      </c>
      <c r="M343" s="9" t="s">
        <v>58</v>
      </c>
      <c r="N343" s="9" t="s">
        <v>66</v>
      </c>
    </row>
    <row r="344" spans="1:14" ht="14" x14ac:dyDescent="0.15">
      <c r="A344" s="9" t="s">
        <v>798</v>
      </c>
      <c r="B344" s="9" t="s">
        <v>241</v>
      </c>
      <c r="C344" s="9" t="s">
        <v>794</v>
      </c>
      <c r="D344" s="9" t="s">
        <v>799</v>
      </c>
      <c r="E344" s="9" t="s">
        <v>243</v>
      </c>
      <c r="F344" s="9" t="s">
        <v>52</v>
      </c>
      <c r="G344" s="9" t="s">
        <v>69</v>
      </c>
      <c r="H344" s="9"/>
      <c r="I344" s="9"/>
      <c r="J344" s="9"/>
      <c r="K344" s="9"/>
      <c r="L344" s="9" t="s">
        <v>3</v>
      </c>
      <c r="M344" s="9" t="s">
        <v>58</v>
      </c>
      <c r="N344" s="9" t="s">
        <v>66</v>
      </c>
    </row>
    <row r="345" spans="1:14" ht="14" x14ac:dyDescent="0.15">
      <c r="A345" s="9" t="s">
        <v>800</v>
      </c>
      <c r="B345" s="9" t="s">
        <v>241</v>
      </c>
      <c r="C345" s="9" t="s">
        <v>794</v>
      </c>
      <c r="D345" s="9" t="s">
        <v>801</v>
      </c>
      <c r="E345" s="9" t="s">
        <v>243</v>
      </c>
      <c r="F345" s="9" t="s">
        <v>52</v>
      </c>
      <c r="G345" s="9" t="s">
        <v>69</v>
      </c>
      <c r="H345" s="9"/>
      <c r="I345" s="9"/>
      <c r="J345" s="9"/>
      <c r="K345" s="9"/>
      <c r="L345" s="9" t="s">
        <v>3</v>
      </c>
      <c r="M345" s="9" t="s">
        <v>58</v>
      </c>
      <c r="N345" s="9" t="s">
        <v>66</v>
      </c>
    </row>
    <row r="346" spans="1:14" ht="14" x14ac:dyDescent="0.15">
      <c r="A346" s="9" t="s">
        <v>802</v>
      </c>
      <c r="B346" s="9" t="s">
        <v>241</v>
      </c>
      <c r="C346" s="9" t="s">
        <v>794</v>
      </c>
      <c r="D346" s="9" t="s">
        <v>803</v>
      </c>
      <c r="E346" s="9" t="s">
        <v>243</v>
      </c>
      <c r="F346" s="9" t="s">
        <v>52</v>
      </c>
      <c r="G346" s="9" t="s">
        <v>69</v>
      </c>
      <c r="H346" s="9"/>
      <c r="I346" s="9"/>
      <c r="J346" s="9"/>
      <c r="K346" s="9"/>
      <c r="L346" s="9" t="s">
        <v>3</v>
      </c>
      <c r="M346" s="9" t="s">
        <v>58</v>
      </c>
      <c r="N346" s="9" t="s">
        <v>66</v>
      </c>
    </row>
    <row r="347" spans="1:14" ht="14" x14ac:dyDescent="0.15">
      <c r="A347" s="9" t="s">
        <v>804</v>
      </c>
      <c r="B347" s="9" t="s">
        <v>241</v>
      </c>
      <c r="C347" s="9" t="s">
        <v>794</v>
      </c>
      <c r="D347" s="9" t="s">
        <v>805</v>
      </c>
      <c r="E347" s="9" t="s">
        <v>243</v>
      </c>
      <c r="F347" s="9" t="s">
        <v>52</v>
      </c>
      <c r="G347" s="9" t="s">
        <v>69</v>
      </c>
      <c r="H347" s="9"/>
      <c r="I347" s="9"/>
      <c r="J347" s="9"/>
      <c r="K347" s="9"/>
      <c r="L347" s="9" t="s">
        <v>3</v>
      </c>
      <c r="M347" s="9" t="s">
        <v>58</v>
      </c>
      <c r="N347" s="9" t="s">
        <v>66</v>
      </c>
    </row>
    <row r="348" spans="1:14" ht="14" x14ac:dyDescent="0.15">
      <c r="A348" s="9" t="s">
        <v>806</v>
      </c>
      <c r="B348" s="9" t="s">
        <v>241</v>
      </c>
      <c r="C348" s="9" t="s">
        <v>794</v>
      </c>
      <c r="D348" s="9" t="s">
        <v>807</v>
      </c>
      <c r="E348" s="9" t="s">
        <v>243</v>
      </c>
      <c r="F348" s="9" t="s">
        <v>52</v>
      </c>
      <c r="G348" s="9" t="s">
        <v>69</v>
      </c>
      <c r="H348" s="9"/>
      <c r="I348" s="9"/>
      <c r="J348" s="9"/>
      <c r="K348" s="9"/>
      <c r="L348" s="9" t="s">
        <v>3</v>
      </c>
      <c r="M348" s="9" t="s">
        <v>58</v>
      </c>
      <c r="N348" s="9" t="s">
        <v>66</v>
      </c>
    </row>
    <row r="349" spans="1:14" ht="14" x14ac:dyDescent="0.15">
      <c r="A349" s="9" t="s">
        <v>808</v>
      </c>
      <c r="B349" s="9" t="s">
        <v>241</v>
      </c>
      <c r="C349" s="9" t="s">
        <v>794</v>
      </c>
      <c r="D349" s="9" t="s">
        <v>809</v>
      </c>
      <c r="E349" s="9" t="s">
        <v>243</v>
      </c>
      <c r="F349" s="9" t="s">
        <v>52</v>
      </c>
      <c r="G349" s="9" t="s">
        <v>69</v>
      </c>
      <c r="H349" s="9"/>
      <c r="I349" s="9"/>
      <c r="J349" s="9"/>
      <c r="K349" s="9"/>
      <c r="L349" s="9" t="s">
        <v>3</v>
      </c>
      <c r="M349" s="9" t="s">
        <v>58</v>
      </c>
      <c r="N349" s="9" t="s">
        <v>66</v>
      </c>
    </row>
    <row r="350" spans="1:14" ht="14" x14ac:dyDescent="0.15">
      <c r="A350" s="9" t="s">
        <v>810</v>
      </c>
      <c r="B350" s="9" t="s">
        <v>241</v>
      </c>
      <c r="C350" s="9" t="s">
        <v>794</v>
      </c>
      <c r="D350" s="9" t="s">
        <v>811</v>
      </c>
      <c r="E350" s="9" t="s">
        <v>243</v>
      </c>
      <c r="F350" s="9" t="s">
        <v>52</v>
      </c>
      <c r="G350" s="9" t="s">
        <v>69</v>
      </c>
      <c r="H350" s="9"/>
      <c r="I350" s="9"/>
      <c r="J350" s="9"/>
      <c r="K350" s="9"/>
      <c r="L350" s="9" t="s">
        <v>3</v>
      </c>
      <c r="M350" s="9" t="s">
        <v>58</v>
      </c>
      <c r="N350" s="9" t="s">
        <v>66</v>
      </c>
    </row>
    <row r="351" spans="1:14" ht="14" x14ac:dyDescent="0.15">
      <c r="A351" s="9" t="s">
        <v>812</v>
      </c>
      <c r="B351" s="9" t="s">
        <v>241</v>
      </c>
      <c r="C351" s="9" t="s">
        <v>794</v>
      </c>
      <c r="D351" s="9" t="s">
        <v>813</v>
      </c>
      <c r="E351" s="9" t="s">
        <v>243</v>
      </c>
      <c r="F351" s="9" t="s">
        <v>52</v>
      </c>
      <c r="G351" s="9" t="s">
        <v>69</v>
      </c>
      <c r="H351" s="9"/>
      <c r="I351" s="9"/>
      <c r="J351" s="9"/>
      <c r="K351" s="9"/>
      <c r="L351" s="9" t="s">
        <v>3</v>
      </c>
      <c r="M351" s="9" t="s">
        <v>58</v>
      </c>
      <c r="N351" s="9" t="s">
        <v>66</v>
      </c>
    </row>
    <row r="352" spans="1:14" ht="14" x14ac:dyDescent="0.15">
      <c r="A352" s="9" t="s">
        <v>814</v>
      </c>
      <c r="B352" s="9" t="s">
        <v>241</v>
      </c>
      <c r="C352" s="9" t="s">
        <v>794</v>
      </c>
      <c r="D352" s="9" t="s">
        <v>815</v>
      </c>
      <c r="E352" s="9" t="s">
        <v>243</v>
      </c>
      <c r="F352" s="9" t="s">
        <v>52</v>
      </c>
      <c r="G352" s="9" t="s">
        <v>69</v>
      </c>
      <c r="H352" s="9"/>
      <c r="I352" s="9"/>
      <c r="J352" s="9"/>
      <c r="K352" s="9"/>
      <c r="L352" s="9" t="s">
        <v>3</v>
      </c>
      <c r="M352" s="9" t="s">
        <v>58</v>
      </c>
      <c r="N352" s="9" t="s">
        <v>66</v>
      </c>
    </row>
    <row r="353" spans="1:14" ht="14" x14ac:dyDescent="0.15">
      <c r="A353" s="9" t="s">
        <v>816</v>
      </c>
      <c r="B353" s="9" t="s">
        <v>241</v>
      </c>
      <c r="C353" s="9" t="s">
        <v>794</v>
      </c>
      <c r="D353" s="9" t="s">
        <v>817</v>
      </c>
      <c r="E353" s="9" t="s">
        <v>243</v>
      </c>
      <c r="F353" s="9" t="s">
        <v>52</v>
      </c>
      <c r="G353" s="9" t="s">
        <v>69</v>
      </c>
      <c r="H353" s="9"/>
      <c r="I353" s="9"/>
      <c r="J353" s="9"/>
      <c r="K353" s="9"/>
      <c r="L353" s="9" t="s">
        <v>3</v>
      </c>
      <c r="M353" s="9" t="s">
        <v>58</v>
      </c>
      <c r="N353" s="9" t="s">
        <v>66</v>
      </c>
    </row>
    <row r="354" spans="1:14" ht="14" x14ac:dyDescent="0.15">
      <c r="A354" s="9" t="s">
        <v>818</v>
      </c>
      <c r="B354" s="9" t="s">
        <v>241</v>
      </c>
      <c r="C354" s="9" t="s">
        <v>794</v>
      </c>
      <c r="D354" s="9" t="s">
        <v>819</v>
      </c>
      <c r="E354" s="9" t="s">
        <v>243</v>
      </c>
      <c r="F354" s="9" t="s">
        <v>52</v>
      </c>
      <c r="G354" s="9" t="s">
        <v>69</v>
      </c>
      <c r="H354" s="9"/>
      <c r="I354" s="9"/>
      <c r="J354" s="9"/>
      <c r="K354" s="9"/>
      <c r="L354" s="9" t="s">
        <v>3</v>
      </c>
      <c r="M354" s="9" t="s">
        <v>58</v>
      </c>
      <c r="N354" s="9" t="s">
        <v>66</v>
      </c>
    </row>
    <row r="355" spans="1:14" ht="14" x14ac:dyDescent="0.15">
      <c r="A355" s="9" t="s">
        <v>820</v>
      </c>
      <c r="B355" s="9" t="s">
        <v>241</v>
      </c>
      <c r="C355" s="9" t="s">
        <v>794</v>
      </c>
      <c r="D355" s="9" t="s">
        <v>821</v>
      </c>
      <c r="E355" s="9" t="s">
        <v>243</v>
      </c>
      <c r="F355" s="9" t="s">
        <v>52</v>
      </c>
      <c r="G355" s="9" t="s">
        <v>69</v>
      </c>
      <c r="H355" s="9"/>
      <c r="I355" s="9"/>
      <c r="J355" s="9"/>
      <c r="K355" s="9"/>
      <c r="L355" s="9" t="s">
        <v>3</v>
      </c>
      <c r="M355" s="9" t="s">
        <v>58</v>
      </c>
      <c r="N355" s="9" t="s">
        <v>66</v>
      </c>
    </row>
    <row r="356" spans="1:14" ht="14" x14ac:dyDescent="0.15">
      <c r="A356" s="9" t="s">
        <v>822</v>
      </c>
      <c r="B356" s="9" t="s">
        <v>241</v>
      </c>
      <c r="C356" s="9" t="s">
        <v>794</v>
      </c>
      <c r="D356" s="9" t="s">
        <v>823</v>
      </c>
      <c r="E356" s="9" t="s">
        <v>243</v>
      </c>
      <c r="F356" s="9" t="s">
        <v>52</v>
      </c>
      <c r="G356" s="9" t="s">
        <v>69</v>
      </c>
      <c r="H356" s="9"/>
      <c r="I356" s="9"/>
      <c r="J356" s="9"/>
      <c r="K356" s="9"/>
      <c r="L356" s="9" t="s">
        <v>3</v>
      </c>
      <c r="M356" s="9" t="s">
        <v>58</v>
      </c>
      <c r="N356" s="9" t="s">
        <v>66</v>
      </c>
    </row>
    <row r="357" spans="1:14" ht="14" x14ac:dyDescent="0.15">
      <c r="A357" s="9" t="s">
        <v>824</v>
      </c>
      <c r="B357" s="9" t="s">
        <v>241</v>
      </c>
      <c r="C357" s="9" t="s">
        <v>825</v>
      </c>
      <c r="D357" s="9" t="s">
        <v>826</v>
      </c>
      <c r="E357" s="9" t="s">
        <v>243</v>
      </c>
      <c r="F357" s="9" t="s">
        <v>52</v>
      </c>
      <c r="G357" s="9" t="s">
        <v>69</v>
      </c>
      <c r="H357" s="9"/>
      <c r="I357" s="9"/>
      <c r="J357" s="9"/>
      <c r="K357" s="9"/>
      <c r="L357" s="9" t="s">
        <v>3</v>
      </c>
      <c r="M357" s="9" t="s">
        <v>58</v>
      </c>
      <c r="N357" s="9" t="s">
        <v>66</v>
      </c>
    </row>
    <row r="358" spans="1:14" ht="14" x14ac:dyDescent="0.15">
      <c r="A358" s="9" t="s">
        <v>827</v>
      </c>
      <c r="B358" s="9" t="s">
        <v>241</v>
      </c>
      <c r="C358" s="9" t="s">
        <v>825</v>
      </c>
      <c r="D358" s="9" t="s">
        <v>828</v>
      </c>
      <c r="E358" s="9" t="s">
        <v>243</v>
      </c>
      <c r="F358" s="9" t="s">
        <v>52</v>
      </c>
      <c r="G358" s="9" t="s">
        <v>69</v>
      </c>
      <c r="H358" s="9"/>
      <c r="I358" s="9"/>
      <c r="J358" s="9"/>
      <c r="K358" s="9"/>
      <c r="L358" s="9" t="s">
        <v>3</v>
      </c>
      <c r="M358" s="9" t="s">
        <v>58</v>
      </c>
      <c r="N358" s="9" t="s">
        <v>66</v>
      </c>
    </row>
    <row r="359" spans="1:14" ht="14" x14ac:dyDescent="0.15">
      <c r="A359" s="9" t="s">
        <v>829</v>
      </c>
      <c r="B359" s="9" t="s">
        <v>241</v>
      </c>
      <c r="C359" s="9" t="s">
        <v>825</v>
      </c>
      <c r="D359" s="9" t="s">
        <v>830</v>
      </c>
      <c r="E359" s="9" t="s">
        <v>243</v>
      </c>
      <c r="F359" s="9" t="s">
        <v>52</v>
      </c>
      <c r="G359" s="9" t="s">
        <v>69</v>
      </c>
      <c r="H359" s="9"/>
      <c r="I359" s="9"/>
      <c r="J359" s="9"/>
      <c r="K359" s="9"/>
      <c r="L359" s="9" t="s">
        <v>3</v>
      </c>
      <c r="M359" s="9" t="s">
        <v>58</v>
      </c>
      <c r="N359" s="9" t="s">
        <v>66</v>
      </c>
    </row>
    <row r="360" spans="1:14" ht="14" x14ac:dyDescent="0.15">
      <c r="A360" s="9" t="s">
        <v>831</v>
      </c>
      <c r="B360" s="9" t="s">
        <v>241</v>
      </c>
      <c r="C360" s="9" t="s">
        <v>825</v>
      </c>
      <c r="D360" s="9" t="s">
        <v>832</v>
      </c>
      <c r="E360" s="9" t="s">
        <v>243</v>
      </c>
      <c r="F360" s="9" t="s">
        <v>52</v>
      </c>
      <c r="G360" s="9" t="s">
        <v>69</v>
      </c>
      <c r="H360" s="9"/>
      <c r="I360" s="9"/>
      <c r="J360" s="9"/>
      <c r="K360" s="9"/>
      <c r="L360" s="9" t="s">
        <v>3</v>
      </c>
      <c r="M360" s="9" t="s">
        <v>58</v>
      </c>
      <c r="N360" s="9" t="s">
        <v>66</v>
      </c>
    </row>
    <row r="361" spans="1:14" ht="14" x14ac:dyDescent="0.15">
      <c r="A361" s="9" t="s">
        <v>833</v>
      </c>
      <c r="B361" s="9" t="s">
        <v>241</v>
      </c>
      <c r="C361" s="9" t="s">
        <v>825</v>
      </c>
      <c r="D361" s="9" t="s">
        <v>834</v>
      </c>
      <c r="E361" s="9" t="s">
        <v>243</v>
      </c>
      <c r="F361" s="9" t="s">
        <v>52</v>
      </c>
      <c r="G361" s="9" t="s">
        <v>69</v>
      </c>
      <c r="H361" s="9"/>
      <c r="I361" s="9"/>
      <c r="J361" s="9"/>
      <c r="K361" s="9"/>
      <c r="L361" s="9" t="s">
        <v>3</v>
      </c>
      <c r="M361" s="9" t="s">
        <v>58</v>
      </c>
      <c r="N361" s="9" t="s">
        <v>66</v>
      </c>
    </row>
    <row r="362" spans="1:14" ht="14" x14ac:dyDescent="0.15">
      <c r="A362" s="9" t="s">
        <v>835</v>
      </c>
      <c r="B362" s="9" t="s">
        <v>241</v>
      </c>
      <c r="C362" s="9" t="s">
        <v>825</v>
      </c>
      <c r="D362" s="9" t="s">
        <v>836</v>
      </c>
      <c r="E362" s="9" t="s">
        <v>243</v>
      </c>
      <c r="F362" s="9" t="s">
        <v>52</v>
      </c>
      <c r="G362" s="9" t="s">
        <v>69</v>
      </c>
      <c r="H362" s="9"/>
      <c r="I362" s="9"/>
      <c r="J362" s="9"/>
      <c r="K362" s="9"/>
      <c r="L362" s="9" t="s">
        <v>3</v>
      </c>
      <c r="M362" s="9" t="s">
        <v>58</v>
      </c>
      <c r="N362" s="9" t="s">
        <v>66</v>
      </c>
    </row>
    <row r="363" spans="1:14" ht="14" x14ac:dyDescent="0.15">
      <c r="A363" s="9" t="s">
        <v>837</v>
      </c>
      <c r="B363" s="9" t="s">
        <v>241</v>
      </c>
      <c r="C363" s="9" t="s">
        <v>825</v>
      </c>
      <c r="D363" s="9" t="s">
        <v>838</v>
      </c>
      <c r="E363" s="9" t="s">
        <v>243</v>
      </c>
      <c r="F363" s="9" t="s">
        <v>52</v>
      </c>
      <c r="G363" s="9" t="s">
        <v>69</v>
      </c>
      <c r="H363" s="9"/>
      <c r="I363" s="9"/>
      <c r="J363" s="9"/>
      <c r="K363" s="9"/>
      <c r="L363" s="9" t="s">
        <v>3</v>
      </c>
      <c r="M363" s="9" t="s">
        <v>58</v>
      </c>
      <c r="N363" s="9" t="s">
        <v>66</v>
      </c>
    </row>
    <row r="364" spans="1:14" ht="14" x14ac:dyDescent="0.15">
      <c r="A364" s="9" t="s">
        <v>839</v>
      </c>
      <c r="B364" s="9" t="s">
        <v>241</v>
      </c>
      <c r="C364" s="9" t="s">
        <v>825</v>
      </c>
      <c r="D364" s="9" t="s">
        <v>840</v>
      </c>
      <c r="E364" s="9" t="s">
        <v>243</v>
      </c>
      <c r="F364" s="9" t="s">
        <v>52</v>
      </c>
      <c r="G364" s="9" t="s">
        <v>69</v>
      </c>
      <c r="H364" s="9"/>
      <c r="I364" s="9"/>
      <c r="J364" s="9"/>
      <c r="K364" s="9"/>
      <c r="L364" s="9" t="s">
        <v>3</v>
      </c>
      <c r="M364" s="9" t="s">
        <v>58</v>
      </c>
      <c r="N364" s="9" t="s">
        <v>66</v>
      </c>
    </row>
    <row r="365" spans="1:14" ht="14" x14ac:dyDescent="0.15">
      <c r="A365" s="9" t="s">
        <v>841</v>
      </c>
      <c r="B365" s="9" t="s">
        <v>241</v>
      </c>
      <c r="C365" s="9" t="s">
        <v>825</v>
      </c>
      <c r="D365" s="9" t="s">
        <v>842</v>
      </c>
      <c r="E365" s="9" t="s">
        <v>243</v>
      </c>
      <c r="F365" s="9" t="s">
        <v>52</v>
      </c>
      <c r="G365" s="9" t="s">
        <v>69</v>
      </c>
      <c r="H365" s="9"/>
      <c r="I365" s="9"/>
      <c r="J365" s="9"/>
      <c r="K365" s="9"/>
      <c r="L365" s="9" t="s">
        <v>3</v>
      </c>
      <c r="M365" s="9" t="s">
        <v>58</v>
      </c>
      <c r="N365" s="9" t="s">
        <v>66</v>
      </c>
    </row>
    <row r="366" spans="1:14" ht="14" x14ac:dyDescent="0.15">
      <c r="A366" s="9" t="s">
        <v>843</v>
      </c>
      <c r="B366" s="9" t="s">
        <v>241</v>
      </c>
      <c r="C366" s="9" t="s">
        <v>825</v>
      </c>
      <c r="D366" s="9" t="s">
        <v>844</v>
      </c>
      <c r="E366" s="9" t="s">
        <v>243</v>
      </c>
      <c r="F366" s="9" t="s">
        <v>52</v>
      </c>
      <c r="G366" s="9" t="s">
        <v>69</v>
      </c>
      <c r="H366" s="9"/>
      <c r="I366" s="9"/>
      <c r="J366" s="9"/>
      <c r="K366" s="9"/>
      <c r="L366" s="9" t="s">
        <v>3</v>
      </c>
      <c r="M366" s="9" t="s">
        <v>58</v>
      </c>
      <c r="N366" s="9" t="s">
        <v>66</v>
      </c>
    </row>
    <row r="367" spans="1:14" ht="14" x14ac:dyDescent="0.15">
      <c r="A367" s="9" t="s">
        <v>845</v>
      </c>
      <c r="B367" s="9" t="s">
        <v>241</v>
      </c>
      <c r="C367" s="9" t="s">
        <v>825</v>
      </c>
      <c r="D367" s="9" t="s">
        <v>846</v>
      </c>
      <c r="E367" s="9" t="s">
        <v>243</v>
      </c>
      <c r="F367" s="9" t="s">
        <v>52</v>
      </c>
      <c r="G367" s="9" t="s">
        <v>69</v>
      </c>
      <c r="H367" s="9"/>
      <c r="I367" s="9"/>
      <c r="J367" s="9"/>
      <c r="K367" s="9"/>
      <c r="L367" s="9" t="s">
        <v>3</v>
      </c>
      <c r="M367" s="9" t="s">
        <v>58</v>
      </c>
      <c r="N367" s="9" t="s">
        <v>66</v>
      </c>
    </row>
    <row r="368" spans="1:14" ht="14" x14ac:dyDescent="0.15">
      <c r="A368" s="9" t="s">
        <v>847</v>
      </c>
      <c r="B368" s="9" t="s">
        <v>241</v>
      </c>
      <c r="C368" s="9" t="s">
        <v>825</v>
      </c>
      <c r="D368" s="9" t="s">
        <v>848</v>
      </c>
      <c r="E368" s="9" t="s">
        <v>243</v>
      </c>
      <c r="F368" s="9" t="s">
        <v>52</v>
      </c>
      <c r="G368" s="9" t="s">
        <v>69</v>
      </c>
      <c r="H368" s="9"/>
      <c r="I368" s="9"/>
      <c r="J368" s="9"/>
      <c r="K368" s="9"/>
      <c r="L368" s="9" t="s">
        <v>3</v>
      </c>
      <c r="M368" s="9" t="s">
        <v>58</v>
      </c>
      <c r="N368" s="9" t="s">
        <v>66</v>
      </c>
    </row>
    <row r="369" spans="1:14" ht="14" x14ac:dyDescent="0.15">
      <c r="A369" s="9" t="s">
        <v>849</v>
      </c>
      <c r="B369" s="9" t="s">
        <v>241</v>
      </c>
      <c r="C369" s="9" t="s">
        <v>825</v>
      </c>
      <c r="D369" s="9" t="s">
        <v>850</v>
      </c>
      <c r="E369" s="9" t="s">
        <v>243</v>
      </c>
      <c r="F369" s="9" t="s">
        <v>52</v>
      </c>
      <c r="G369" s="9" t="s">
        <v>69</v>
      </c>
      <c r="H369" s="9"/>
      <c r="I369" s="9"/>
      <c r="J369" s="9"/>
      <c r="K369" s="9"/>
      <c r="L369" s="9" t="s">
        <v>3</v>
      </c>
      <c r="M369" s="9" t="s">
        <v>58</v>
      </c>
      <c r="N369" s="9" t="s">
        <v>66</v>
      </c>
    </row>
    <row r="370" spans="1:14" ht="14" x14ac:dyDescent="0.15">
      <c r="A370" s="9" t="s">
        <v>851</v>
      </c>
      <c r="B370" s="9" t="s">
        <v>241</v>
      </c>
      <c r="C370" s="9" t="s">
        <v>825</v>
      </c>
      <c r="D370" s="9" t="s">
        <v>852</v>
      </c>
      <c r="E370" s="9" t="s">
        <v>243</v>
      </c>
      <c r="F370" s="9" t="s">
        <v>52</v>
      </c>
      <c r="G370" s="9" t="s">
        <v>69</v>
      </c>
      <c r="H370" s="9"/>
      <c r="I370" s="9"/>
      <c r="J370" s="9"/>
      <c r="K370" s="9"/>
      <c r="L370" s="9" t="s">
        <v>3</v>
      </c>
      <c r="M370" s="9" t="s">
        <v>58</v>
      </c>
      <c r="N370" s="9" t="s">
        <v>66</v>
      </c>
    </row>
    <row r="371" spans="1:14" ht="14" x14ac:dyDescent="0.15">
      <c r="A371" s="9" t="s">
        <v>853</v>
      </c>
      <c r="B371" s="9" t="s">
        <v>241</v>
      </c>
      <c r="C371" s="9" t="s">
        <v>825</v>
      </c>
      <c r="D371" s="9" t="s">
        <v>854</v>
      </c>
      <c r="E371" s="9" t="s">
        <v>243</v>
      </c>
      <c r="F371" s="9" t="s">
        <v>52</v>
      </c>
      <c r="G371" s="9" t="s">
        <v>69</v>
      </c>
      <c r="H371" s="9"/>
      <c r="I371" s="9"/>
      <c r="J371" s="9"/>
      <c r="K371" s="9"/>
      <c r="L371" s="9" t="s">
        <v>3</v>
      </c>
      <c r="M371" s="9" t="s">
        <v>58</v>
      </c>
      <c r="N371" s="9" t="s">
        <v>66</v>
      </c>
    </row>
    <row r="372" spans="1:14" ht="14" x14ac:dyDescent="0.15">
      <c r="A372" s="9" t="s">
        <v>855</v>
      </c>
      <c r="B372" s="9" t="s">
        <v>241</v>
      </c>
      <c r="C372" s="9" t="s">
        <v>825</v>
      </c>
      <c r="D372" s="9" t="s">
        <v>856</v>
      </c>
      <c r="E372" s="9" t="s">
        <v>243</v>
      </c>
      <c r="F372" s="9" t="s">
        <v>52</v>
      </c>
      <c r="G372" s="9" t="s">
        <v>69</v>
      </c>
      <c r="H372" s="9"/>
      <c r="I372" s="9"/>
      <c r="J372" s="9"/>
      <c r="K372" s="9"/>
      <c r="L372" s="9" t="s">
        <v>3</v>
      </c>
      <c r="M372" s="9" t="s">
        <v>58</v>
      </c>
      <c r="N372" s="9" t="s">
        <v>66</v>
      </c>
    </row>
    <row r="373" spans="1:14" ht="14" x14ac:dyDescent="0.15">
      <c r="A373" s="9" t="s">
        <v>857</v>
      </c>
      <c r="B373" s="9" t="s">
        <v>241</v>
      </c>
      <c r="C373" s="9" t="s">
        <v>825</v>
      </c>
      <c r="D373" s="9" t="s">
        <v>858</v>
      </c>
      <c r="E373" s="9" t="s">
        <v>243</v>
      </c>
      <c r="F373" s="9" t="s">
        <v>52</v>
      </c>
      <c r="G373" s="9" t="s">
        <v>69</v>
      </c>
      <c r="H373" s="9"/>
      <c r="I373" s="9"/>
      <c r="J373" s="9"/>
      <c r="K373" s="9"/>
      <c r="L373" s="9" t="s">
        <v>3</v>
      </c>
      <c r="M373" s="9" t="s">
        <v>58</v>
      </c>
      <c r="N373" s="9" t="s">
        <v>66</v>
      </c>
    </row>
    <row r="374" spans="1:14" ht="14" x14ac:dyDescent="0.15">
      <c r="A374" s="9" t="s">
        <v>859</v>
      </c>
      <c r="B374" s="9" t="s">
        <v>241</v>
      </c>
      <c r="C374" s="9" t="s">
        <v>825</v>
      </c>
      <c r="D374" s="9" t="s">
        <v>860</v>
      </c>
      <c r="E374" s="9" t="s">
        <v>243</v>
      </c>
      <c r="F374" s="9" t="s">
        <v>52</v>
      </c>
      <c r="G374" s="9" t="s">
        <v>69</v>
      </c>
      <c r="H374" s="9"/>
      <c r="I374" s="9"/>
      <c r="J374" s="9"/>
      <c r="K374" s="9"/>
      <c r="L374" s="9" t="s">
        <v>3</v>
      </c>
      <c r="M374" s="9" t="s">
        <v>58</v>
      </c>
      <c r="N374" s="9" t="s">
        <v>66</v>
      </c>
    </row>
    <row r="375" spans="1:14" ht="14" x14ac:dyDescent="0.15">
      <c r="A375" s="9" t="s">
        <v>861</v>
      </c>
      <c r="B375" s="9" t="s">
        <v>241</v>
      </c>
      <c r="C375" s="9" t="s">
        <v>825</v>
      </c>
      <c r="D375" s="9" t="s">
        <v>862</v>
      </c>
      <c r="E375" s="9" t="s">
        <v>243</v>
      </c>
      <c r="F375" s="9" t="s">
        <v>52</v>
      </c>
      <c r="G375" s="9" t="s">
        <v>69</v>
      </c>
      <c r="H375" s="9"/>
      <c r="I375" s="9"/>
      <c r="J375" s="9"/>
      <c r="K375" s="9"/>
      <c r="L375" s="9" t="s">
        <v>3</v>
      </c>
      <c r="M375" s="9" t="s">
        <v>58</v>
      </c>
      <c r="N375" s="9" t="s">
        <v>66</v>
      </c>
    </row>
    <row r="376" spans="1:14" ht="14" x14ac:dyDescent="0.15">
      <c r="A376" s="9" t="s">
        <v>863</v>
      </c>
      <c r="B376" s="9" t="s">
        <v>241</v>
      </c>
      <c r="C376" s="9" t="s">
        <v>825</v>
      </c>
      <c r="D376" s="9" t="s">
        <v>864</v>
      </c>
      <c r="E376" s="9" t="s">
        <v>243</v>
      </c>
      <c r="F376" s="9" t="s">
        <v>52</v>
      </c>
      <c r="G376" s="9" t="s">
        <v>69</v>
      </c>
      <c r="H376" s="9"/>
      <c r="I376" s="9"/>
      <c r="J376" s="9"/>
      <c r="K376" s="9"/>
      <c r="L376" s="9" t="s">
        <v>3</v>
      </c>
      <c r="M376" s="9" t="s">
        <v>58</v>
      </c>
      <c r="N376" s="9" t="s">
        <v>66</v>
      </c>
    </row>
    <row r="377" spans="1:14" ht="14" x14ac:dyDescent="0.15">
      <c r="A377" s="9" t="s">
        <v>865</v>
      </c>
      <c r="B377" s="9" t="s">
        <v>241</v>
      </c>
      <c r="C377" s="9" t="s">
        <v>183</v>
      </c>
      <c r="D377" s="9" t="s">
        <v>866</v>
      </c>
      <c r="E377" s="9" t="s">
        <v>243</v>
      </c>
      <c r="F377" s="9" t="s">
        <v>52</v>
      </c>
      <c r="G377" s="9" t="s">
        <v>69</v>
      </c>
      <c r="H377" s="9"/>
      <c r="I377" s="9"/>
      <c r="J377" s="9"/>
      <c r="K377" s="9"/>
      <c r="L377" s="9" t="s">
        <v>3</v>
      </c>
      <c r="M377" s="9" t="s">
        <v>58</v>
      </c>
      <c r="N377" s="9" t="s">
        <v>66</v>
      </c>
    </row>
    <row r="378" spans="1:14" ht="14" x14ac:dyDescent="0.15">
      <c r="A378" s="9" t="s">
        <v>867</v>
      </c>
      <c r="B378" s="9" t="s">
        <v>241</v>
      </c>
      <c r="C378" s="9" t="s">
        <v>868</v>
      </c>
      <c r="D378" s="9" t="s">
        <v>869</v>
      </c>
      <c r="E378" s="9" t="s">
        <v>243</v>
      </c>
      <c r="F378" s="9" t="s">
        <v>52</v>
      </c>
      <c r="G378" s="9" t="s">
        <v>69</v>
      </c>
      <c r="H378" s="9"/>
      <c r="I378" s="9"/>
      <c r="J378" s="9"/>
      <c r="K378" s="9"/>
      <c r="L378" s="9" t="s">
        <v>3</v>
      </c>
      <c r="M378" s="9" t="s">
        <v>58</v>
      </c>
      <c r="N378" s="9" t="s">
        <v>66</v>
      </c>
    </row>
    <row r="379" spans="1:14" ht="14" x14ac:dyDescent="0.15">
      <c r="A379" s="9" t="s">
        <v>870</v>
      </c>
      <c r="B379" s="9" t="s">
        <v>241</v>
      </c>
      <c r="C379" s="9" t="s">
        <v>868</v>
      </c>
      <c r="D379" s="9" t="s">
        <v>871</v>
      </c>
      <c r="E379" s="9" t="s">
        <v>243</v>
      </c>
      <c r="F379" s="9" t="s">
        <v>52</v>
      </c>
      <c r="G379" s="9" t="s">
        <v>69</v>
      </c>
      <c r="H379" s="9"/>
      <c r="I379" s="9"/>
      <c r="J379" s="9"/>
      <c r="K379" s="9"/>
      <c r="L379" s="9" t="s">
        <v>3</v>
      </c>
      <c r="M379" s="9" t="s">
        <v>58</v>
      </c>
      <c r="N379" s="9" t="s">
        <v>66</v>
      </c>
    </row>
    <row r="380" spans="1:14" ht="14" x14ac:dyDescent="0.15">
      <c r="A380" s="9" t="s">
        <v>872</v>
      </c>
      <c r="B380" s="9" t="s">
        <v>241</v>
      </c>
      <c r="C380" s="9" t="s">
        <v>868</v>
      </c>
      <c r="D380" s="9" t="s">
        <v>873</v>
      </c>
      <c r="E380" s="9" t="s">
        <v>243</v>
      </c>
      <c r="F380" s="9" t="s">
        <v>52</v>
      </c>
      <c r="G380" s="9" t="s">
        <v>69</v>
      </c>
      <c r="H380" s="9"/>
      <c r="I380" s="9"/>
      <c r="J380" s="9"/>
      <c r="K380" s="9"/>
      <c r="L380" s="9" t="s">
        <v>3</v>
      </c>
      <c r="M380" s="9" t="s">
        <v>58</v>
      </c>
      <c r="N380" s="9" t="s">
        <v>66</v>
      </c>
    </row>
    <row r="381" spans="1:14" ht="14" x14ac:dyDescent="0.15">
      <c r="A381" s="9" t="s">
        <v>874</v>
      </c>
      <c r="B381" s="9" t="s">
        <v>241</v>
      </c>
      <c r="C381" s="9" t="s">
        <v>868</v>
      </c>
      <c r="D381" s="9" t="s">
        <v>875</v>
      </c>
      <c r="E381" s="9" t="s">
        <v>243</v>
      </c>
      <c r="F381" s="9" t="s">
        <v>52</v>
      </c>
      <c r="G381" s="9" t="s">
        <v>69</v>
      </c>
      <c r="H381" s="9"/>
      <c r="I381" s="9"/>
      <c r="J381" s="9"/>
      <c r="K381" s="9"/>
      <c r="L381" s="9" t="s">
        <v>3</v>
      </c>
      <c r="M381" s="9" t="s">
        <v>58</v>
      </c>
      <c r="N381" s="9" t="s">
        <v>66</v>
      </c>
    </row>
    <row r="382" spans="1:14" ht="14" x14ac:dyDescent="0.15">
      <c r="A382" s="9" t="s">
        <v>876</v>
      </c>
      <c r="B382" s="9" t="s">
        <v>241</v>
      </c>
      <c r="C382" s="9" t="s">
        <v>868</v>
      </c>
      <c r="D382" s="9" t="s">
        <v>877</v>
      </c>
      <c r="E382" s="9" t="s">
        <v>243</v>
      </c>
      <c r="F382" s="9" t="s">
        <v>52</v>
      </c>
      <c r="G382" s="9" t="s">
        <v>69</v>
      </c>
      <c r="H382" s="9"/>
      <c r="I382" s="9"/>
      <c r="J382" s="9"/>
      <c r="K382" s="9"/>
      <c r="L382" s="9" t="s">
        <v>3</v>
      </c>
      <c r="M382" s="9" t="s">
        <v>58</v>
      </c>
      <c r="N382" s="9" t="s">
        <v>66</v>
      </c>
    </row>
    <row r="383" spans="1:14" ht="14" x14ac:dyDescent="0.15">
      <c r="A383" s="9" t="s">
        <v>878</v>
      </c>
      <c r="B383" s="9" t="s">
        <v>241</v>
      </c>
      <c r="C383" s="9" t="s">
        <v>879</v>
      </c>
      <c r="D383" s="9" t="s">
        <v>880</v>
      </c>
      <c r="E383" s="9" t="s">
        <v>243</v>
      </c>
      <c r="F383" s="9" t="s">
        <v>52</v>
      </c>
      <c r="G383" s="9" t="s">
        <v>69</v>
      </c>
      <c r="H383" s="9"/>
      <c r="I383" s="9"/>
      <c r="J383" s="9"/>
      <c r="K383" s="9"/>
      <c r="L383" s="9" t="s">
        <v>3</v>
      </c>
      <c r="M383" s="9" t="s">
        <v>58</v>
      </c>
      <c r="N383" s="9" t="s">
        <v>66</v>
      </c>
    </row>
    <row r="384" spans="1:14" ht="14" x14ac:dyDescent="0.15">
      <c r="A384" s="9" t="s">
        <v>881</v>
      </c>
      <c r="B384" s="9" t="s">
        <v>241</v>
      </c>
      <c r="C384" s="9" t="s">
        <v>879</v>
      </c>
      <c r="D384" s="9" t="s">
        <v>882</v>
      </c>
      <c r="E384" s="9" t="s">
        <v>243</v>
      </c>
      <c r="F384" s="9" t="s">
        <v>52</v>
      </c>
      <c r="G384" s="9" t="s">
        <v>69</v>
      </c>
      <c r="H384" s="9"/>
      <c r="I384" s="9"/>
      <c r="J384" s="9"/>
      <c r="K384" s="9"/>
      <c r="L384" s="9" t="s">
        <v>3</v>
      </c>
      <c r="M384" s="9" t="s">
        <v>58</v>
      </c>
      <c r="N384" s="9" t="s">
        <v>66</v>
      </c>
    </row>
    <row r="385" spans="1:14" ht="14" x14ac:dyDescent="0.15">
      <c r="A385" s="9" t="s">
        <v>883</v>
      </c>
      <c r="B385" s="9" t="s">
        <v>241</v>
      </c>
      <c r="C385" s="9" t="s">
        <v>879</v>
      </c>
      <c r="D385" s="9" t="s">
        <v>884</v>
      </c>
      <c r="E385" s="9" t="s">
        <v>243</v>
      </c>
      <c r="F385" s="9" t="s">
        <v>52</v>
      </c>
      <c r="G385" s="9" t="s">
        <v>69</v>
      </c>
      <c r="H385" s="9"/>
      <c r="I385" s="9"/>
      <c r="J385" s="9"/>
      <c r="K385" s="9"/>
      <c r="L385" s="9" t="s">
        <v>3</v>
      </c>
      <c r="M385" s="9" t="s">
        <v>58</v>
      </c>
      <c r="N385" s="9" t="s">
        <v>66</v>
      </c>
    </row>
    <row r="386" spans="1:14" ht="14" x14ac:dyDescent="0.15">
      <c r="A386" s="9" t="s">
        <v>885</v>
      </c>
      <c r="B386" s="9" t="s">
        <v>241</v>
      </c>
      <c r="C386" s="9" t="s">
        <v>879</v>
      </c>
      <c r="D386" s="9" t="s">
        <v>886</v>
      </c>
      <c r="E386" s="9" t="s">
        <v>243</v>
      </c>
      <c r="F386" s="9" t="s">
        <v>52</v>
      </c>
      <c r="G386" s="9" t="s">
        <v>69</v>
      </c>
      <c r="H386" s="9"/>
      <c r="I386" s="9"/>
      <c r="J386" s="9"/>
      <c r="K386" s="9"/>
      <c r="L386" s="9" t="s">
        <v>3</v>
      </c>
      <c r="M386" s="9" t="s">
        <v>58</v>
      </c>
      <c r="N386" s="9" t="s">
        <v>66</v>
      </c>
    </row>
    <row r="387" spans="1:14" ht="14" x14ac:dyDescent="0.15">
      <c r="A387" s="9" t="s">
        <v>887</v>
      </c>
      <c r="B387" s="9" t="s">
        <v>241</v>
      </c>
      <c r="C387" s="9" t="s">
        <v>879</v>
      </c>
      <c r="D387" s="9" t="s">
        <v>888</v>
      </c>
      <c r="E387" s="9" t="s">
        <v>243</v>
      </c>
      <c r="F387" s="9" t="s">
        <v>52</v>
      </c>
      <c r="G387" s="9" t="s">
        <v>69</v>
      </c>
      <c r="H387" s="9"/>
      <c r="I387" s="9"/>
      <c r="J387" s="9"/>
      <c r="K387" s="9"/>
      <c r="L387" s="9" t="s">
        <v>3</v>
      </c>
      <c r="M387" s="9" t="s">
        <v>58</v>
      </c>
      <c r="N387" s="9" t="s">
        <v>66</v>
      </c>
    </row>
    <row r="388" spans="1:14" ht="14" x14ac:dyDescent="0.15">
      <c r="A388" s="9" t="s">
        <v>889</v>
      </c>
      <c r="B388" s="9" t="s">
        <v>241</v>
      </c>
      <c r="C388" s="9" t="s">
        <v>879</v>
      </c>
      <c r="D388" s="9" t="s">
        <v>890</v>
      </c>
      <c r="E388" s="9" t="s">
        <v>243</v>
      </c>
      <c r="F388" s="9" t="s">
        <v>52</v>
      </c>
      <c r="G388" s="9" t="s">
        <v>69</v>
      </c>
      <c r="H388" s="9"/>
      <c r="I388" s="9"/>
      <c r="J388" s="9"/>
      <c r="K388" s="9"/>
      <c r="L388" s="9" t="s">
        <v>3</v>
      </c>
      <c r="M388" s="9" t="s">
        <v>58</v>
      </c>
      <c r="N388" s="9" t="s">
        <v>66</v>
      </c>
    </row>
    <row r="389" spans="1:14" ht="14" x14ac:dyDescent="0.15">
      <c r="A389" s="9" t="s">
        <v>891</v>
      </c>
      <c r="B389" s="9" t="s">
        <v>241</v>
      </c>
      <c r="C389" s="9" t="s">
        <v>879</v>
      </c>
      <c r="D389" s="9" t="s">
        <v>892</v>
      </c>
      <c r="E389" s="9" t="s">
        <v>243</v>
      </c>
      <c r="F389" s="9" t="s">
        <v>52</v>
      </c>
      <c r="G389" s="9" t="s">
        <v>69</v>
      </c>
      <c r="H389" s="9"/>
      <c r="I389" s="9"/>
      <c r="J389" s="9"/>
      <c r="K389" s="9"/>
      <c r="L389" s="9" t="s">
        <v>3</v>
      </c>
      <c r="M389" s="9" t="s">
        <v>58</v>
      </c>
      <c r="N389" s="9" t="s">
        <v>66</v>
      </c>
    </row>
    <row r="390" spans="1:14" ht="14" x14ac:dyDescent="0.15">
      <c r="A390" s="9" t="s">
        <v>893</v>
      </c>
      <c r="B390" s="9" t="s">
        <v>241</v>
      </c>
      <c r="C390" s="9" t="s">
        <v>879</v>
      </c>
      <c r="D390" s="9" t="s">
        <v>894</v>
      </c>
      <c r="E390" s="9" t="s">
        <v>243</v>
      </c>
      <c r="F390" s="9" t="s">
        <v>52</v>
      </c>
      <c r="G390" s="9" t="s">
        <v>69</v>
      </c>
      <c r="H390" s="9"/>
      <c r="I390" s="9"/>
      <c r="J390" s="9"/>
      <c r="K390" s="9"/>
      <c r="L390" s="9" t="s">
        <v>3</v>
      </c>
      <c r="M390" s="9" t="s">
        <v>58</v>
      </c>
      <c r="N390" s="9" t="s">
        <v>66</v>
      </c>
    </row>
    <row r="391" spans="1:14" ht="14" x14ac:dyDescent="0.15">
      <c r="A391" s="9" t="s">
        <v>895</v>
      </c>
      <c r="B391" s="9" t="s">
        <v>241</v>
      </c>
      <c r="C391" s="9" t="s">
        <v>879</v>
      </c>
      <c r="D391" s="9" t="s">
        <v>896</v>
      </c>
      <c r="E391" s="9" t="s">
        <v>243</v>
      </c>
      <c r="F391" s="9" t="s">
        <v>52</v>
      </c>
      <c r="G391" s="9" t="s">
        <v>69</v>
      </c>
      <c r="H391" s="9"/>
      <c r="I391" s="9"/>
      <c r="J391" s="9"/>
      <c r="K391" s="9"/>
      <c r="L391" s="9" t="s">
        <v>3</v>
      </c>
      <c r="M391" s="9" t="s">
        <v>58</v>
      </c>
      <c r="N391" s="9" t="s">
        <v>66</v>
      </c>
    </row>
    <row r="392" spans="1:14" ht="14" x14ac:dyDescent="0.15">
      <c r="A392" s="9" t="s">
        <v>897</v>
      </c>
      <c r="B392" s="9" t="s">
        <v>241</v>
      </c>
      <c r="C392" s="9" t="s">
        <v>879</v>
      </c>
      <c r="D392" s="9" t="s">
        <v>898</v>
      </c>
      <c r="E392" s="9" t="s">
        <v>243</v>
      </c>
      <c r="F392" s="9" t="s">
        <v>52</v>
      </c>
      <c r="G392" s="9" t="s">
        <v>69</v>
      </c>
      <c r="H392" s="9"/>
      <c r="I392" s="9"/>
      <c r="J392" s="9"/>
      <c r="K392" s="9"/>
      <c r="L392" s="9" t="s">
        <v>3</v>
      </c>
      <c r="M392" s="9" t="s">
        <v>58</v>
      </c>
      <c r="N392" s="9" t="s">
        <v>66</v>
      </c>
    </row>
    <row r="393" spans="1:14" ht="14" x14ac:dyDescent="0.15">
      <c r="A393" s="9" t="s">
        <v>899</v>
      </c>
      <c r="B393" s="9" t="s">
        <v>241</v>
      </c>
      <c r="C393" s="9" t="s">
        <v>879</v>
      </c>
      <c r="D393" s="9" t="s">
        <v>900</v>
      </c>
      <c r="E393" s="9" t="s">
        <v>243</v>
      </c>
      <c r="F393" s="9" t="s">
        <v>52</v>
      </c>
      <c r="G393" s="9" t="s">
        <v>69</v>
      </c>
      <c r="H393" s="9"/>
      <c r="I393" s="9"/>
      <c r="J393" s="9"/>
      <c r="K393" s="9"/>
      <c r="L393" s="9" t="s">
        <v>3</v>
      </c>
      <c r="M393" s="9" t="s">
        <v>58</v>
      </c>
      <c r="N393" s="9" t="s">
        <v>66</v>
      </c>
    </row>
    <row r="394" spans="1:14" ht="14" x14ac:dyDescent="0.15">
      <c r="A394" s="9" t="s">
        <v>901</v>
      </c>
      <c r="B394" s="9" t="s">
        <v>241</v>
      </c>
      <c r="C394" s="9" t="s">
        <v>879</v>
      </c>
      <c r="D394" s="9" t="s">
        <v>902</v>
      </c>
      <c r="E394" s="9" t="s">
        <v>243</v>
      </c>
      <c r="F394" s="9" t="s">
        <v>52</v>
      </c>
      <c r="G394" s="9" t="s">
        <v>69</v>
      </c>
      <c r="H394" s="9"/>
      <c r="I394" s="9"/>
      <c r="J394" s="9"/>
      <c r="K394" s="9"/>
      <c r="L394" s="9" t="s">
        <v>3</v>
      </c>
      <c r="M394" s="9" t="s">
        <v>58</v>
      </c>
      <c r="N394" s="9" t="s">
        <v>66</v>
      </c>
    </row>
    <row r="395" spans="1:14" ht="14" x14ac:dyDescent="0.15">
      <c r="A395" s="9" t="s">
        <v>903</v>
      </c>
      <c r="B395" s="9" t="s">
        <v>241</v>
      </c>
      <c r="C395" s="9" t="s">
        <v>879</v>
      </c>
      <c r="D395" s="9" t="s">
        <v>904</v>
      </c>
      <c r="E395" s="9" t="s">
        <v>243</v>
      </c>
      <c r="F395" s="9" t="s">
        <v>52</v>
      </c>
      <c r="G395" s="9" t="s">
        <v>69</v>
      </c>
      <c r="H395" s="9"/>
      <c r="I395" s="9"/>
      <c r="J395" s="9"/>
      <c r="K395" s="9"/>
      <c r="L395" s="9" t="s">
        <v>3</v>
      </c>
      <c r="M395" s="9" t="s">
        <v>58</v>
      </c>
      <c r="N395" s="9" t="s">
        <v>66</v>
      </c>
    </row>
    <row r="396" spans="1:14" ht="14" x14ac:dyDescent="0.15">
      <c r="A396" s="9" t="s">
        <v>905</v>
      </c>
      <c r="B396" s="9" t="s">
        <v>241</v>
      </c>
      <c r="C396" s="9" t="s">
        <v>879</v>
      </c>
      <c r="D396" s="9" t="s">
        <v>906</v>
      </c>
      <c r="E396" s="9" t="s">
        <v>243</v>
      </c>
      <c r="F396" s="9" t="s">
        <v>52</v>
      </c>
      <c r="G396" s="9" t="s">
        <v>69</v>
      </c>
      <c r="H396" s="9"/>
      <c r="I396" s="9"/>
      <c r="J396" s="9"/>
      <c r="K396" s="9"/>
      <c r="L396" s="9" t="s">
        <v>3</v>
      </c>
      <c r="M396" s="9" t="s">
        <v>58</v>
      </c>
      <c r="N396" s="9" t="s">
        <v>66</v>
      </c>
    </row>
    <row r="397" spans="1:14" ht="14" x14ac:dyDescent="0.15">
      <c r="A397" s="9" t="s">
        <v>907</v>
      </c>
      <c r="B397" s="9" t="s">
        <v>241</v>
      </c>
      <c r="C397" s="9" t="s">
        <v>908</v>
      </c>
      <c r="D397" s="9" t="s">
        <v>909</v>
      </c>
      <c r="E397" s="9" t="s">
        <v>243</v>
      </c>
      <c r="F397" s="9" t="s">
        <v>52</v>
      </c>
      <c r="G397" s="9" t="s">
        <v>69</v>
      </c>
      <c r="H397" s="9"/>
      <c r="I397" s="9"/>
      <c r="J397" s="9"/>
      <c r="K397" s="9"/>
      <c r="L397" s="9" t="s">
        <v>3</v>
      </c>
      <c r="M397" s="9" t="s">
        <v>58</v>
      </c>
      <c r="N397" s="9" t="s">
        <v>66</v>
      </c>
    </row>
    <row r="398" spans="1:14" ht="14" x14ac:dyDescent="0.15">
      <c r="A398" s="9" t="s">
        <v>910</v>
      </c>
      <c r="B398" s="9" t="s">
        <v>241</v>
      </c>
      <c r="C398" s="9" t="s">
        <v>908</v>
      </c>
      <c r="D398" s="9" t="s">
        <v>911</v>
      </c>
      <c r="E398" s="9" t="s">
        <v>243</v>
      </c>
      <c r="F398" s="9" t="s">
        <v>52</v>
      </c>
      <c r="G398" s="9" t="s">
        <v>69</v>
      </c>
      <c r="H398" s="9"/>
      <c r="I398" s="9"/>
      <c r="J398" s="9"/>
      <c r="K398" s="9"/>
      <c r="L398" s="9" t="s">
        <v>3</v>
      </c>
      <c r="M398" s="9" t="s">
        <v>58</v>
      </c>
      <c r="N398" s="9" t="s">
        <v>66</v>
      </c>
    </row>
    <row r="399" spans="1:14" ht="14" x14ac:dyDescent="0.15">
      <c r="A399" s="9" t="s">
        <v>912</v>
      </c>
      <c r="B399" s="9" t="s">
        <v>241</v>
      </c>
      <c r="C399" s="9" t="s">
        <v>908</v>
      </c>
      <c r="D399" s="9" t="s">
        <v>913</v>
      </c>
      <c r="E399" s="9" t="s">
        <v>243</v>
      </c>
      <c r="F399" s="9" t="s">
        <v>52</v>
      </c>
      <c r="G399" s="9" t="s">
        <v>69</v>
      </c>
      <c r="H399" s="9"/>
      <c r="I399" s="9"/>
      <c r="J399" s="9"/>
      <c r="K399" s="9"/>
      <c r="L399" s="9" t="s">
        <v>3</v>
      </c>
      <c r="M399" s="9" t="s">
        <v>58</v>
      </c>
      <c r="N399" s="9" t="s">
        <v>66</v>
      </c>
    </row>
    <row r="400" spans="1:14" ht="14" x14ac:dyDescent="0.15">
      <c r="A400" s="9" t="s">
        <v>914</v>
      </c>
      <c r="B400" s="9" t="s">
        <v>241</v>
      </c>
      <c r="C400" s="9" t="s">
        <v>908</v>
      </c>
      <c r="D400" s="9" t="s">
        <v>915</v>
      </c>
      <c r="E400" s="9" t="s">
        <v>243</v>
      </c>
      <c r="F400" s="9" t="s">
        <v>52</v>
      </c>
      <c r="G400" s="9" t="s">
        <v>69</v>
      </c>
      <c r="H400" s="9"/>
      <c r="I400" s="9"/>
      <c r="J400" s="9"/>
      <c r="K400" s="9"/>
      <c r="L400" s="9" t="s">
        <v>3</v>
      </c>
      <c r="M400" s="9" t="s">
        <v>58</v>
      </c>
      <c r="N400" s="9" t="s">
        <v>66</v>
      </c>
    </row>
    <row r="401" spans="1:14" ht="14" x14ac:dyDescent="0.15">
      <c r="A401" s="9" t="s">
        <v>916</v>
      </c>
      <c r="B401" s="9" t="s">
        <v>241</v>
      </c>
      <c r="C401" s="9" t="s">
        <v>908</v>
      </c>
      <c r="D401" s="9" t="s">
        <v>917</v>
      </c>
      <c r="E401" s="9" t="s">
        <v>243</v>
      </c>
      <c r="F401" s="9" t="s">
        <v>52</v>
      </c>
      <c r="G401" s="9" t="s">
        <v>69</v>
      </c>
      <c r="H401" s="9"/>
      <c r="I401" s="9"/>
      <c r="J401" s="9"/>
      <c r="K401" s="9"/>
      <c r="L401" s="9" t="s">
        <v>3</v>
      </c>
      <c r="M401" s="9" t="s">
        <v>58</v>
      </c>
      <c r="N401" s="9" t="s">
        <v>66</v>
      </c>
    </row>
    <row r="402" spans="1:14" ht="14" x14ac:dyDescent="0.15">
      <c r="A402" s="9" t="s">
        <v>918</v>
      </c>
      <c r="B402" s="9" t="s">
        <v>241</v>
      </c>
      <c r="C402" s="9" t="s">
        <v>908</v>
      </c>
      <c r="D402" s="9" t="s">
        <v>919</v>
      </c>
      <c r="E402" s="9" t="s">
        <v>243</v>
      </c>
      <c r="F402" s="9" t="s">
        <v>52</v>
      </c>
      <c r="G402" s="9" t="s">
        <v>69</v>
      </c>
      <c r="H402" s="9"/>
      <c r="I402" s="9"/>
      <c r="J402" s="9"/>
      <c r="K402" s="9"/>
      <c r="L402" s="9" t="s">
        <v>3</v>
      </c>
      <c r="M402" s="9" t="s">
        <v>58</v>
      </c>
      <c r="N402" s="9" t="s">
        <v>66</v>
      </c>
    </row>
    <row r="403" spans="1:14" ht="14" x14ac:dyDescent="0.15">
      <c r="A403" s="9" t="s">
        <v>920</v>
      </c>
      <c r="B403" s="9" t="s">
        <v>241</v>
      </c>
      <c r="C403" s="9" t="s">
        <v>908</v>
      </c>
      <c r="D403" s="9" t="s">
        <v>921</v>
      </c>
      <c r="E403" s="9" t="s">
        <v>243</v>
      </c>
      <c r="F403" s="9" t="s">
        <v>52</v>
      </c>
      <c r="G403" s="9" t="s">
        <v>69</v>
      </c>
      <c r="H403" s="9"/>
      <c r="I403" s="9"/>
      <c r="J403" s="9"/>
      <c r="K403" s="9"/>
      <c r="L403" s="9" t="s">
        <v>3</v>
      </c>
      <c r="M403" s="9" t="s">
        <v>58</v>
      </c>
      <c r="N403" s="9" t="s">
        <v>66</v>
      </c>
    </row>
    <row r="404" spans="1:14" ht="14" x14ac:dyDescent="0.15">
      <c r="A404" s="9" t="s">
        <v>922</v>
      </c>
      <c r="B404" s="9" t="s">
        <v>241</v>
      </c>
      <c r="C404" s="9" t="s">
        <v>923</v>
      </c>
      <c r="D404" s="9" t="s">
        <v>924</v>
      </c>
      <c r="E404" s="9" t="s">
        <v>243</v>
      </c>
      <c r="F404" s="9" t="s">
        <v>52</v>
      </c>
      <c r="G404" s="9" t="s">
        <v>69</v>
      </c>
      <c r="H404" s="9"/>
      <c r="I404" s="9"/>
      <c r="J404" s="9"/>
      <c r="K404" s="9"/>
      <c r="L404" s="9" t="s">
        <v>3</v>
      </c>
      <c r="M404" s="9" t="s">
        <v>58</v>
      </c>
      <c r="N404" s="9" t="s">
        <v>66</v>
      </c>
    </row>
    <row r="405" spans="1:14" ht="14" x14ac:dyDescent="0.15">
      <c r="A405" s="9" t="s">
        <v>925</v>
      </c>
      <c r="B405" s="9" t="s">
        <v>241</v>
      </c>
      <c r="C405" s="9" t="s">
        <v>923</v>
      </c>
      <c r="D405" s="9" t="s">
        <v>926</v>
      </c>
      <c r="E405" s="9" t="s">
        <v>243</v>
      </c>
      <c r="F405" s="9" t="s">
        <v>52</v>
      </c>
      <c r="G405" s="9" t="s">
        <v>69</v>
      </c>
      <c r="H405" s="9"/>
      <c r="I405" s="9"/>
      <c r="J405" s="9"/>
      <c r="K405" s="9"/>
      <c r="L405" s="9" t="s">
        <v>3</v>
      </c>
      <c r="M405" s="9" t="s">
        <v>58</v>
      </c>
      <c r="N405" s="9" t="s">
        <v>66</v>
      </c>
    </row>
    <row r="406" spans="1:14" ht="14" x14ac:dyDescent="0.15">
      <c r="A406" s="9" t="s">
        <v>927</v>
      </c>
      <c r="B406" s="9" t="s">
        <v>241</v>
      </c>
      <c r="C406" s="9" t="s">
        <v>923</v>
      </c>
      <c r="D406" s="9" t="s">
        <v>928</v>
      </c>
      <c r="E406" s="9" t="s">
        <v>243</v>
      </c>
      <c r="F406" s="9" t="s">
        <v>52</v>
      </c>
      <c r="G406" s="9" t="s">
        <v>69</v>
      </c>
      <c r="H406" s="9"/>
      <c r="I406" s="9"/>
      <c r="J406" s="9"/>
      <c r="K406" s="9"/>
      <c r="L406" s="9" t="s">
        <v>3</v>
      </c>
      <c r="M406" s="9" t="s">
        <v>58</v>
      </c>
      <c r="N406" s="9" t="s">
        <v>66</v>
      </c>
    </row>
    <row r="407" spans="1:14" ht="14" x14ac:dyDescent="0.15">
      <c r="A407" s="9" t="s">
        <v>929</v>
      </c>
      <c r="B407" s="9" t="s">
        <v>241</v>
      </c>
      <c r="C407" s="9" t="s">
        <v>923</v>
      </c>
      <c r="D407" s="9" t="s">
        <v>930</v>
      </c>
      <c r="E407" s="9" t="s">
        <v>243</v>
      </c>
      <c r="F407" s="9" t="s">
        <v>52</v>
      </c>
      <c r="G407" s="9" t="s">
        <v>69</v>
      </c>
      <c r="H407" s="9"/>
      <c r="I407" s="9"/>
      <c r="J407" s="9"/>
      <c r="K407" s="9"/>
      <c r="L407" s="9" t="s">
        <v>3</v>
      </c>
      <c r="M407" s="9" t="s">
        <v>58</v>
      </c>
      <c r="N407" s="9" t="s">
        <v>66</v>
      </c>
    </row>
    <row r="408" spans="1:14" ht="14" x14ac:dyDescent="0.15">
      <c r="A408" s="9" t="s">
        <v>931</v>
      </c>
      <c r="B408" s="9" t="s">
        <v>241</v>
      </c>
      <c r="C408" s="9" t="s">
        <v>923</v>
      </c>
      <c r="D408" s="9" t="s">
        <v>932</v>
      </c>
      <c r="E408" s="9" t="s">
        <v>243</v>
      </c>
      <c r="F408" s="9" t="s">
        <v>52</v>
      </c>
      <c r="G408" s="9" t="s">
        <v>69</v>
      </c>
      <c r="H408" s="9"/>
      <c r="I408" s="9"/>
      <c r="J408" s="9"/>
      <c r="K408" s="9"/>
      <c r="L408" s="9" t="s">
        <v>3</v>
      </c>
      <c r="M408" s="9" t="s">
        <v>58</v>
      </c>
      <c r="N408" s="9" t="s">
        <v>66</v>
      </c>
    </row>
    <row r="409" spans="1:14" ht="14" x14ac:dyDescent="0.15">
      <c r="A409" s="9" t="s">
        <v>933</v>
      </c>
      <c r="B409" s="9" t="s">
        <v>241</v>
      </c>
      <c r="C409" s="9" t="s">
        <v>923</v>
      </c>
      <c r="D409" s="9" t="s">
        <v>934</v>
      </c>
      <c r="E409" s="9" t="s">
        <v>243</v>
      </c>
      <c r="F409" s="9" t="s">
        <v>52</v>
      </c>
      <c r="G409" s="9" t="s">
        <v>69</v>
      </c>
      <c r="H409" s="9"/>
      <c r="I409" s="9"/>
      <c r="J409" s="9"/>
      <c r="K409" s="9"/>
      <c r="L409" s="9" t="s">
        <v>3</v>
      </c>
      <c r="M409" s="9" t="s">
        <v>58</v>
      </c>
      <c r="N409" s="9" t="s">
        <v>66</v>
      </c>
    </row>
    <row r="410" spans="1:14" ht="14" x14ac:dyDescent="0.15">
      <c r="A410" s="9" t="s">
        <v>935</v>
      </c>
      <c r="B410" s="9" t="s">
        <v>241</v>
      </c>
      <c r="C410" s="9" t="s">
        <v>923</v>
      </c>
      <c r="D410" s="9" t="s">
        <v>936</v>
      </c>
      <c r="E410" s="9" t="s">
        <v>243</v>
      </c>
      <c r="F410" s="9" t="s">
        <v>52</v>
      </c>
      <c r="G410" s="9" t="s">
        <v>69</v>
      </c>
      <c r="H410" s="9"/>
      <c r="I410" s="9"/>
      <c r="J410" s="9"/>
      <c r="K410" s="9"/>
      <c r="L410" s="9" t="s">
        <v>3</v>
      </c>
      <c r="M410" s="9" t="s">
        <v>58</v>
      </c>
      <c r="N410" s="9" t="s">
        <v>66</v>
      </c>
    </row>
    <row r="411" spans="1:14" ht="14" x14ac:dyDescent="0.15">
      <c r="A411" s="9" t="s">
        <v>937</v>
      </c>
      <c r="B411" s="9" t="s">
        <v>241</v>
      </c>
      <c r="C411" s="9" t="s">
        <v>923</v>
      </c>
      <c r="D411" s="9" t="s">
        <v>938</v>
      </c>
      <c r="E411" s="9" t="s">
        <v>243</v>
      </c>
      <c r="F411" s="9" t="s">
        <v>52</v>
      </c>
      <c r="G411" s="9" t="s">
        <v>69</v>
      </c>
      <c r="H411" s="9"/>
      <c r="I411" s="9"/>
      <c r="J411" s="9"/>
      <c r="K411" s="9"/>
      <c r="L411" s="9" t="s">
        <v>3</v>
      </c>
      <c r="M411" s="9" t="s">
        <v>58</v>
      </c>
      <c r="N411" s="9" t="s">
        <v>66</v>
      </c>
    </row>
    <row r="412" spans="1:14" ht="14" x14ac:dyDescent="0.15">
      <c r="A412" s="9" t="s">
        <v>939</v>
      </c>
      <c r="B412" s="9" t="s">
        <v>241</v>
      </c>
      <c r="C412" s="9" t="s">
        <v>923</v>
      </c>
      <c r="D412" s="9" t="s">
        <v>940</v>
      </c>
      <c r="E412" s="9" t="s">
        <v>243</v>
      </c>
      <c r="F412" s="9" t="s">
        <v>52</v>
      </c>
      <c r="G412" s="9" t="s">
        <v>69</v>
      </c>
      <c r="H412" s="9"/>
      <c r="I412" s="9"/>
      <c r="J412" s="9"/>
      <c r="K412" s="9"/>
      <c r="L412" s="9" t="s">
        <v>3</v>
      </c>
      <c r="M412" s="9" t="s">
        <v>58</v>
      </c>
      <c r="N412" s="9" t="s">
        <v>66</v>
      </c>
    </row>
    <row r="413" spans="1:14" ht="14" x14ac:dyDescent="0.15">
      <c r="A413" s="9" t="s">
        <v>941</v>
      </c>
      <c r="B413" s="9" t="s">
        <v>241</v>
      </c>
      <c r="C413" s="9" t="s">
        <v>923</v>
      </c>
      <c r="D413" s="9" t="s">
        <v>942</v>
      </c>
      <c r="E413" s="9" t="s">
        <v>243</v>
      </c>
      <c r="F413" s="9" t="s">
        <v>52</v>
      </c>
      <c r="G413" s="9" t="s">
        <v>69</v>
      </c>
      <c r="H413" s="9"/>
      <c r="I413" s="9"/>
      <c r="J413" s="9"/>
      <c r="K413" s="9"/>
      <c r="L413" s="9" t="s">
        <v>3</v>
      </c>
      <c r="M413" s="9" t="s">
        <v>58</v>
      </c>
      <c r="N413" s="9" t="s">
        <v>66</v>
      </c>
    </row>
    <row r="414" spans="1:14" ht="14" x14ac:dyDescent="0.15">
      <c r="A414" s="9" t="s">
        <v>943</v>
      </c>
      <c r="B414" s="9" t="s">
        <v>241</v>
      </c>
      <c r="C414" s="9" t="s">
        <v>923</v>
      </c>
      <c r="D414" s="9" t="s">
        <v>944</v>
      </c>
      <c r="E414" s="9" t="s">
        <v>243</v>
      </c>
      <c r="F414" s="9" t="s">
        <v>52</v>
      </c>
      <c r="G414" s="9" t="s">
        <v>69</v>
      </c>
      <c r="H414" s="9"/>
      <c r="I414" s="9"/>
      <c r="J414" s="9"/>
      <c r="K414" s="9"/>
      <c r="L414" s="9" t="s">
        <v>3</v>
      </c>
      <c r="M414" s="9" t="s">
        <v>58</v>
      </c>
      <c r="N414" s="9" t="s">
        <v>66</v>
      </c>
    </row>
    <row r="415" spans="1:14" ht="14" x14ac:dyDescent="0.15">
      <c r="A415" s="9" t="s">
        <v>945</v>
      </c>
      <c r="B415" s="9" t="s">
        <v>241</v>
      </c>
      <c r="C415" s="9" t="s">
        <v>923</v>
      </c>
      <c r="D415" s="9" t="s">
        <v>946</v>
      </c>
      <c r="E415" s="9" t="s">
        <v>243</v>
      </c>
      <c r="F415" s="9" t="s">
        <v>52</v>
      </c>
      <c r="G415" s="9" t="s">
        <v>69</v>
      </c>
      <c r="H415" s="9"/>
      <c r="I415" s="9"/>
      <c r="J415" s="9"/>
      <c r="K415" s="9"/>
      <c r="L415" s="9" t="s">
        <v>3</v>
      </c>
      <c r="M415" s="9" t="s">
        <v>58</v>
      </c>
      <c r="N415" s="9" t="s">
        <v>66</v>
      </c>
    </row>
    <row r="416" spans="1:14" ht="14" x14ac:dyDescent="0.15">
      <c r="A416" s="9" t="s">
        <v>947</v>
      </c>
      <c r="B416" s="9" t="s">
        <v>241</v>
      </c>
      <c r="C416" s="9" t="s">
        <v>923</v>
      </c>
      <c r="D416" s="9" t="s">
        <v>948</v>
      </c>
      <c r="E416" s="9" t="s">
        <v>243</v>
      </c>
      <c r="F416" s="9" t="s">
        <v>52</v>
      </c>
      <c r="G416" s="9" t="s">
        <v>69</v>
      </c>
      <c r="H416" s="9"/>
      <c r="I416" s="9"/>
      <c r="J416" s="9"/>
      <c r="K416" s="9"/>
      <c r="L416" s="9" t="s">
        <v>3</v>
      </c>
      <c r="M416" s="9" t="s">
        <v>58</v>
      </c>
      <c r="N416" s="9" t="s">
        <v>66</v>
      </c>
    </row>
    <row r="417" spans="1:14" ht="14" x14ac:dyDescent="0.15">
      <c r="A417" s="9" t="s">
        <v>949</v>
      </c>
      <c r="B417" s="9" t="s">
        <v>241</v>
      </c>
      <c r="C417" s="9" t="s">
        <v>923</v>
      </c>
      <c r="D417" s="9" t="s">
        <v>950</v>
      </c>
      <c r="E417" s="9" t="s">
        <v>243</v>
      </c>
      <c r="F417" s="9" t="s">
        <v>52</v>
      </c>
      <c r="G417" s="9" t="s">
        <v>69</v>
      </c>
      <c r="H417" s="9"/>
      <c r="I417" s="9"/>
      <c r="J417" s="9"/>
      <c r="K417" s="9"/>
      <c r="L417" s="9" t="s">
        <v>3</v>
      </c>
      <c r="M417" s="9" t="s">
        <v>58</v>
      </c>
      <c r="N417" s="9" t="s">
        <v>66</v>
      </c>
    </row>
    <row r="418" spans="1:14" ht="14" x14ac:dyDescent="0.15">
      <c r="A418" s="9" t="s">
        <v>951</v>
      </c>
      <c r="B418" s="9" t="s">
        <v>241</v>
      </c>
      <c r="C418" s="9" t="s">
        <v>923</v>
      </c>
      <c r="D418" s="9" t="s">
        <v>952</v>
      </c>
      <c r="E418" s="9" t="s">
        <v>243</v>
      </c>
      <c r="F418" s="9" t="s">
        <v>52</v>
      </c>
      <c r="G418" s="9" t="s">
        <v>69</v>
      </c>
      <c r="H418" s="9"/>
      <c r="I418" s="9"/>
      <c r="J418" s="9"/>
      <c r="K418" s="9"/>
      <c r="L418" s="9" t="s">
        <v>3</v>
      </c>
      <c r="M418" s="9" t="s">
        <v>58</v>
      </c>
      <c r="N418" s="9" t="s">
        <v>66</v>
      </c>
    </row>
    <row r="419" spans="1:14" ht="14" x14ac:dyDescent="0.15">
      <c r="A419" s="9" t="s">
        <v>953</v>
      </c>
      <c r="B419" s="9" t="s">
        <v>241</v>
      </c>
      <c r="C419" s="9" t="s">
        <v>923</v>
      </c>
      <c r="D419" s="9" t="s">
        <v>954</v>
      </c>
      <c r="E419" s="9" t="s">
        <v>243</v>
      </c>
      <c r="F419" s="9" t="s">
        <v>52</v>
      </c>
      <c r="G419" s="9" t="s">
        <v>69</v>
      </c>
      <c r="H419" s="9"/>
      <c r="I419" s="9"/>
      <c r="J419" s="9"/>
      <c r="K419" s="9"/>
      <c r="L419" s="9" t="s">
        <v>3</v>
      </c>
      <c r="M419" s="9" t="s">
        <v>58</v>
      </c>
      <c r="N419" s="9" t="s">
        <v>66</v>
      </c>
    </row>
    <row r="420" spans="1:14" ht="14" x14ac:dyDescent="0.15">
      <c r="A420" s="9" t="s">
        <v>955</v>
      </c>
      <c r="B420" s="9" t="s">
        <v>241</v>
      </c>
      <c r="C420" s="9" t="s">
        <v>923</v>
      </c>
      <c r="D420" s="9" t="s">
        <v>956</v>
      </c>
      <c r="E420" s="9" t="s">
        <v>243</v>
      </c>
      <c r="F420" s="9" t="s">
        <v>52</v>
      </c>
      <c r="G420" s="9" t="s">
        <v>69</v>
      </c>
      <c r="H420" s="9"/>
      <c r="I420" s="9"/>
      <c r="J420" s="9"/>
      <c r="K420" s="9"/>
      <c r="L420" s="9" t="s">
        <v>3</v>
      </c>
      <c r="M420" s="9" t="s">
        <v>58</v>
      </c>
      <c r="N420" s="9" t="s">
        <v>66</v>
      </c>
    </row>
    <row r="421" spans="1:14" ht="14" x14ac:dyDescent="0.15">
      <c r="A421" s="9" t="s">
        <v>957</v>
      </c>
      <c r="B421" s="9" t="s">
        <v>241</v>
      </c>
      <c r="C421" s="9" t="s">
        <v>923</v>
      </c>
      <c r="D421" s="9" t="s">
        <v>958</v>
      </c>
      <c r="E421" s="9" t="s">
        <v>243</v>
      </c>
      <c r="F421" s="9" t="s">
        <v>52</v>
      </c>
      <c r="G421" s="9" t="s">
        <v>69</v>
      </c>
      <c r="H421" s="9"/>
      <c r="I421" s="9"/>
      <c r="J421" s="9"/>
      <c r="K421" s="9"/>
      <c r="L421" s="9" t="s">
        <v>3</v>
      </c>
      <c r="M421" s="9" t="s">
        <v>58</v>
      </c>
      <c r="N421" s="9" t="s">
        <v>66</v>
      </c>
    </row>
    <row r="422" spans="1:14" ht="14" x14ac:dyDescent="0.15">
      <c r="A422" s="9" t="s">
        <v>959</v>
      </c>
      <c r="B422" s="9" t="s">
        <v>241</v>
      </c>
      <c r="C422" s="9" t="s">
        <v>923</v>
      </c>
      <c r="D422" s="9" t="s">
        <v>960</v>
      </c>
      <c r="E422" s="9" t="s">
        <v>243</v>
      </c>
      <c r="F422" s="9" t="s">
        <v>52</v>
      </c>
      <c r="G422" s="9" t="s">
        <v>69</v>
      </c>
      <c r="H422" s="9"/>
      <c r="I422" s="9"/>
      <c r="J422" s="9"/>
      <c r="K422" s="9"/>
      <c r="L422" s="9" t="s">
        <v>3</v>
      </c>
      <c r="M422" s="9" t="s">
        <v>58</v>
      </c>
      <c r="N422" s="9" t="s">
        <v>66</v>
      </c>
    </row>
    <row r="423" spans="1:14" ht="14" x14ac:dyDescent="0.15">
      <c r="A423" s="9" t="s">
        <v>961</v>
      </c>
      <c r="B423" s="9" t="s">
        <v>241</v>
      </c>
      <c r="C423" s="9" t="s">
        <v>923</v>
      </c>
      <c r="D423" s="9" t="s">
        <v>962</v>
      </c>
      <c r="E423" s="9" t="s">
        <v>243</v>
      </c>
      <c r="F423" s="9" t="s">
        <v>52</v>
      </c>
      <c r="G423" s="9" t="s">
        <v>69</v>
      </c>
      <c r="H423" s="9"/>
      <c r="I423" s="9"/>
      <c r="J423" s="9"/>
      <c r="K423" s="9"/>
      <c r="L423" s="9" t="s">
        <v>3</v>
      </c>
      <c r="M423" s="9" t="s">
        <v>58</v>
      </c>
      <c r="N423" s="9" t="s">
        <v>66</v>
      </c>
    </row>
    <row r="424" spans="1:14" ht="14" x14ac:dyDescent="0.15">
      <c r="A424" s="9" t="s">
        <v>963</v>
      </c>
      <c r="B424" s="9" t="s">
        <v>241</v>
      </c>
      <c r="C424" s="9" t="s">
        <v>923</v>
      </c>
      <c r="D424" s="9" t="s">
        <v>964</v>
      </c>
      <c r="E424" s="9" t="s">
        <v>243</v>
      </c>
      <c r="F424" s="9" t="s">
        <v>52</v>
      </c>
      <c r="G424" s="9" t="s">
        <v>69</v>
      </c>
      <c r="H424" s="9"/>
      <c r="I424" s="9"/>
      <c r="J424" s="9"/>
      <c r="K424" s="9"/>
      <c r="L424" s="9" t="s">
        <v>3</v>
      </c>
      <c r="M424" s="9" t="s">
        <v>58</v>
      </c>
      <c r="N424" s="9" t="s">
        <v>66</v>
      </c>
    </row>
    <row r="425" spans="1:14" ht="14" x14ac:dyDescent="0.15">
      <c r="A425" s="9" t="s">
        <v>965</v>
      </c>
      <c r="B425" s="9" t="s">
        <v>241</v>
      </c>
      <c r="C425" s="9" t="s">
        <v>923</v>
      </c>
      <c r="D425" s="9" t="s">
        <v>966</v>
      </c>
      <c r="E425" s="9" t="s">
        <v>243</v>
      </c>
      <c r="F425" s="9" t="s">
        <v>52</v>
      </c>
      <c r="G425" s="9" t="s">
        <v>69</v>
      </c>
      <c r="H425" s="9"/>
      <c r="I425" s="9"/>
      <c r="J425" s="9"/>
      <c r="K425" s="9"/>
      <c r="L425" s="9" t="s">
        <v>3</v>
      </c>
      <c r="M425" s="9" t="s">
        <v>58</v>
      </c>
      <c r="N425" s="9" t="s">
        <v>66</v>
      </c>
    </row>
    <row r="426" spans="1:14" ht="14" x14ac:dyDescent="0.15">
      <c r="A426" s="9" t="s">
        <v>967</v>
      </c>
      <c r="B426" s="9" t="s">
        <v>241</v>
      </c>
      <c r="C426" s="9" t="s">
        <v>923</v>
      </c>
      <c r="D426" s="9" t="s">
        <v>968</v>
      </c>
      <c r="E426" s="9" t="s">
        <v>243</v>
      </c>
      <c r="F426" s="9" t="s">
        <v>52</v>
      </c>
      <c r="G426" s="9" t="s">
        <v>69</v>
      </c>
      <c r="H426" s="9"/>
      <c r="I426" s="9"/>
      <c r="J426" s="9"/>
      <c r="K426" s="9"/>
      <c r="L426" s="9" t="s">
        <v>3</v>
      </c>
      <c r="M426" s="9" t="s">
        <v>58</v>
      </c>
      <c r="N426" s="9" t="s">
        <v>66</v>
      </c>
    </row>
    <row r="427" spans="1:14" ht="14" x14ac:dyDescent="0.15">
      <c r="A427" s="9" t="s">
        <v>969</v>
      </c>
      <c r="B427" s="9" t="s">
        <v>241</v>
      </c>
      <c r="C427" s="9" t="s">
        <v>923</v>
      </c>
      <c r="D427" s="9" t="s">
        <v>970</v>
      </c>
      <c r="E427" s="9" t="s">
        <v>243</v>
      </c>
      <c r="F427" s="9" t="s">
        <v>52</v>
      </c>
      <c r="G427" s="9" t="s">
        <v>69</v>
      </c>
      <c r="H427" s="9"/>
      <c r="I427" s="9"/>
      <c r="J427" s="9"/>
      <c r="K427" s="9"/>
      <c r="L427" s="9" t="s">
        <v>3</v>
      </c>
      <c r="M427" s="9" t="s">
        <v>58</v>
      </c>
      <c r="N427" s="9" t="s">
        <v>66</v>
      </c>
    </row>
    <row r="428" spans="1:14" ht="14" x14ac:dyDescent="0.15">
      <c r="A428" s="9" t="s">
        <v>971</v>
      </c>
      <c r="B428" s="9" t="s">
        <v>241</v>
      </c>
      <c r="C428" s="9" t="s">
        <v>923</v>
      </c>
      <c r="D428" s="9" t="s">
        <v>972</v>
      </c>
      <c r="E428" s="9" t="s">
        <v>243</v>
      </c>
      <c r="F428" s="9" t="s">
        <v>52</v>
      </c>
      <c r="G428" s="9" t="s">
        <v>69</v>
      </c>
      <c r="H428" s="9"/>
      <c r="I428" s="9"/>
      <c r="J428" s="9"/>
      <c r="K428" s="9"/>
      <c r="L428" s="9" t="s">
        <v>3</v>
      </c>
      <c r="M428" s="9" t="s">
        <v>58</v>
      </c>
      <c r="N428" s="9" t="s">
        <v>66</v>
      </c>
    </row>
    <row r="429" spans="1:14" ht="14" x14ac:dyDescent="0.15">
      <c r="A429" s="9" t="s">
        <v>973</v>
      </c>
      <c r="B429" s="9" t="s">
        <v>241</v>
      </c>
      <c r="C429" s="9" t="s">
        <v>923</v>
      </c>
      <c r="D429" s="9" t="s">
        <v>974</v>
      </c>
      <c r="E429" s="9" t="s">
        <v>243</v>
      </c>
      <c r="F429" s="9" t="s">
        <v>52</v>
      </c>
      <c r="G429" s="9" t="s">
        <v>69</v>
      </c>
      <c r="H429" s="9"/>
      <c r="I429" s="9"/>
      <c r="J429" s="9"/>
      <c r="K429" s="9"/>
      <c r="L429" s="9" t="s">
        <v>3</v>
      </c>
      <c r="M429" s="9" t="s">
        <v>58</v>
      </c>
      <c r="N429" s="9" t="s">
        <v>66</v>
      </c>
    </row>
    <row r="430" spans="1:14" ht="14" x14ac:dyDescent="0.15">
      <c r="A430" s="9" t="s">
        <v>975</v>
      </c>
      <c r="B430" s="9" t="s">
        <v>241</v>
      </c>
      <c r="C430" s="9" t="s">
        <v>923</v>
      </c>
      <c r="D430" s="9" t="s">
        <v>976</v>
      </c>
      <c r="E430" s="9" t="s">
        <v>243</v>
      </c>
      <c r="F430" s="9" t="s">
        <v>52</v>
      </c>
      <c r="G430" s="9" t="s">
        <v>69</v>
      </c>
      <c r="H430" s="9"/>
      <c r="I430" s="9"/>
      <c r="J430" s="9"/>
      <c r="K430" s="9"/>
      <c r="L430" s="9" t="s">
        <v>3</v>
      </c>
      <c r="M430" s="9" t="s">
        <v>58</v>
      </c>
      <c r="N430" s="9" t="s">
        <v>66</v>
      </c>
    </row>
    <row r="431" spans="1:14" ht="14" x14ac:dyDescent="0.15">
      <c r="A431" s="9" t="s">
        <v>977</v>
      </c>
      <c r="B431" s="9" t="s">
        <v>241</v>
      </c>
      <c r="C431" s="9" t="s">
        <v>923</v>
      </c>
      <c r="D431" s="9" t="s">
        <v>978</v>
      </c>
      <c r="E431" s="9" t="s">
        <v>243</v>
      </c>
      <c r="F431" s="9" t="s">
        <v>52</v>
      </c>
      <c r="G431" s="9" t="s">
        <v>69</v>
      </c>
      <c r="H431" s="9"/>
      <c r="I431" s="9"/>
      <c r="J431" s="9"/>
      <c r="K431" s="9"/>
      <c r="L431" s="9" t="s">
        <v>3</v>
      </c>
      <c r="M431" s="9" t="s">
        <v>58</v>
      </c>
      <c r="N431" s="9" t="s">
        <v>66</v>
      </c>
    </row>
    <row r="432" spans="1:14" ht="14" x14ac:dyDescent="0.15">
      <c r="A432" s="9" t="s">
        <v>979</v>
      </c>
      <c r="B432" s="9" t="s">
        <v>241</v>
      </c>
      <c r="C432" s="9" t="s">
        <v>923</v>
      </c>
      <c r="D432" s="9" t="s">
        <v>980</v>
      </c>
      <c r="E432" s="9" t="s">
        <v>243</v>
      </c>
      <c r="F432" s="9" t="s">
        <v>52</v>
      </c>
      <c r="G432" s="9" t="s">
        <v>69</v>
      </c>
      <c r="H432" s="9"/>
      <c r="I432" s="9"/>
      <c r="J432" s="9"/>
      <c r="K432" s="9"/>
      <c r="L432" s="9" t="s">
        <v>3</v>
      </c>
      <c r="M432" s="9" t="s">
        <v>58</v>
      </c>
      <c r="N432" s="9" t="s">
        <v>66</v>
      </c>
    </row>
    <row r="433" spans="1:14" ht="14" x14ac:dyDescent="0.15">
      <c r="A433" s="9" t="s">
        <v>981</v>
      </c>
      <c r="B433" s="9" t="s">
        <v>241</v>
      </c>
      <c r="C433" s="9" t="s">
        <v>923</v>
      </c>
      <c r="D433" s="9" t="s">
        <v>982</v>
      </c>
      <c r="E433" s="9" t="s">
        <v>243</v>
      </c>
      <c r="F433" s="9" t="s">
        <v>52</v>
      </c>
      <c r="G433" s="9" t="s">
        <v>69</v>
      </c>
      <c r="H433" s="9"/>
      <c r="I433" s="9"/>
      <c r="J433" s="9"/>
      <c r="K433" s="9"/>
      <c r="L433" s="9" t="s">
        <v>3</v>
      </c>
      <c r="M433" s="9" t="s">
        <v>58</v>
      </c>
      <c r="N433" s="9" t="s">
        <v>66</v>
      </c>
    </row>
    <row r="434" spans="1:14" ht="14" x14ac:dyDescent="0.15">
      <c r="A434" s="9" t="s">
        <v>983</v>
      </c>
      <c r="B434" s="9" t="s">
        <v>241</v>
      </c>
      <c r="C434" s="9" t="s">
        <v>923</v>
      </c>
      <c r="D434" s="9" t="s">
        <v>984</v>
      </c>
      <c r="E434" s="9" t="s">
        <v>243</v>
      </c>
      <c r="F434" s="9" t="s">
        <v>52</v>
      </c>
      <c r="G434" s="9" t="s">
        <v>69</v>
      </c>
      <c r="H434" s="9"/>
      <c r="I434" s="9"/>
      <c r="J434" s="9"/>
      <c r="K434" s="9"/>
      <c r="L434" s="9" t="s">
        <v>3</v>
      </c>
      <c r="M434" s="9" t="s">
        <v>58</v>
      </c>
      <c r="N434" s="9" t="s">
        <v>66</v>
      </c>
    </row>
    <row r="435" spans="1:14" ht="14" x14ac:dyDescent="0.15">
      <c r="A435" s="9" t="s">
        <v>985</v>
      </c>
      <c r="B435" s="9" t="s">
        <v>241</v>
      </c>
      <c r="C435" s="9" t="s">
        <v>923</v>
      </c>
      <c r="D435" s="9" t="s">
        <v>986</v>
      </c>
      <c r="E435" s="9" t="s">
        <v>243</v>
      </c>
      <c r="F435" s="9" t="s">
        <v>52</v>
      </c>
      <c r="G435" s="9" t="s">
        <v>69</v>
      </c>
      <c r="H435" s="9"/>
      <c r="I435" s="9"/>
      <c r="J435" s="9"/>
      <c r="K435" s="9"/>
      <c r="L435" s="9" t="s">
        <v>3</v>
      </c>
      <c r="M435" s="9" t="s">
        <v>58</v>
      </c>
      <c r="N435" s="9" t="s">
        <v>66</v>
      </c>
    </row>
    <row r="436" spans="1:14" ht="14" x14ac:dyDescent="0.15">
      <c r="A436" s="9" t="s">
        <v>987</v>
      </c>
      <c r="B436" s="9" t="s">
        <v>241</v>
      </c>
      <c r="C436" s="9" t="s">
        <v>923</v>
      </c>
      <c r="D436" s="9" t="s">
        <v>988</v>
      </c>
      <c r="E436" s="9" t="s">
        <v>243</v>
      </c>
      <c r="F436" s="9" t="s">
        <v>52</v>
      </c>
      <c r="G436" s="9" t="s">
        <v>69</v>
      </c>
      <c r="H436" s="9"/>
      <c r="I436" s="9"/>
      <c r="J436" s="9"/>
      <c r="K436" s="9"/>
      <c r="L436" s="9" t="s">
        <v>3</v>
      </c>
      <c r="M436" s="9" t="s">
        <v>58</v>
      </c>
      <c r="N436" s="9" t="s">
        <v>66</v>
      </c>
    </row>
    <row r="437" spans="1:14" ht="14" x14ac:dyDescent="0.15">
      <c r="A437" s="9" t="s">
        <v>989</v>
      </c>
      <c r="B437" s="9" t="s">
        <v>241</v>
      </c>
      <c r="C437" s="9" t="s">
        <v>923</v>
      </c>
      <c r="D437" s="9" t="s">
        <v>990</v>
      </c>
      <c r="E437" s="9" t="s">
        <v>243</v>
      </c>
      <c r="F437" s="9" t="s">
        <v>52</v>
      </c>
      <c r="G437" s="9" t="s">
        <v>69</v>
      </c>
      <c r="H437" s="9"/>
      <c r="I437" s="9"/>
      <c r="J437" s="9"/>
      <c r="K437" s="9"/>
      <c r="L437" s="9" t="s">
        <v>3</v>
      </c>
      <c r="M437" s="9" t="s">
        <v>58</v>
      </c>
      <c r="N437" s="9" t="s">
        <v>66</v>
      </c>
    </row>
    <row r="438" spans="1:14" ht="14" x14ac:dyDescent="0.15">
      <c r="A438" s="9" t="s">
        <v>991</v>
      </c>
      <c r="B438" s="9" t="s">
        <v>241</v>
      </c>
      <c r="C438" s="9" t="s">
        <v>923</v>
      </c>
      <c r="D438" s="9" t="s">
        <v>992</v>
      </c>
      <c r="E438" s="9" t="s">
        <v>243</v>
      </c>
      <c r="F438" s="9" t="s">
        <v>52</v>
      </c>
      <c r="G438" s="9" t="s">
        <v>69</v>
      </c>
      <c r="H438" s="9"/>
      <c r="I438" s="9"/>
      <c r="J438" s="9"/>
      <c r="K438" s="9"/>
      <c r="L438" s="9" t="s">
        <v>3</v>
      </c>
      <c r="M438" s="9" t="s">
        <v>58</v>
      </c>
      <c r="N438" s="9" t="s">
        <v>66</v>
      </c>
    </row>
    <row r="439" spans="1:14" ht="14" x14ac:dyDescent="0.15">
      <c r="A439" s="9" t="s">
        <v>993</v>
      </c>
      <c r="B439" s="9" t="s">
        <v>241</v>
      </c>
      <c r="C439" s="9" t="s">
        <v>923</v>
      </c>
      <c r="D439" s="9" t="s">
        <v>994</v>
      </c>
      <c r="E439" s="9" t="s">
        <v>243</v>
      </c>
      <c r="F439" s="9" t="s">
        <v>52</v>
      </c>
      <c r="G439" s="9" t="s">
        <v>69</v>
      </c>
      <c r="H439" s="9"/>
      <c r="I439" s="9"/>
      <c r="J439" s="9"/>
      <c r="K439" s="9"/>
      <c r="L439" s="9" t="s">
        <v>3</v>
      </c>
      <c r="M439" s="9" t="s">
        <v>58</v>
      </c>
      <c r="N439" s="9" t="s">
        <v>66</v>
      </c>
    </row>
    <row r="440" spans="1:14" ht="14" x14ac:dyDescent="0.15">
      <c r="A440" s="9" t="s">
        <v>995</v>
      </c>
      <c r="B440" s="9" t="s">
        <v>241</v>
      </c>
      <c r="C440" s="9" t="s">
        <v>923</v>
      </c>
      <c r="D440" s="9" t="s">
        <v>996</v>
      </c>
      <c r="E440" s="9" t="s">
        <v>243</v>
      </c>
      <c r="F440" s="9" t="s">
        <v>52</v>
      </c>
      <c r="G440" s="9" t="s">
        <v>69</v>
      </c>
      <c r="H440" s="9"/>
      <c r="I440" s="9"/>
      <c r="J440" s="9"/>
      <c r="K440" s="9"/>
      <c r="L440" s="9" t="s">
        <v>3</v>
      </c>
      <c r="M440" s="9" t="s">
        <v>58</v>
      </c>
      <c r="N440" s="9" t="s">
        <v>66</v>
      </c>
    </row>
    <row r="441" spans="1:14" ht="14" x14ac:dyDescent="0.15">
      <c r="A441" s="9" t="s">
        <v>997</v>
      </c>
      <c r="B441" s="9" t="s">
        <v>241</v>
      </c>
      <c r="C441" s="9" t="s">
        <v>923</v>
      </c>
      <c r="D441" s="9" t="s">
        <v>998</v>
      </c>
      <c r="E441" s="9" t="s">
        <v>243</v>
      </c>
      <c r="F441" s="9" t="s">
        <v>52</v>
      </c>
      <c r="G441" s="9" t="s">
        <v>69</v>
      </c>
      <c r="H441" s="9"/>
      <c r="I441" s="9"/>
      <c r="J441" s="9"/>
      <c r="K441" s="9"/>
      <c r="L441" s="9" t="s">
        <v>3</v>
      </c>
      <c r="M441" s="9" t="s">
        <v>58</v>
      </c>
      <c r="N441" s="9" t="s">
        <v>66</v>
      </c>
    </row>
    <row r="442" spans="1:14" ht="14" x14ac:dyDescent="0.15">
      <c r="A442" s="9" t="s">
        <v>999</v>
      </c>
      <c r="B442" s="9" t="s">
        <v>241</v>
      </c>
      <c r="C442" s="9" t="s">
        <v>923</v>
      </c>
      <c r="D442" s="9" t="s">
        <v>1000</v>
      </c>
      <c r="E442" s="9" t="s">
        <v>243</v>
      </c>
      <c r="F442" s="9" t="s">
        <v>52</v>
      </c>
      <c r="G442" s="9" t="s">
        <v>69</v>
      </c>
      <c r="H442" s="9"/>
      <c r="I442" s="9"/>
      <c r="J442" s="9"/>
      <c r="K442" s="9"/>
      <c r="L442" s="9" t="s">
        <v>3</v>
      </c>
      <c r="M442" s="9" t="s">
        <v>58</v>
      </c>
      <c r="N442" s="9" t="s">
        <v>66</v>
      </c>
    </row>
    <row r="443" spans="1:14" ht="14" x14ac:dyDescent="0.15">
      <c r="A443" s="9" t="s">
        <v>1001</v>
      </c>
      <c r="B443" s="9" t="s">
        <v>241</v>
      </c>
      <c r="C443" s="9" t="s">
        <v>923</v>
      </c>
      <c r="D443" s="9" t="s">
        <v>1002</v>
      </c>
      <c r="E443" s="9" t="s">
        <v>243</v>
      </c>
      <c r="F443" s="9" t="s">
        <v>52</v>
      </c>
      <c r="G443" s="9" t="s">
        <v>69</v>
      </c>
      <c r="H443" s="9"/>
      <c r="I443" s="9"/>
      <c r="J443" s="9"/>
      <c r="K443" s="9"/>
      <c r="L443" s="9" t="s">
        <v>3</v>
      </c>
      <c r="M443" s="9" t="s">
        <v>58</v>
      </c>
      <c r="N443" s="9" t="s">
        <v>66</v>
      </c>
    </row>
    <row r="444" spans="1:14" ht="14" x14ac:dyDescent="0.15">
      <c r="A444" s="9" t="s">
        <v>1003</v>
      </c>
      <c r="B444" s="9" t="s">
        <v>241</v>
      </c>
      <c r="C444" s="9" t="s">
        <v>923</v>
      </c>
      <c r="D444" s="9" t="s">
        <v>1004</v>
      </c>
      <c r="E444" s="9" t="s">
        <v>243</v>
      </c>
      <c r="F444" s="9" t="s">
        <v>52</v>
      </c>
      <c r="G444" s="9" t="s">
        <v>69</v>
      </c>
      <c r="H444" s="9"/>
      <c r="I444" s="9"/>
      <c r="J444" s="9"/>
      <c r="K444" s="9"/>
      <c r="L444" s="9" t="s">
        <v>3</v>
      </c>
      <c r="M444" s="9" t="s">
        <v>58</v>
      </c>
      <c r="N444" s="9" t="s">
        <v>66</v>
      </c>
    </row>
    <row r="445" spans="1:14" ht="14" x14ac:dyDescent="0.15">
      <c r="A445" s="9" t="s">
        <v>1005</v>
      </c>
      <c r="B445" s="9" t="s">
        <v>241</v>
      </c>
      <c r="C445" s="9" t="s">
        <v>923</v>
      </c>
      <c r="D445" s="9" t="s">
        <v>1006</v>
      </c>
      <c r="E445" s="9" t="s">
        <v>243</v>
      </c>
      <c r="F445" s="9" t="s">
        <v>52</v>
      </c>
      <c r="G445" s="9" t="s">
        <v>69</v>
      </c>
      <c r="H445" s="9"/>
      <c r="I445" s="9"/>
      <c r="J445" s="9"/>
      <c r="K445" s="9"/>
      <c r="L445" s="9" t="s">
        <v>3</v>
      </c>
      <c r="M445" s="9" t="s">
        <v>58</v>
      </c>
      <c r="N445" s="9" t="s">
        <v>66</v>
      </c>
    </row>
    <row r="446" spans="1:14" ht="14" x14ac:dyDescent="0.15">
      <c r="A446" s="9" t="s">
        <v>1007</v>
      </c>
      <c r="B446" s="9" t="s">
        <v>241</v>
      </c>
      <c r="C446" s="9" t="s">
        <v>923</v>
      </c>
      <c r="D446" s="9" t="s">
        <v>1008</v>
      </c>
      <c r="E446" s="9" t="s">
        <v>243</v>
      </c>
      <c r="F446" s="9" t="s">
        <v>52</v>
      </c>
      <c r="G446" s="9" t="s">
        <v>69</v>
      </c>
      <c r="H446" s="9"/>
      <c r="I446" s="9"/>
      <c r="J446" s="9"/>
      <c r="K446" s="9"/>
      <c r="L446" s="9" t="s">
        <v>3</v>
      </c>
      <c r="M446" s="9" t="s">
        <v>58</v>
      </c>
      <c r="N446" s="9" t="s">
        <v>66</v>
      </c>
    </row>
    <row r="447" spans="1:14" ht="14" x14ac:dyDescent="0.15">
      <c r="A447" s="9" t="s">
        <v>1009</v>
      </c>
      <c r="B447" s="9" t="s">
        <v>241</v>
      </c>
      <c r="C447" s="9" t="s">
        <v>923</v>
      </c>
      <c r="D447" s="9" t="s">
        <v>1010</v>
      </c>
      <c r="E447" s="9" t="s">
        <v>243</v>
      </c>
      <c r="F447" s="9" t="s">
        <v>52</v>
      </c>
      <c r="G447" s="9" t="s">
        <v>69</v>
      </c>
      <c r="H447" s="9"/>
      <c r="I447" s="9"/>
      <c r="J447" s="9"/>
      <c r="K447" s="9"/>
      <c r="L447" s="9" t="s">
        <v>3</v>
      </c>
      <c r="M447" s="9" t="s">
        <v>58</v>
      </c>
      <c r="N447" s="9" t="s">
        <v>66</v>
      </c>
    </row>
    <row r="448" spans="1:14" ht="14" x14ac:dyDescent="0.15">
      <c r="A448" s="9" t="s">
        <v>1011</v>
      </c>
      <c r="B448" s="9" t="s">
        <v>241</v>
      </c>
      <c r="C448" s="9" t="s">
        <v>923</v>
      </c>
      <c r="D448" s="9" t="s">
        <v>1012</v>
      </c>
      <c r="E448" s="9" t="s">
        <v>243</v>
      </c>
      <c r="F448" s="9" t="s">
        <v>52</v>
      </c>
      <c r="G448" s="9" t="s">
        <v>69</v>
      </c>
      <c r="H448" s="9"/>
      <c r="I448" s="9"/>
      <c r="J448" s="9"/>
      <c r="K448" s="9"/>
      <c r="L448" s="9" t="s">
        <v>3</v>
      </c>
      <c r="M448" s="9" t="s">
        <v>58</v>
      </c>
      <c r="N448" s="9" t="s">
        <v>66</v>
      </c>
    </row>
    <row r="449" spans="1:14" ht="14" x14ac:dyDescent="0.15">
      <c r="A449" s="9" t="s">
        <v>1013</v>
      </c>
      <c r="B449" s="9" t="s">
        <v>241</v>
      </c>
      <c r="C449" s="9" t="s">
        <v>923</v>
      </c>
      <c r="D449" s="9" t="s">
        <v>1014</v>
      </c>
      <c r="E449" s="9" t="s">
        <v>243</v>
      </c>
      <c r="F449" s="9" t="s">
        <v>52</v>
      </c>
      <c r="G449" s="9" t="s">
        <v>69</v>
      </c>
      <c r="H449" s="9"/>
      <c r="I449" s="9"/>
      <c r="J449" s="9"/>
      <c r="K449" s="9"/>
      <c r="L449" s="9" t="s">
        <v>3</v>
      </c>
      <c r="M449" s="9" t="s">
        <v>58</v>
      </c>
      <c r="N449" s="9" t="s">
        <v>66</v>
      </c>
    </row>
    <row r="450" spans="1:14" ht="14" x14ac:dyDescent="0.15">
      <c r="A450" s="9" t="s">
        <v>1015</v>
      </c>
      <c r="B450" s="9" t="s">
        <v>241</v>
      </c>
      <c r="C450" s="9" t="s">
        <v>923</v>
      </c>
      <c r="D450" s="9" t="s">
        <v>1016</v>
      </c>
      <c r="E450" s="9" t="s">
        <v>243</v>
      </c>
      <c r="F450" s="9" t="s">
        <v>52</v>
      </c>
      <c r="G450" s="9" t="s">
        <v>69</v>
      </c>
      <c r="H450" s="9"/>
      <c r="I450" s="9"/>
      <c r="J450" s="9"/>
      <c r="K450" s="9"/>
      <c r="L450" s="9" t="s">
        <v>3</v>
      </c>
      <c r="M450" s="9" t="s">
        <v>58</v>
      </c>
      <c r="N450" s="9" t="s">
        <v>66</v>
      </c>
    </row>
    <row r="451" spans="1:14" ht="14" x14ac:dyDescent="0.15">
      <c r="A451" s="9" t="s">
        <v>1017</v>
      </c>
      <c r="B451" s="9" t="s">
        <v>241</v>
      </c>
      <c r="C451" s="9" t="s">
        <v>923</v>
      </c>
      <c r="D451" s="9" t="s">
        <v>1018</v>
      </c>
      <c r="E451" s="9" t="s">
        <v>243</v>
      </c>
      <c r="F451" s="9" t="s">
        <v>52</v>
      </c>
      <c r="G451" s="9" t="s">
        <v>69</v>
      </c>
      <c r="H451" s="9"/>
      <c r="I451" s="9"/>
      <c r="J451" s="9"/>
      <c r="K451" s="9"/>
      <c r="L451" s="9" t="s">
        <v>3</v>
      </c>
      <c r="M451" s="9" t="s">
        <v>58</v>
      </c>
      <c r="N451" s="9" t="s">
        <v>66</v>
      </c>
    </row>
    <row r="452" spans="1:14" ht="14" x14ac:dyDescent="0.15">
      <c r="A452" s="9" t="s">
        <v>1019</v>
      </c>
      <c r="B452" s="9" t="s">
        <v>241</v>
      </c>
      <c r="C452" s="9" t="s">
        <v>923</v>
      </c>
      <c r="D452" s="9" t="s">
        <v>1020</v>
      </c>
      <c r="E452" s="9" t="s">
        <v>243</v>
      </c>
      <c r="F452" s="9" t="s">
        <v>52</v>
      </c>
      <c r="G452" s="9" t="s">
        <v>69</v>
      </c>
      <c r="H452" s="9"/>
      <c r="I452" s="9"/>
      <c r="J452" s="9"/>
      <c r="K452" s="9"/>
      <c r="L452" s="9" t="s">
        <v>3</v>
      </c>
      <c r="M452" s="9" t="s">
        <v>58</v>
      </c>
      <c r="N452" s="9" t="s">
        <v>66</v>
      </c>
    </row>
    <row r="453" spans="1:14" ht="14" x14ac:dyDescent="0.15">
      <c r="A453" s="9" t="s">
        <v>1021</v>
      </c>
      <c r="B453" s="9" t="s">
        <v>241</v>
      </c>
      <c r="C453" s="9" t="s">
        <v>923</v>
      </c>
      <c r="D453" s="9" t="s">
        <v>1022</v>
      </c>
      <c r="E453" s="9" t="s">
        <v>243</v>
      </c>
      <c r="F453" s="9" t="s">
        <v>52</v>
      </c>
      <c r="G453" s="9" t="s">
        <v>69</v>
      </c>
      <c r="H453" s="9"/>
      <c r="I453" s="9"/>
      <c r="J453" s="9"/>
      <c r="K453" s="9"/>
      <c r="L453" s="9" t="s">
        <v>3</v>
      </c>
      <c r="M453" s="9" t="s">
        <v>58</v>
      </c>
      <c r="N453" s="9" t="s">
        <v>66</v>
      </c>
    </row>
    <row r="454" spans="1:14" ht="14" x14ac:dyDescent="0.15">
      <c r="A454" s="9" t="s">
        <v>1023</v>
      </c>
      <c r="B454" s="9" t="s">
        <v>241</v>
      </c>
      <c r="C454" s="9" t="s">
        <v>923</v>
      </c>
      <c r="D454" s="9" t="s">
        <v>1024</v>
      </c>
      <c r="E454" s="9" t="s">
        <v>243</v>
      </c>
      <c r="F454" s="9" t="s">
        <v>52</v>
      </c>
      <c r="G454" s="9" t="s">
        <v>69</v>
      </c>
      <c r="H454" s="9"/>
      <c r="I454" s="9"/>
      <c r="J454" s="9"/>
      <c r="K454" s="9"/>
      <c r="L454" s="9" t="s">
        <v>3</v>
      </c>
      <c r="M454" s="9" t="s">
        <v>58</v>
      </c>
      <c r="N454" s="9" t="s">
        <v>66</v>
      </c>
    </row>
    <row r="455" spans="1:14" ht="14" x14ac:dyDescent="0.15">
      <c r="A455" s="9" t="s">
        <v>1025</v>
      </c>
      <c r="B455" s="9" t="s">
        <v>241</v>
      </c>
      <c r="C455" s="9" t="s">
        <v>117</v>
      </c>
      <c r="D455" s="9" t="s">
        <v>1026</v>
      </c>
      <c r="E455" s="9" t="s">
        <v>243</v>
      </c>
      <c r="F455" s="9" t="s">
        <v>52</v>
      </c>
      <c r="G455" s="9" t="s">
        <v>69</v>
      </c>
      <c r="H455" s="9"/>
      <c r="I455" s="9"/>
      <c r="J455" s="9"/>
      <c r="K455" s="9"/>
      <c r="L455" s="9" t="s">
        <v>3</v>
      </c>
      <c r="M455" s="9" t="s">
        <v>58</v>
      </c>
      <c r="N455" s="9" t="s">
        <v>66</v>
      </c>
    </row>
    <row r="456" spans="1:14" ht="14" x14ac:dyDescent="0.15">
      <c r="A456" s="9" t="s">
        <v>1027</v>
      </c>
      <c r="B456" s="9" t="s">
        <v>241</v>
      </c>
      <c r="C456" s="9" t="s">
        <v>117</v>
      </c>
      <c r="D456" s="9" t="s">
        <v>1028</v>
      </c>
      <c r="E456" s="9" t="s">
        <v>243</v>
      </c>
      <c r="F456" s="9" t="s">
        <v>52</v>
      </c>
      <c r="G456" s="9" t="s">
        <v>69</v>
      </c>
      <c r="H456" s="9"/>
      <c r="I456" s="9"/>
      <c r="J456" s="9"/>
      <c r="K456" s="9"/>
      <c r="L456" s="9" t="s">
        <v>3</v>
      </c>
      <c r="M456" s="9" t="s">
        <v>58</v>
      </c>
      <c r="N456" s="9" t="s">
        <v>66</v>
      </c>
    </row>
    <row r="457" spans="1:14" ht="14" x14ac:dyDescent="0.15">
      <c r="A457" s="9" t="s">
        <v>1029</v>
      </c>
      <c r="B457" s="9" t="s">
        <v>241</v>
      </c>
      <c r="C457" s="9" t="s">
        <v>117</v>
      </c>
      <c r="D457" s="9" t="s">
        <v>1030</v>
      </c>
      <c r="E457" s="9" t="s">
        <v>243</v>
      </c>
      <c r="F457" s="9" t="s">
        <v>52</v>
      </c>
      <c r="G457" s="9" t="s">
        <v>69</v>
      </c>
      <c r="H457" s="9"/>
      <c r="I457" s="9"/>
      <c r="J457" s="9"/>
      <c r="K457" s="9"/>
      <c r="L457" s="9" t="s">
        <v>3</v>
      </c>
      <c r="M457" s="9" t="s">
        <v>58</v>
      </c>
      <c r="N457" s="9" t="s">
        <v>66</v>
      </c>
    </row>
    <row r="458" spans="1:14" ht="14" x14ac:dyDescent="0.15">
      <c r="A458" s="9" t="s">
        <v>1031</v>
      </c>
      <c r="B458" s="9" t="s">
        <v>241</v>
      </c>
      <c r="C458" s="9" t="s">
        <v>117</v>
      </c>
      <c r="D458" s="9" t="s">
        <v>1032</v>
      </c>
      <c r="E458" s="9" t="s">
        <v>243</v>
      </c>
      <c r="F458" s="9" t="s">
        <v>52</v>
      </c>
      <c r="G458" s="9" t="s">
        <v>69</v>
      </c>
      <c r="H458" s="9"/>
      <c r="I458" s="9"/>
      <c r="J458" s="9"/>
      <c r="K458" s="9"/>
      <c r="L458" s="9" t="s">
        <v>3</v>
      </c>
      <c r="M458" s="9" t="s">
        <v>58</v>
      </c>
      <c r="N458" s="9" t="s">
        <v>66</v>
      </c>
    </row>
    <row r="459" spans="1:14" ht="14" x14ac:dyDescent="0.15">
      <c r="A459" s="9" t="s">
        <v>1033</v>
      </c>
      <c r="B459" s="9" t="s">
        <v>241</v>
      </c>
      <c r="C459" s="9" t="s">
        <v>117</v>
      </c>
      <c r="D459" s="9" t="s">
        <v>1034</v>
      </c>
      <c r="E459" s="9" t="s">
        <v>243</v>
      </c>
      <c r="F459" s="9" t="s">
        <v>52</v>
      </c>
      <c r="G459" s="9" t="s">
        <v>69</v>
      </c>
      <c r="H459" s="9"/>
      <c r="I459" s="9"/>
      <c r="J459" s="9"/>
      <c r="K459" s="9"/>
      <c r="L459" s="9" t="s">
        <v>3</v>
      </c>
      <c r="M459" s="9" t="s">
        <v>58</v>
      </c>
      <c r="N459" s="9" t="s">
        <v>66</v>
      </c>
    </row>
    <row r="460" spans="1:14" ht="14" x14ac:dyDescent="0.15">
      <c r="A460" s="9" t="s">
        <v>1035</v>
      </c>
      <c r="B460" s="9" t="s">
        <v>241</v>
      </c>
      <c r="C460" s="9" t="s">
        <v>117</v>
      </c>
      <c r="D460" s="9" t="s">
        <v>1036</v>
      </c>
      <c r="E460" s="9" t="s">
        <v>243</v>
      </c>
      <c r="F460" s="9" t="s">
        <v>52</v>
      </c>
      <c r="G460" s="9" t="s">
        <v>69</v>
      </c>
      <c r="H460" s="9"/>
      <c r="I460" s="9"/>
      <c r="J460" s="9"/>
      <c r="K460" s="9"/>
      <c r="L460" s="9" t="s">
        <v>3</v>
      </c>
      <c r="M460" s="9" t="s">
        <v>58</v>
      </c>
      <c r="N460" s="9" t="s">
        <v>66</v>
      </c>
    </row>
    <row r="461" spans="1:14" ht="14" x14ac:dyDescent="0.15">
      <c r="A461" s="9" t="s">
        <v>1037</v>
      </c>
      <c r="B461" s="9" t="s">
        <v>241</v>
      </c>
      <c r="C461" s="9" t="s">
        <v>117</v>
      </c>
      <c r="D461" s="9" t="s">
        <v>1038</v>
      </c>
      <c r="E461" s="9" t="s">
        <v>243</v>
      </c>
      <c r="F461" s="9" t="s">
        <v>52</v>
      </c>
      <c r="G461" s="9" t="s">
        <v>69</v>
      </c>
      <c r="H461" s="9"/>
      <c r="I461" s="9"/>
      <c r="J461" s="9"/>
      <c r="K461" s="9"/>
      <c r="L461" s="9" t="s">
        <v>3</v>
      </c>
      <c r="M461" s="9" t="s">
        <v>58</v>
      </c>
      <c r="N461" s="9" t="s">
        <v>66</v>
      </c>
    </row>
    <row r="462" spans="1:14" ht="14" x14ac:dyDescent="0.15">
      <c r="A462" s="9" t="s">
        <v>1039</v>
      </c>
      <c r="B462" s="9" t="s">
        <v>241</v>
      </c>
      <c r="C462" s="9" t="s">
        <v>117</v>
      </c>
      <c r="D462" s="9" t="s">
        <v>1040</v>
      </c>
      <c r="E462" s="9" t="s">
        <v>243</v>
      </c>
      <c r="F462" s="9" t="s">
        <v>52</v>
      </c>
      <c r="G462" s="9" t="s">
        <v>69</v>
      </c>
      <c r="H462" s="9"/>
      <c r="I462" s="9"/>
      <c r="J462" s="9"/>
      <c r="K462" s="9"/>
      <c r="L462" s="9" t="s">
        <v>3</v>
      </c>
      <c r="M462" s="9" t="s">
        <v>58</v>
      </c>
      <c r="N462" s="9" t="s">
        <v>66</v>
      </c>
    </row>
    <row r="463" spans="1:14" ht="14" x14ac:dyDescent="0.15">
      <c r="A463" s="9" t="s">
        <v>1041</v>
      </c>
      <c r="B463" s="9" t="s">
        <v>241</v>
      </c>
      <c r="C463" s="9" t="s">
        <v>117</v>
      </c>
      <c r="D463" s="9" t="s">
        <v>1042</v>
      </c>
      <c r="E463" s="9" t="s">
        <v>243</v>
      </c>
      <c r="F463" s="9" t="s">
        <v>52</v>
      </c>
      <c r="G463" s="9" t="s">
        <v>69</v>
      </c>
      <c r="H463" s="9"/>
      <c r="I463" s="9"/>
      <c r="J463" s="9"/>
      <c r="K463" s="9"/>
      <c r="L463" s="9" t="s">
        <v>3</v>
      </c>
      <c r="M463" s="9" t="s">
        <v>58</v>
      </c>
      <c r="N463" s="9" t="s">
        <v>66</v>
      </c>
    </row>
    <row r="464" spans="1:14" ht="14" x14ac:dyDescent="0.15">
      <c r="A464" s="9" t="s">
        <v>1043</v>
      </c>
      <c r="B464" s="9" t="s">
        <v>241</v>
      </c>
      <c r="C464" s="9" t="s">
        <v>117</v>
      </c>
      <c r="D464" s="9" t="s">
        <v>1044</v>
      </c>
      <c r="E464" s="9" t="s">
        <v>243</v>
      </c>
      <c r="F464" s="9" t="s">
        <v>52</v>
      </c>
      <c r="G464" s="9" t="s">
        <v>69</v>
      </c>
      <c r="H464" s="9"/>
      <c r="I464" s="9"/>
      <c r="J464" s="9"/>
      <c r="K464" s="9"/>
      <c r="L464" s="9" t="s">
        <v>3</v>
      </c>
      <c r="M464" s="9" t="s">
        <v>58</v>
      </c>
      <c r="N464" s="9" t="s">
        <v>66</v>
      </c>
    </row>
    <row r="465" spans="1:14" ht="14" x14ac:dyDescent="0.15">
      <c r="A465" s="9" t="s">
        <v>1045</v>
      </c>
      <c r="B465" s="9" t="s">
        <v>241</v>
      </c>
      <c r="C465" s="9" t="s">
        <v>117</v>
      </c>
      <c r="D465" s="9" t="s">
        <v>1046</v>
      </c>
      <c r="E465" s="9" t="s">
        <v>243</v>
      </c>
      <c r="F465" s="9" t="s">
        <v>52</v>
      </c>
      <c r="G465" s="9" t="s">
        <v>69</v>
      </c>
      <c r="H465" s="9"/>
      <c r="I465" s="9"/>
      <c r="J465" s="9"/>
      <c r="K465" s="9"/>
      <c r="L465" s="9" t="s">
        <v>3</v>
      </c>
      <c r="M465" s="9" t="s">
        <v>58</v>
      </c>
      <c r="N465" s="9" t="s">
        <v>66</v>
      </c>
    </row>
    <row r="466" spans="1:14" ht="14" x14ac:dyDescent="0.15">
      <c r="A466" s="9" t="s">
        <v>1047</v>
      </c>
      <c r="B466" s="9" t="s">
        <v>241</v>
      </c>
      <c r="C466" s="9" t="s">
        <v>117</v>
      </c>
      <c r="D466" s="9" t="s">
        <v>1048</v>
      </c>
      <c r="E466" s="9" t="s">
        <v>243</v>
      </c>
      <c r="F466" s="9" t="s">
        <v>52</v>
      </c>
      <c r="G466" s="9" t="s">
        <v>69</v>
      </c>
      <c r="H466" s="9"/>
      <c r="I466" s="9"/>
      <c r="J466" s="9"/>
      <c r="K466" s="9"/>
      <c r="L466" s="9" t="s">
        <v>3</v>
      </c>
      <c r="M466" s="9" t="s">
        <v>58</v>
      </c>
      <c r="N466" s="9" t="s">
        <v>66</v>
      </c>
    </row>
    <row r="467" spans="1:14" ht="14" x14ac:dyDescent="0.15">
      <c r="A467" s="9" t="s">
        <v>1049</v>
      </c>
      <c r="B467" s="9" t="s">
        <v>241</v>
      </c>
      <c r="C467" s="9" t="s">
        <v>117</v>
      </c>
      <c r="D467" s="9" t="s">
        <v>1050</v>
      </c>
      <c r="E467" s="9" t="s">
        <v>243</v>
      </c>
      <c r="F467" s="9" t="s">
        <v>52</v>
      </c>
      <c r="G467" s="9" t="s">
        <v>69</v>
      </c>
      <c r="H467" s="9"/>
      <c r="I467" s="9"/>
      <c r="J467" s="9"/>
      <c r="K467" s="9"/>
      <c r="L467" s="9" t="s">
        <v>3</v>
      </c>
      <c r="M467" s="9" t="s">
        <v>58</v>
      </c>
      <c r="N467" s="9" t="s">
        <v>66</v>
      </c>
    </row>
    <row r="468" spans="1:14" ht="14" x14ac:dyDescent="0.15">
      <c r="A468" s="9" t="s">
        <v>1051</v>
      </c>
      <c r="B468" s="9" t="s">
        <v>241</v>
      </c>
      <c r="C468" s="9" t="s">
        <v>117</v>
      </c>
      <c r="D468" s="9" t="s">
        <v>1052</v>
      </c>
      <c r="E468" s="9" t="s">
        <v>243</v>
      </c>
      <c r="F468" s="9" t="s">
        <v>52</v>
      </c>
      <c r="G468" s="9" t="s">
        <v>69</v>
      </c>
      <c r="H468" s="9"/>
      <c r="I468" s="9"/>
      <c r="J468" s="9"/>
      <c r="K468" s="9"/>
      <c r="L468" s="9" t="s">
        <v>3</v>
      </c>
      <c r="M468" s="9" t="s">
        <v>58</v>
      </c>
      <c r="N468" s="9" t="s">
        <v>66</v>
      </c>
    </row>
    <row r="469" spans="1:14" ht="14" x14ac:dyDescent="0.15">
      <c r="A469" s="9" t="s">
        <v>1053</v>
      </c>
      <c r="B469" s="9" t="s">
        <v>241</v>
      </c>
      <c r="C469" s="9" t="s">
        <v>117</v>
      </c>
      <c r="D469" s="9" t="s">
        <v>1054</v>
      </c>
      <c r="E469" s="9" t="s">
        <v>243</v>
      </c>
      <c r="F469" s="9" t="s">
        <v>52</v>
      </c>
      <c r="G469" s="9" t="s">
        <v>69</v>
      </c>
      <c r="H469" s="9"/>
      <c r="I469" s="9"/>
      <c r="J469" s="9"/>
      <c r="K469" s="9"/>
      <c r="L469" s="9" t="s">
        <v>3</v>
      </c>
      <c r="M469" s="9" t="s">
        <v>58</v>
      </c>
      <c r="N469" s="9" t="s">
        <v>66</v>
      </c>
    </row>
    <row r="470" spans="1:14" ht="14" x14ac:dyDescent="0.15">
      <c r="A470" s="9" t="s">
        <v>1055</v>
      </c>
      <c r="B470" s="9" t="s">
        <v>241</v>
      </c>
      <c r="C470" s="9" t="s">
        <v>117</v>
      </c>
      <c r="D470" s="9" t="s">
        <v>1056</v>
      </c>
      <c r="E470" s="9" t="s">
        <v>243</v>
      </c>
      <c r="F470" s="9" t="s">
        <v>52</v>
      </c>
      <c r="G470" s="9" t="s">
        <v>69</v>
      </c>
      <c r="H470" s="9"/>
      <c r="I470" s="9"/>
      <c r="J470" s="9"/>
      <c r="K470" s="9"/>
      <c r="L470" s="9" t="s">
        <v>3</v>
      </c>
      <c r="M470" s="9" t="s">
        <v>58</v>
      </c>
      <c r="N470" s="9" t="s">
        <v>66</v>
      </c>
    </row>
    <row r="471" spans="1:14" ht="14" x14ac:dyDescent="0.15">
      <c r="A471" s="9" t="s">
        <v>1057</v>
      </c>
      <c r="B471" s="9" t="s">
        <v>241</v>
      </c>
      <c r="C471" s="9" t="s">
        <v>1058</v>
      </c>
      <c r="D471" s="9" t="s">
        <v>1059</v>
      </c>
      <c r="E471" s="9" t="s">
        <v>243</v>
      </c>
      <c r="F471" s="9" t="s">
        <v>52</v>
      </c>
      <c r="G471" s="9" t="s">
        <v>69</v>
      </c>
      <c r="H471" s="9"/>
      <c r="I471" s="9"/>
      <c r="J471" s="9"/>
      <c r="K471" s="9"/>
      <c r="L471" s="9" t="s">
        <v>3</v>
      </c>
      <c r="M471" s="9" t="s">
        <v>58</v>
      </c>
      <c r="N471" s="9" t="s">
        <v>66</v>
      </c>
    </row>
    <row r="472" spans="1:14" ht="14" x14ac:dyDescent="0.15">
      <c r="A472" s="9" t="s">
        <v>1060</v>
      </c>
      <c r="B472" s="9" t="s">
        <v>241</v>
      </c>
      <c r="C472" s="9" t="s">
        <v>1058</v>
      </c>
      <c r="D472" s="9" t="s">
        <v>1061</v>
      </c>
      <c r="E472" s="9" t="s">
        <v>243</v>
      </c>
      <c r="F472" s="9" t="s">
        <v>52</v>
      </c>
      <c r="G472" s="9" t="s">
        <v>69</v>
      </c>
      <c r="H472" s="9"/>
      <c r="I472" s="9"/>
      <c r="J472" s="9"/>
      <c r="K472" s="9"/>
      <c r="L472" s="9" t="s">
        <v>3</v>
      </c>
      <c r="M472" s="9" t="s">
        <v>58</v>
      </c>
      <c r="N472" s="9" t="s">
        <v>66</v>
      </c>
    </row>
    <row r="473" spans="1:14" ht="14" x14ac:dyDescent="0.15">
      <c r="A473" s="9" t="s">
        <v>1062</v>
      </c>
      <c r="B473" s="9" t="s">
        <v>241</v>
      </c>
      <c r="C473" s="9" t="s">
        <v>1058</v>
      </c>
      <c r="D473" s="9" t="s">
        <v>1063</v>
      </c>
      <c r="E473" s="9" t="s">
        <v>243</v>
      </c>
      <c r="F473" s="9" t="s">
        <v>52</v>
      </c>
      <c r="G473" s="9" t="s">
        <v>69</v>
      </c>
      <c r="H473" s="9"/>
      <c r="I473" s="9"/>
      <c r="J473" s="9"/>
      <c r="K473" s="9"/>
      <c r="L473" s="9" t="s">
        <v>3</v>
      </c>
      <c r="M473" s="9" t="s">
        <v>58</v>
      </c>
      <c r="N473" s="9" t="s">
        <v>66</v>
      </c>
    </row>
    <row r="474" spans="1:14" ht="14" x14ac:dyDescent="0.15">
      <c r="A474" s="9" t="s">
        <v>1064</v>
      </c>
      <c r="B474" s="9" t="s">
        <v>241</v>
      </c>
      <c r="C474" s="9" t="s">
        <v>1065</v>
      </c>
      <c r="D474" s="9" t="s">
        <v>1066</v>
      </c>
      <c r="E474" s="9" t="s">
        <v>243</v>
      </c>
      <c r="F474" s="9" t="s">
        <v>52</v>
      </c>
      <c r="G474" s="9" t="s">
        <v>69</v>
      </c>
      <c r="H474" s="9"/>
      <c r="I474" s="9"/>
      <c r="J474" s="9"/>
      <c r="K474" s="9"/>
      <c r="L474" s="9" t="s">
        <v>3</v>
      </c>
      <c r="M474" s="9" t="s">
        <v>58</v>
      </c>
      <c r="N474" s="9" t="s">
        <v>66</v>
      </c>
    </row>
    <row r="475" spans="1:14" ht="14" x14ac:dyDescent="0.15">
      <c r="A475" s="9" t="s">
        <v>1067</v>
      </c>
      <c r="B475" s="9" t="s">
        <v>241</v>
      </c>
      <c r="C475" s="9" t="s">
        <v>1065</v>
      </c>
      <c r="D475" s="9" t="s">
        <v>1068</v>
      </c>
      <c r="E475" s="9" t="s">
        <v>243</v>
      </c>
      <c r="F475" s="9" t="s">
        <v>52</v>
      </c>
      <c r="G475" s="9" t="s">
        <v>69</v>
      </c>
      <c r="H475" s="9"/>
      <c r="I475" s="9"/>
      <c r="J475" s="9"/>
      <c r="K475" s="9"/>
      <c r="L475" s="9" t="s">
        <v>3</v>
      </c>
      <c r="M475" s="9" t="s">
        <v>58</v>
      </c>
      <c r="N475" s="9" t="s">
        <v>66</v>
      </c>
    </row>
    <row r="476" spans="1:14" ht="14" x14ac:dyDescent="0.15">
      <c r="A476" s="9" t="s">
        <v>1069</v>
      </c>
      <c r="B476" s="9" t="s">
        <v>241</v>
      </c>
      <c r="C476" s="9" t="s">
        <v>1065</v>
      </c>
      <c r="D476" s="9" t="s">
        <v>1070</v>
      </c>
      <c r="E476" s="9" t="s">
        <v>243</v>
      </c>
      <c r="F476" s="9" t="s">
        <v>52</v>
      </c>
      <c r="G476" s="9" t="s">
        <v>69</v>
      </c>
      <c r="H476" s="9"/>
      <c r="I476" s="9"/>
      <c r="J476" s="9"/>
      <c r="K476" s="9"/>
      <c r="L476" s="9" t="s">
        <v>3</v>
      </c>
      <c r="M476" s="9" t="s">
        <v>58</v>
      </c>
      <c r="N476" s="9" t="s">
        <v>66</v>
      </c>
    </row>
    <row r="477" spans="1:14" ht="14" x14ac:dyDescent="0.15">
      <c r="A477" s="9" t="s">
        <v>1071</v>
      </c>
      <c r="B477" s="9" t="s">
        <v>241</v>
      </c>
      <c r="C477" s="9" t="s">
        <v>1065</v>
      </c>
      <c r="D477" s="9" t="s">
        <v>1072</v>
      </c>
      <c r="E477" s="9" t="s">
        <v>243</v>
      </c>
      <c r="F477" s="9" t="s">
        <v>52</v>
      </c>
      <c r="G477" s="9" t="s">
        <v>69</v>
      </c>
      <c r="H477" s="9"/>
      <c r="I477" s="9"/>
      <c r="J477" s="9"/>
      <c r="K477" s="9"/>
      <c r="L477" s="9" t="s">
        <v>3</v>
      </c>
      <c r="M477" s="9" t="s">
        <v>58</v>
      </c>
      <c r="N477" s="9" t="s">
        <v>66</v>
      </c>
    </row>
    <row r="478" spans="1:14" ht="14" x14ac:dyDescent="0.15">
      <c r="A478" s="9" t="s">
        <v>1073</v>
      </c>
      <c r="B478" s="9" t="s">
        <v>241</v>
      </c>
      <c r="C478" s="9" t="s">
        <v>1065</v>
      </c>
      <c r="D478" s="9" t="s">
        <v>1074</v>
      </c>
      <c r="E478" s="9" t="s">
        <v>243</v>
      </c>
      <c r="F478" s="9" t="s">
        <v>52</v>
      </c>
      <c r="G478" s="9" t="s">
        <v>69</v>
      </c>
      <c r="H478" s="9"/>
      <c r="I478" s="9"/>
      <c r="J478" s="9"/>
      <c r="K478" s="9"/>
      <c r="L478" s="9" t="s">
        <v>3</v>
      </c>
      <c r="M478" s="9" t="s">
        <v>58</v>
      </c>
      <c r="N478" s="9" t="s">
        <v>66</v>
      </c>
    </row>
    <row r="479" spans="1:14" ht="14" x14ac:dyDescent="0.15">
      <c r="A479" s="9" t="s">
        <v>1075</v>
      </c>
      <c r="B479" s="9" t="s">
        <v>241</v>
      </c>
      <c r="C479" s="9" t="s">
        <v>1065</v>
      </c>
      <c r="D479" s="9" t="s">
        <v>1076</v>
      </c>
      <c r="E479" s="9" t="s">
        <v>243</v>
      </c>
      <c r="F479" s="9" t="s">
        <v>52</v>
      </c>
      <c r="G479" s="9" t="s">
        <v>69</v>
      </c>
      <c r="H479" s="9"/>
      <c r="I479" s="9"/>
      <c r="J479" s="9"/>
      <c r="K479" s="9"/>
      <c r="L479" s="9" t="s">
        <v>3</v>
      </c>
      <c r="M479" s="9" t="s">
        <v>58</v>
      </c>
      <c r="N479" s="9" t="s">
        <v>66</v>
      </c>
    </row>
    <row r="480" spans="1:14" ht="14" x14ac:dyDescent="0.15">
      <c r="A480" s="9" t="s">
        <v>1077</v>
      </c>
      <c r="B480" s="9" t="s">
        <v>241</v>
      </c>
      <c r="C480" s="9" t="s">
        <v>1065</v>
      </c>
      <c r="D480" s="9" t="s">
        <v>1078</v>
      </c>
      <c r="E480" s="9" t="s">
        <v>243</v>
      </c>
      <c r="F480" s="9" t="s">
        <v>52</v>
      </c>
      <c r="G480" s="9" t="s">
        <v>69</v>
      </c>
      <c r="H480" s="9"/>
      <c r="I480" s="9"/>
      <c r="J480" s="9"/>
      <c r="K480" s="9"/>
      <c r="L480" s="9" t="s">
        <v>3</v>
      </c>
      <c r="M480" s="9" t="s">
        <v>58</v>
      </c>
      <c r="N480" s="9" t="s">
        <v>66</v>
      </c>
    </row>
    <row r="481" spans="1:14" ht="14" x14ac:dyDescent="0.15">
      <c r="A481" s="9" t="s">
        <v>1079</v>
      </c>
      <c r="B481" s="9" t="s">
        <v>241</v>
      </c>
      <c r="C481" s="9" t="s">
        <v>1065</v>
      </c>
      <c r="D481" s="9" t="s">
        <v>1080</v>
      </c>
      <c r="E481" s="9" t="s">
        <v>243</v>
      </c>
      <c r="F481" s="9" t="s">
        <v>52</v>
      </c>
      <c r="G481" s="9" t="s">
        <v>69</v>
      </c>
      <c r="H481" s="9"/>
      <c r="I481" s="9"/>
      <c r="J481" s="9"/>
      <c r="K481" s="9"/>
      <c r="L481" s="9" t="s">
        <v>3</v>
      </c>
      <c r="M481" s="9" t="s">
        <v>58</v>
      </c>
      <c r="N481" s="9" t="s">
        <v>66</v>
      </c>
    </row>
    <row r="482" spans="1:14" ht="14" x14ac:dyDescent="0.15">
      <c r="A482" s="9" t="s">
        <v>1081</v>
      </c>
      <c r="B482" s="9" t="s">
        <v>241</v>
      </c>
      <c r="C482" s="9" t="s">
        <v>1065</v>
      </c>
      <c r="D482" s="9" t="s">
        <v>1082</v>
      </c>
      <c r="E482" s="9" t="s">
        <v>243</v>
      </c>
      <c r="F482" s="9" t="s">
        <v>52</v>
      </c>
      <c r="G482" s="9" t="s">
        <v>69</v>
      </c>
      <c r="H482" s="9"/>
      <c r="I482" s="9"/>
      <c r="J482" s="9"/>
      <c r="K482" s="9"/>
      <c r="L482" s="9" t="s">
        <v>3</v>
      </c>
      <c r="M482" s="9" t="s">
        <v>58</v>
      </c>
      <c r="N482" s="9" t="s">
        <v>66</v>
      </c>
    </row>
    <row r="483" spans="1:14" ht="14" x14ac:dyDescent="0.15">
      <c r="A483" s="9" t="s">
        <v>1083</v>
      </c>
      <c r="B483" s="9" t="s">
        <v>241</v>
      </c>
      <c r="C483" s="9" t="s">
        <v>1065</v>
      </c>
      <c r="D483" s="9" t="s">
        <v>1084</v>
      </c>
      <c r="E483" s="9" t="s">
        <v>243</v>
      </c>
      <c r="F483" s="9" t="s">
        <v>52</v>
      </c>
      <c r="G483" s="9" t="s">
        <v>69</v>
      </c>
      <c r="H483" s="9"/>
      <c r="I483" s="9"/>
      <c r="J483" s="9"/>
      <c r="K483" s="9"/>
      <c r="L483" s="9" t="s">
        <v>3</v>
      </c>
      <c r="M483" s="9" t="s">
        <v>58</v>
      </c>
      <c r="N483" s="9" t="s">
        <v>66</v>
      </c>
    </row>
    <row r="484" spans="1:14" ht="14" x14ac:dyDescent="0.15">
      <c r="A484" s="9" t="s">
        <v>1085</v>
      </c>
      <c r="B484" s="9" t="s">
        <v>241</v>
      </c>
      <c r="C484" s="9" t="s">
        <v>1065</v>
      </c>
      <c r="D484" s="9" t="s">
        <v>1086</v>
      </c>
      <c r="E484" s="9" t="s">
        <v>243</v>
      </c>
      <c r="F484" s="9" t="s">
        <v>52</v>
      </c>
      <c r="G484" s="9" t="s">
        <v>69</v>
      </c>
      <c r="H484" s="9"/>
      <c r="I484" s="9"/>
      <c r="J484" s="9"/>
      <c r="K484" s="9"/>
      <c r="L484" s="9" t="s">
        <v>3</v>
      </c>
      <c r="M484" s="9" t="s">
        <v>58</v>
      </c>
      <c r="N484" s="9" t="s">
        <v>66</v>
      </c>
    </row>
    <row r="485" spans="1:14" ht="14" x14ac:dyDescent="0.15">
      <c r="A485" s="9" t="s">
        <v>1087</v>
      </c>
      <c r="B485" s="9" t="s">
        <v>241</v>
      </c>
      <c r="C485" s="9" t="s">
        <v>1065</v>
      </c>
      <c r="D485" s="9" t="s">
        <v>1088</v>
      </c>
      <c r="E485" s="9" t="s">
        <v>243</v>
      </c>
      <c r="F485" s="9" t="s">
        <v>52</v>
      </c>
      <c r="G485" s="9" t="s">
        <v>69</v>
      </c>
      <c r="H485" s="9"/>
      <c r="I485" s="9"/>
      <c r="J485" s="9"/>
      <c r="K485" s="9"/>
      <c r="L485" s="9" t="s">
        <v>3</v>
      </c>
      <c r="M485" s="9" t="s">
        <v>58</v>
      </c>
      <c r="N485" s="9" t="s">
        <v>66</v>
      </c>
    </row>
    <row r="486" spans="1:14" ht="14" x14ac:dyDescent="0.15">
      <c r="A486" s="9" t="s">
        <v>1089</v>
      </c>
      <c r="B486" s="9" t="s">
        <v>241</v>
      </c>
      <c r="C486" s="9" t="s">
        <v>1065</v>
      </c>
      <c r="D486" s="9" t="s">
        <v>1090</v>
      </c>
      <c r="E486" s="9" t="s">
        <v>243</v>
      </c>
      <c r="F486" s="9" t="s">
        <v>52</v>
      </c>
      <c r="G486" s="9" t="s">
        <v>69</v>
      </c>
      <c r="H486" s="9"/>
      <c r="I486" s="9"/>
      <c r="J486" s="9"/>
      <c r="K486" s="9"/>
      <c r="L486" s="9" t="s">
        <v>3</v>
      </c>
      <c r="M486" s="9" t="s">
        <v>58</v>
      </c>
      <c r="N486" s="9" t="s">
        <v>66</v>
      </c>
    </row>
    <row r="487" spans="1:14" ht="14" x14ac:dyDescent="0.15">
      <c r="A487" s="9" t="s">
        <v>1091</v>
      </c>
      <c r="B487" s="9" t="s">
        <v>241</v>
      </c>
      <c r="C487" s="9" t="s">
        <v>1065</v>
      </c>
      <c r="D487" s="9" t="s">
        <v>1092</v>
      </c>
      <c r="E487" s="9" t="s">
        <v>243</v>
      </c>
      <c r="F487" s="9" t="s">
        <v>52</v>
      </c>
      <c r="G487" s="9" t="s">
        <v>69</v>
      </c>
      <c r="H487" s="9"/>
      <c r="I487" s="9"/>
      <c r="J487" s="9"/>
      <c r="K487" s="9"/>
      <c r="L487" s="9" t="s">
        <v>3</v>
      </c>
      <c r="M487" s="9" t="s">
        <v>58</v>
      </c>
      <c r="N487" s="9" t="s">
        <v>66</v>
      </c>
    </row>
    <row r="488" spans="1:14" ht="14" x14ac:dyDescent="0.15">
      <c r="A488" s="9" t="s">
        <v>1093</v>
      </c>
      <c r="B488" s="9" t="s">
        <v>241</v>
      </c>
      <c r="C488" s="9" t="s">
        <v>1065</v>
      </c>
      <c r="D488" s="9" t="s">
        <v>1094</v>
      </c>
      <c r="E488" s="9" t="s">
        <v>243</v>
      </c>
      <c r="F488" s="9" t="s">
        <v>52</v>
      </c>
      <c r="G488" s="9" t="s">
        <v>69</v>
      </c>
      <c r="H488" s="9"/>
      <c r="I488" s="9"/>
      <c r="J488" s="9"/>
      <c r="K488" s="9"/>
      <c r="L488" s="9" t="s">
        <v>3</v>
      </c>
      <c r="M488" s="9" t="s">
        <v>58</v>
      </c>
      <c r="N488" s="9" t="s">
        <v>66</v>
      </c>
    </row>
    <row r="489" spans="1:14" ht="14" x14ac:dyDescent="0.15">
      <c r="A489" s="9" t="s">
        <v>1095</v>
      </c>
      <c r="B489" s="9" t="s">
        <v>241</v>
      </c>
      <c r="C489" s="9" t="s">
        <v>1065</v>
      </c>
      <c r="D489" s="9" t="s">
        <v>1096</v>
      </c>
      <c r="E489" s="9" t="s">
        <v>243</v>
      </c>
      <c r="F489" s="9" t="s">
        <v>52</v>
      </c>
      <c r="G489" s="9" t="s">
        <v>69</v>
      </c>
      <c r="H489" s="9"/>
      <c r="I489" s="9"/>
      <c r="J489" s="9"/>
      <c r="K489" s="9"/>
      <c r="L489" s="9" t="s">
        <v>3</v>
      </c>
      <c r="M489" s="9" t="s">
        <v>58</v>
      </c>
      <c r="N489" s="9" t="s">
        <v>66</v>
      </c>
    </row>
    <row r="490" spans="1:14" ht="14" x14ac:dyDescent="0.15">
      <c r="A490" s="9" t="s">
        <v>1097</v>
      </c>
      <c r="B490" s="9" t="s">
        <v>241</v>
      </c>
      <c r="C490" s="9" t="s">
        <v>1098</v>
      </c>
      <c r="D490" s="9" t="s">
        <v>1099</v>
      </c>
      <c r="E490" s="9" t="s">
        <v>243</v>
      </c>
      <c r="F490" s="9" t="s">
        <v>52</v>
      </c>
      <c r="G490" s="9" t="s">
        <v>69</v>
      </c>
      <c r="H490" s="9"/>
      <c r="I490" s="9"/>
      <c r="J490" s="9"/>
      <c r="K490" s="9"/>
      <c r="L490" s="9" t="s">
        <v>3</v>
      </c>
      <c r="M490" s="9" t="s">
        <v>58</v>
      </c>
      <c r="N490" s="9" t="s">
        <v>66</v>
      </c>
    </row>
    <row r="491" spans="1:14" ht="14" x14ac:dyDescent="0.15">
      <c r="A491" s="9" t="s">
        <v>1100</v>
      </c>
      <c r="B491" s="9" t="s">
        <v>241</v>
      </c>
      <c r="C491" s="9" t="s">
        <v>1098</v>
      </c>
      <c r="D491" s="9" t="s">
        <v>1099</v>
      </c>
      <c r="E491" s="9" t="s">
        <v>243</v>
      </c>
      <c r="F491" s="9" t="s">
        <v>52</v>
      </c>
      <c r="G491" s="9" t="s">
        <v>69</v>
      </c>
      <c r="H491" s="9"/>
      <c r="I491" s="9"/>
      <c r="J491" s="9"/>
      <c r="K491" s="9"/>
      <c r="L491" s="9" t="s">
        <v>3</v>
      </c>
      <c r="M491" s="9" t="s">
        <v>58</v>
      </c>
      <c r="N491" s="9" t="s">
        <v>66</v>
      </c>
    </row>
    <row r="492" spans="1:14" ht="14" x14ac:dyDescent="0.15">
      <c r="A492" s="9" t="s">
        <v>1101</v>
      </c>
      <c r="B492" s="9" t="s">
        <v>241</v>
      </c>
      <c r="C492" s="9" t="s">
        <v>1098</v>
      </c>
      <c r="D492" s="9" t="s">
        <v>1099</v>
      </c>
      <c r="E492" s="9" t="s">
        <v>243</v>
      </c>
      <c r="F492" s="9" t="s">
        <v>52</v>
      </c>
      <c r="G492" s="9" t="s">
        <v>69</v>
      </c>
      <c r="H492" s="9"/>
      <c r="I492" s="9"/>
      <c r="J492" s="9"/>
      <c r="K492" s="9"/>
      <c r="L492" s="9" t="s">
        <v>3</v>
      </c>
      <c r="M492" s="9" t="s">
        <v>58</v>
      </c>
      <c r="N492" s="9" t="s">
        <v>66</v>
      </c>
    </row>
    <row r="493" spans="1:14" ht="14" x14ac:dyDescent="0.15">
      <c r="A493" s="9" t="s">
        <v>1102</v>
      </c>
      <c r="B493" s="9" t="s">
        <v>241</v>
      </c>
      <c r="C493" s="9" t="s">
        <v>1098</v>
      </c>
      <c r="D493" s="9" t="s">
        <v>1099</v>
      </c>
      <c r="E493" s="9" t="s">
        <v>243</v>
      </c>
      <c r="F493" s="9" t="s">
        <v>52</v>
      </c>
      <c r="G493" s="9" t="s">
        <v>69</v>
      </c>
      <c r="H493" s="9"/>
      <c r="I493" s="9"/>
      <c r="J493" s="9"/>
      <c r="K493" s="9"/>
      <c r="L493" s="9" t="s">
        <v>3</v>
      </c>
      <c r="M493" s="9" t="s">
        <v>58</v>
      </c>
      <c r="N493" s="9" t="s">
        <v>66</v>
      </c>
    </row>
    <row r="494" spans="1:14" ht="14" x14ac:dyDescent="0.15">
      <c r="A494" s="9" t="s">
        <v>1103</v>
      </c>
      <c r="B494" s="9" t="s">
        <v>241</v>
      </c>
      <c r="C494" s="9" t="s">
        <v>1098</v>
      </c>
      <c r="D494" s="9" t="s">
        <v>1099</v>
      </c>
      <c r="E494" s="9" t="s">
        <v>243</v>
      </c>
      <c r="F494" s="9" t="s">
        <v>52</v>
      </c>
      <c r="G494" s="9" t="s">
        <v>69</v>
      </c>
      <c r="H494" s="9"/>
      <c r="I494" s="9"/>
      <c r="J494" s="9"/>
      <c r="K494" s="9"/>
      <c r="L494" s="9" t="s">
        <v>3</v>
      </c>
      <c r="M494" s="9" t="s">
        <v>58</v>
      </c>
      <c r="N494" s="9" t="s">
        <v>66</v>
      </c>
    </row>
    <row r="495" spans="1:14" ht="14" x14ac:dyDescent="0.15">
      <c r="A495" s="9" t="s">
        <v>1104</v>
      </c>
      <c r="B495" s="9" t="s">
        <v>241</v>
      </c>
      <c r="C495" s="9" t="s">
        <v>1098</v>
      </c>
      <c r="D495" s="9" t="s">
        <v>1099</v>
      </c>
      <c r="E495" s="9" t="s">
        <v>243</v>
      </c>
      <c r="F495" s="9" t="s">
        <v>52</v>
      </c>
      <c r="G495" s="9" t="s">
        <v>69</v>
      </c>
      <c r="H495" s="9"/>
      <c r="I495" s="9"/>
      <c r="J495" s="9"/>
      <c r="K495" s="9"/>
      <c r="L495" s="9" t="s">
        <v>3</v>
      </c>
      <c r="M495" s="9" t="s">
        <v>58</v>
      </c>
      <c r="N495" s="9" t="s">
        <v>66</v>
      </c>
    </row>
    <row r="496" spans="1:14" ht="14" x14ac:dyDescent="0.15">
      <c r="A496" s="9" t="s">
        <v>1105</v>
      </c>
      <c r="B496" s="9" t="s">
        <v>241</v>
      </c>
      <c r="C496" s="9" t="s">
        <v>1098</v>
      </c>
      <c r="D496" s="9" t="s">
        <v>1099</v>
      </c>
      <c r="E496" s="9" t="s">
        <v>243</v>
      </c>
      <c r="F496" s="9" t="s">
        <v>52</v>
      </c>
      <c r="G496" s="9" t="s">
        <v>69</v>
      </c>
      <c r="H496" s="9"/>
      <c r="I496" s="9"/>
      <c r="J496" s="9"/>
      <c r="K496" s="9"/>
      <c r="L496" s="9" t="s">
        <v>3</v>
      </c>
      <c r="M496" s="9" t="s">
        <v>58</v>
      </c>
      <c r="N496" s="9" t="s">
        <v>66</v>
      </c>
    </row>
    <row r="497" spans="1:14" ht="14" x14ac:dyDescent="0.15">
      <c r="A497" s="9" t="s">
        <v>1106</v>
      </c>
      <c r="B497" s="9" t="s">
        <v>241</v>
      </c>
      <c r="C497" s="9" t="s">
        <v>1098</v>
      </c>
      <c r="D497" s="9" t="s">
        <v>1099</v>
      </c>
      <c r="E497" s="9" t="s">
        <v>243</v>
      </c>
      <c r="F497" s="9" t="s">
        <v>52</v>
      </c>
      <c r="G497" s="9" t="s">
        <v>69</v>
      </c>
      <c r="H497" s="9"/>
      <c r="I497" s="9"/>
      <c r="J497" s="9"/>
      <c r="K497" s="9"/>
      <c r="L497" s="9" t="s">
        <v>3</v>
      </c>
      <c r="M497" s="9" t="s">
        <v>58</v>
      </c>
      <c r="N497" s="9" t="s">
        <v>66</v>
      </c>
    </row>
    <row r="498" spans="1:14" ht="14" x14ac:dyDescent="0.15">
      <c r="A498" s="9" t="s">
        <v>1107</v>
      </c>
      <c r="B498" s="9" t="s">
        <v>241</v>
      </c>
      <c r="C498" s="9" t="s">
        <v>1098</v>
      </c>
      <c r="D498" s="9" t="s">
        <v>1099</v>
      </c>
      <c r="E498" s="9" t="s">
        <v>243</v>
      </c>
      <c r="F498" s="9" t="s">
        <v>52</v>
      </c>
      <c r="G498" s="9" t="s">
        <v>69</v>
      </c>
      <c r="H498" s="9"/>
      <c r="I498" s="9"/>
      <c r="J498" s="9"/>
      <c r="K498" s="9"/>
      <c r="L498" s="9" t="s">
        <v>3</v>
      </c>
      <c r="M498" s="9" t="s">
        <v>58</v>
      </c>
      <c r="N498" s="9" t="s">
        <v>66</v>
      </c>
    </row>
    <row r="499" spans="1:14" ht="28" x14ac:dyDescent="0.15">
      <c r="A499" s="9" t="s">
        <v>1108</v>
      </c>
      <c r="B499" s="9" t="s">
        <v>241</v>
      </c>
      <c r="C499" s="9" t="s">
        <v>1098</v>
      </c>
      <c r="D499" s="9" t="s">
        <v>1099</v>
      </c>
      <c r="E499" s="9" t="s">
        <v>243</v>
      </c>
      <c r="F499" s="9" t="s">
        <v>52</v>
      </c>
      <c r="G499" s="9" t="s">
        <v>69</v>
      </c>
      <c r="H499" s="9"/>
      <c r="I499" s="9"/>
      <c r="J499" s="9"/>
      <c r="K499" s="9"/>
      <c r="L499" s="9" t="s">
        <v>3</v>
      </c>
      <c r="M499" s="9" t="s">
        <v>58</v>
      </c>
      <c r="N499" s="9" t="s">
        <v>66</v>
      </c>
    </row>
    <row r="500" spans="1:14" ht="14" x14ac:dyDescent="0.15">
      <c r="A500" s="9" t="s">
        <v>1109</v>
      </c>
      <c r="B500" s="9" t="s">
        <v>241</v>
      </c>
      <c r="C500" s="9" t="s">
        <v>1098</v>
      </c>
      <c r="D500" s="9" t="s">
        <v>1110</v>
      </c>
      <c r="E500" s="9" t="s">
        <v>243</v>
      </c>
      <c r="F500" s="9" t="s">
        <v>52</v>
      </c>
      <c r="G500" s="9" t="s">
        <v>69</v>
      </c>
      <c r="H500" s="9"/>
      <c r="I500" s="9"/>
      <c r="J500" s="9"/>
      <c r="K500" s="9"/>
      <c r="L500" s="9" t="s">
        <v>3</v>
      </c>
      <c r="M500" s="9" t="s">
        <v>58</v>
      </c>
      <c r="N500" s="9" t="s">
        <v>66</v>
      </c>
    </row>
    <row r="501" spans="1:14" ht="14" x14ac:dyDescent="0.15">
      <c r="A501" s="9" t="s">
        <v>1111</v>
      </c>
      <c r="B501" s="9" t="s">
        <v>241</v>
      </c>
      <c r="C501" s="9" t="s">
        <v>1098</v>
      </c>
      <c r="D501" s="9" t="s">
        <v>1110</v>
      </c>
      <c r="E501" s="9" t="s">
        <v>243</v>
      </c>
      <c r="F501" s="9" t="s">
        <v>52</v>
      </c>
      <c r="G501" s="9" t="s">
        <v>69</v>
      </c>
      <c r="H501" s="9"/>
      <c r="I501" s="9"/>
      <c r="J501" s="9"/>
      <c r="K501" s="9"/>
      <c r="L501" s="9" t="s">
        <v>3</v>
      </c>
      <c r="M501" s="9" t="s">
        <v>58</v>
      </c>
      <c r="N501" s="9" t="s">
        <v>66</v>
      </c>
    </row>
    <row r="502" spans="1:14" ht="14" x14ac:dyDescent="0.15">
      <c r="A502" s="9" t="s">
        <v>1112</v>
      </c>
      <c r="B502" s="9" t="s">
        <v>241</v>
      </c>
      <c r="C502" s="9" t="s">
        <v>1098</v>
      </c>
      <c r="D502" s="9" t="s">
        <v>1110</v>
      </c>
      <c r="E502" s="9" t="s">
        <v>243</v>
      </c>
      <c r="F502" s="9" t="s">
        <v>52</v>
      </c>
      <c r="G502" s="9" t="s">
        <v>69</v>
      </c>
      <c r="H502" s="9"/>
      <c r="I502" s="9"/>
      <c r="J502" s="9"/>
      <c r="K502" s="9"/>
      <c r="L502" s="9" t="s">
        <v>3</v>
      </c>
      <c r="M502" s="9" t="s">
        <v>58</v>
      </c>
      <c r="N502" s="9" t="s">
        <v>66</v>
      </c>
    </row>
    <row r="503" spans="1:14" ht="14" x14ac:dyDescent="0.15">
      <c r="A503" s="9" t="s">
        <v>1113</v>
      </c>
      <c r="B503" s="9" t="s">
        <v>241</v>
      </c>
      <c r="C503" s="9" t="s">
        <v>1098</v>
      </c>
      <c r="D503" s="9" t="s">
        <v>1110</v>
      </c>
      <c r="E503" s="9" t="s">
        <v>243</v>
      </c>
      <c r="F503" s="9" t="s">
        <v>52</v>
      </c>
      <c r="G503" s="9" t="s">
        <v>69</v>
      </c>
      <c r="H503" s="9"/>
      <c r="I503" s="9"/>
      <c r="J503" s="9"/>
      <c r="K503" s="9"/>
      <c r="L503" s="9" t="s">
        <v>3</v>
      </c>
      <c r="M503" s="9" t="s">
        <v>58</v>
      </c>
      <c r="N503" s="9" t="s">
        <v>66</v>
      </c>
    </row>
    <row r="504" spans="1:14" ht="14" x14ac:dyDescent="0.15">
      <c r="A504" s="9" t="s">
        <v>1114</v>
      </c>
      <c r="B504" s="9" t="s">
        <v>241</v>
      </c>
      <c r="C504" s="9" t="s">
        <v>1098</v>
      </c>
      <c r="D504" s="9" t="s">
        <v>1110</v>
      </c>
      <c r="E504" s="9" t="s">
        <v>243</v>
      </c>
      <c r="F504" s="9" t="s">
        <v>52</v>
      </c>
      <c r="G504" s="9" t="s">
        <v>69</v>
      </c>
      <c r="H504" s="9"/>
      <c r="I504" s="9"/>
      <c r="J504" s="9"/>
      <c r="K504" s="9"/>
      <c r="L504" s="9" t="s">
        <v>3</v>
      </c>
      <c r="M504" s="9" t="s">
        <v>58</v>
      </c>
      <c r="N504" s="9" t="s">
        <v>66</v>
      </c>
    </row>
    <row r="505" spans="1:14" ht="14" x14ac:dyDescent="0.15">
      <c r="A505" s="9" t="s">
        <v>1115</v>
      </c>
      <c r="B505" s="9" t="s">
        <v>241</v>
      </c>
      <c r="C505" s="9" t="s">
        <v>1098</v>
      </c>
      <c r="D505" s="9" t="s">
        <v>1116</v>
      </c>
      <c r="E505" s="9" t="s">
        <v>243</v>
      </c>
      <c r="F505" s="9" t="s">
        <v>52</v>
      </c>
      <c r="G505" s="9" t="s">
        <v>69</v>
      </c>
      <c r="H505" s="9"/>
      <c r="I505" s="9"/>
      <c r="J505" s="9"/>
      <c r="K505" s="9"/>
      <c r="L505" s="9" t="s">
        <v>3</v>
      </c>
      <c r="M505" s="9" t="s">
        <v>58</v>
      </c>
      <c r="N505" s="9" t="s">
        <v>66</v>
      </c>
    </row>
    <row r="506" spans="1:14" ht="14" x14ac:dyDescent="0.15">
      <c r="A506" s="9" t="s">
        <v>1117</v>
      </c>
      <c r="B506" s="9" t="s">
        <v>241</v>
      </c>
      <c r="C506" s="9" t="s">
        <v>1098</v>
      </c>
      <c r="D506" s="9" t="s">
        <v>1116</v>
      </c>
      <c r="E506" s="9" t="s">
        <v>243</v>
      </c>
      <c r="F506" s="9" t="s">
        <v>52</v>
      </c>
      <c r="G506" s="9" t="s">
        <v>69</v>
      </c>
      <c r="H506" s="9"/>
      <c r="I506" s="9"/>
      <c r="J506" s="9"/>
      <c r="K506" s="9"/>
      <c r="L506" s="9" t="s">
        <v>3</v>
      </c>
      <c r="M506" s="9" t="s">
        <v>58</v>
      </c>
      <c r="N506" s="9" t="s">
        <v>66</v>
      </c>
    </row>
    <row r="507" spans="1:14" ht="14" x14ac:dyDescent="0.15">
      <c r="A507" s="9" t="s">
        <v>1118</v>
      </c>
      <c r="B507" s="9" t="s">
        <v>241</v>
      </c>
      <c r="C507" s="9" t="s">
        <v>1098</v>
      </c>
      <c r="D507" s="9" t="s">
        <v>1116</v>
      </c>
      <c r="E507" s="9" t="s">
        <v>243</v>
      </c>
      <c r="F507" s="9" t="s">
        <v>52</v>
      </c>
      <c r="G507" s="9" t="s">
        <v>69</v>
      </c>
      <c r="H507" s="9"/>
      <c r="I507" s="9"/>
      <c r="J507" s="9"/>
      <c r="K507" s="9"/>
      <c r="L507" s="9" t="s">
        <v>3</v>
      </c>
      <c r="M507" s="9" t="s">
        <v>58</v>
      </c>
      <c r="N507" s="9" t="s">
        <v>66</v>
      </c>
    </row>
    <row r="508" spans="1:14" ht="14" x14ac:dyDescent="0.15">
      <c r="A508" s="9" t="s">
        <v>1119</v>
      </c>
      <c r="B508" s="9" t="s">
        <v>241</v>
      </c>
      <c r="C508" s="9" t="s">
        <v>1098</v>
      </c>
      <c r="D508" s="9" t="s">
        <v>1116</v>
      </c>
      <c r="E508" s="9" t="s">
        <v>243</v>
      </c>
      <c r="F508" s="9" t="s">
        <v>52</v>
      </c>
      <c r="G508" s="9" t="s">
        <v>69</v>
      </c>
      <c r="H508" s="9"/>
      <c r="I508" s="9"/>
      <c r="J508" s="9"/>
      <c r="K508" s="9"/>
      <c r="L508" s="9" t="s">
        <v>3</v>
      </c>
      <c r="M508" s="9" t="s">
        <v>58</v>
      </c>
      <c r="N508" s="9" t="s">
        <v>66</v>
      </c>
    </row>
    <row r="509" spans="1:14" ht="14" x14ac:dyDescent="0.15">
      <c r="A509" s="9" t="s">
        <v>1120</v>
      </c>
      <c r="B509" s="9" t="s">
        <v>241</v>
      </c>
      <c r="C509" s="9" t="s">
        <v>1098</v>
      </c>
      <c r="D509" s="9" t="s">
        <v>1116</v>
      </c>
      <c r="E509" s="9" t="s">
        <v>243</v>
      </c>
      <c r="F509" s="9" t="s">
        <v>52</v>
      </c>
      <c r="G509" s="9" t="s">
        <v>69</v>
      </c>
      <c r="H509" s="9"/>
      <c r="I509" s="9"/>
      <c r="J509" s="9"/>
      <c r="K509" s="9"/>
      <c r="L509" s="9" t="s">
        <v>3</v>
      </c>
      <c r="M509" s="9" t="s">
        <v>58</v>
      </c>
      <c r="N509" s="9" t="s">
        <v>66</v>
      </c>
    </row>
    <row r="510" spans="1:14" ht="14" x14ac:dyDescent="0.15">
      <c r="A510" s="9" t="s">
        <v>1121</v>
      </c>
      <c r="B510" s="9" t="s">
        <v>241</v>
      </c>
      <c r="C510" s="9" t="s">
        <v>1098</v>
      </c>
      <c r="D510" s="9" t="s">
        <v>1116</v>
      </c>
      <c r="E510" s="9" t="s">
        <v>243</v>
      </c>
      <c r="F510" s="9" t="s">
        <v>52</v>
      </c>
      <c r="G510" s="9" t="s">
        <v>69</v>
      </c>
      <c r="H510" s="9"/>
      <c r="I510" s="9"/>
      <c r="J510" s="9"/>
      <c r="K510" s="9"/>
      <c r="L510" s="9" t="s">
        <v>3</v>
      </c>
      <c r="M510" s="9" t="s">
        <v>58</v>
      </c>
      <c r="N510" s="9" t="s">
        <v>66</v>
      </c>
    </row>
    <row r="511" spans="1:14" ht="14" x14ac:dyDescent="0.15">
      <c r="A511" s="9" t="s">
        <v>1122</v>
      </c>
      <c r="B511" s="9" t="s">
        <v>241</v>
      </c>
      <c r="C511" s="9" t="s">
        <v>1123</v>
      </c>
      <c r="D511" s="9" t="s">
        <v>1124</v>
      </c>
      <c r="E511" s="9" t="s">
        <v>243</v>
      </c>
      <c r="F511" s="9" t="s">
        <v>52</v>
      </c>
      <c r="G511" s="9" t="s">
        <v>69</v>
      </c>
      <c r="H511" s="9"/>
      <c r="I511" s="9"/>
      <c r="J511" s="9"/>
      <c r="K511" s="9"/>
      <c r="L511" s="9" t="s">
        <v>3</v>
      </c>
      <c r="M511" s="9" t="s">
        <v>58</v>
      </c>
      <c r="N511" s="9" t="s">
        <v>66</v>
      </c>
    </row>
    <row r="512" spans="1:14" ht="14" x14ac:dyDescent="0.15">
      <c r="A512" s="9" t="s">
        <v>1125</v>
      </c>
      <c r="B512" s="9" t="s">
        <v>241</v>
      </c>
      <c r="C512" s="9" t="s">
        <v>1123</v>
      </c>
      <c r="D512" s="9" t="s">
        <v>1124</v>
      </c>
      <c r="E512" s="9" t="s">
        <v>243</v>
      </c>
      <c r="F512" s="9" t="s">
        <v>52</v>
      </c>
      <c r="G512" s="9" t="s">
        <v>69</v>
      </c>
      <c r="H512" s="9"/>
      <c r="I512" s="9"/>
      <c r="J512" s="9"/>
      <c r="K512" s="9"/>
      <c r="L512" s="9" t="s">
        <v>3</v>
      </c>
      <c r="M512" s="9" t="s">
        <v>58</v>
      </c>
      <c r="N512" s="9" t="s">
        <v>66</v>
      </c>
    </row>
    <row r="513" spans="1:14" ht="14" x14ac:dyDescent="0.15">
      <c r="A513" s="9" t="s">
        <v>1126</v>
      </c>
      <c r="B513" s="9" t="s">
        <v>241</v>
      </c>
      <c r="C513" s="9" t="s">
        <v>1123</v>
      </c>
      <c r="D513" s="9" t="s">
        <v>1124</v>
      </c>
      <c r="E513" s="9" t="s">
        <v>243</v>
      </c>
      <c r="F513" s="9" t="s">
        <v>52</v>
      </c>
      <c r="G513" s="9" t="s">
        <v>69</v>
      </c>
      <c r="H513" s="9"/>
      <c r="I513" s="9"/>
      <c r="J513" s="9"/>
      <c r="K513" s="9"/>
      <c r="L513" s="9" t="s">
        <v>3</v>
      </c>
      <c r="M513" s="9" t="s">
        <v>58</v>
      </c>
      <c r="N513" s="9" t="s">
        <v>66</v>
      </c>
    </row>
    <row r="514" spans="1:14" ht="14" x14ac:dyDescent="0.15">
      <c r="A514" s="9" t="s">
        <v>1127</v>
      </c>
      <c r="B514" s="9" t="s">
        <v>241</v>
      </c>
      <c r="C514" s="9" t="s">
        <v>1123</v>
      </c>
      <c r="D514" s="9" t="s">
        <v>1124</v>
      </c>
      <c r="E514" s="9" t="s">
        <v>243</v>
      </c>
      <c r="F514" s="9" t="s">
        <v>52</v>
      </c>
      <c r="G514" s="9" t="s">
        <v>69</v>
      </c>
      <c r="H514" s="9"/>
      <c r="I514" s="9"/>
      <c r="J514" s="9"/>
      <c r="K514" s="9"/>
      <c r="L514" s="9" t="s">
        <v>3</v>
      </c>
      <c r="M514" s="9" t="s">
        <v>58</v>
      </c>
      <c r="N514" s="9" t="s">
        <v>66</v>
      </c>
    </row>
    <row r="515" spans="1:14" ht="14" x14ac:dyDescent="0.15">
      <c r="A515" s="9" t="s">
        <v>1128</v>
      </c>
      <c r="B515" s="9" t="s">
        <v>241</v>
      </c>
      <c r="C515" s="9" t="s">
        <v>1123</v>
      </c>
      <c r="D515" s="9" t="s">
        <v>1129</v>
      </c>
      <c r="E515" s="9" t="s">
        <v>243</v>
      </c>
      <c r="F515" s="9" t="s">
        <v>52</v>
      </c>
      <c r="G515" s="9" t="s">
        <v>69</v>
      </c>
      <c r="H515" s="9"/>
      <c r="I515" s="9"/>
      <c r="J515" s="9"/>
      <c r="K515" s="9"/>
      <c r="L515" s="9" t="s">
        <v>3</v>
      </c>
      <c r="M515" s="9" t="s">
        <v>58</v>
      </c>
      <c r="N515" s="9" t="s">
        <v>66</v>
      </c>
    </row>
    <row r="516" spans="1:14" ht="14" x14ac:dyDescent="0.15">
      <c r="A516" s="9" t="s">
        <v>1130</v>
      </c>
      <c r="B516" s="9" t="s">
        <v>241</v>
      </c>
      <c r="C516" s="9" t="s">
        <v>1098</v>
      </c>
      <c r="D516" s="9" t="s">
        <v>1131</v>
      </c>
      <c r="E516" s="9" t="s">
        <v>243</v>
      </c>
      <c r="F516" s="9" t="s">
        <v>52</v>
      </c>
      <c r="G516" s="9" t="s">
        <v>69</v>
      </c>
      <c r="H516" s="9"/>
      <c r="I516" s="9"/>
      <c r="J516" s="9"/>
      <c r="K516" s="9"/>
      <c r="L516" s="9" t="s">
        <v>3</v>
      </c>
      <c r="M516" s="9" t="s">
        <v>58</v>
      </c>
      <c r="N516" s="9" t="s">
        <v>66</v>
      </c>
    </row>
    <row r="517" spans="1:14" ht="14" x14ac:dyDescent="0.15">
      <c r="A517" s="9" t="s">
        <v>1132</v>
      </c>
      <c r="B517" s="9" t="s">
        <v>241</v>
      </c>
      <c r="C517" s="9" t="s">
        <v>1098</v>
      </c>
      <c r="D517" s="9" t="s">
        <v>1131</v>
      </c>
      <c r="E517" s="9" t="s">
        <v>243</v>
      </c>
      <c r="F517" s="9" t="s">
        <v>52</v>
      </c>
      <c r="G517" s="9" t="s">
        <v>69</v>
      </c>
      <c r="H517" s="9"/>
      <c r="I517" s="9"/>
      <c r="J517" s="9"/>
      <c r="K517" s="9"/>
      <c r="L517" s="9" t="s">
        <v>3</v>
      </c>
      <c r="M517" s="9" t="s">
        <v>58</v>
      </c>
      <c r="N517" s="9" t="s">
        <v>66</v>
      </c>
    </row>
    <row r="518" spans="1:14" ht="14" x14ac:dyDescent="0.15">
      <c r="A518" s="9" t="s">
        <v>1133</v>
      </c>
      <c r="B518" s="9" t="s">
        <v>241</v>
      </c>
      <c r="C518" s="9" t="s">
        <v>1098</v>
      </c>
      <c r="D518" s="9" t="s">
        <v>1131</v>
      </c>
      <c r="E518" s="9" t="s">
        <v>243</v>
      </c>
      <c r="F518" s="9" t="s">
        <v>52</v>
      </c>
      <c r="G518" s="9" t="s">
        <v>69</v>
      </c>
      <c r="H518" s="9"/>
      <c r="I518" s="9"/>
      <c r="J518" s="9"/>
      <c r="K518" s="9"/>
      <c r="L518" s="9" t="s">
        <v>3</v>
      </c>
      <c r="M518" s="9" t="s">
        <v>58</v>
      </c>
      <c r="N518" s="9" t="s">
        <v>66</v>
      </c>
    </row>
    <row r="519" spans="1:14" ht="14" x14ac:dyDescent="0.15">
      <c r="A519" s="9" t="s">
        <v>1134</v>
      </c>
      <c r="B519" s="9" t="s">
        <v>241</v>
      </c>
      <c r="C519" s="9" t="s">
        <v>1098</v>
      </c>
      <c r="D519" s="9" t="s">
        <v>1131</v>
      </c>
      <c r="E519" s="9" t="s">
        <v>243</v>
      </c>
      <c r="F519" s="9" t="s">
        <v>52</v>
      </c>
      <c r="G519" s="9" t="s">
        <v>69</v>
      </c>
      <c r="H519" s="9"/>
      <c r="I519" s="9"/>
      <c r="J519" s="9"/>
      <c r="K519" s="9"/>
      <c r="L519" s="9" t="s">
        <v>3</v>
      </c>
      <c r="M519" s="9" t="s">
        <v>58</v>
      </c>
      <c r="N519" s="9" t="s">
        <v>66</v>
      </c>
    </row>
    <row r="520" spans="1:14" ht="14" x14ac:dyDescent="0.15">
      <c r="A520" s="9" t="s">
        <v>1135</v>
      </c>
      <c r="B520" s="9" t="s">
        <v>241</v>
      </c>
      <c r="C520" s="9" t="s">
        <v>1098</v>
      </c>
      <c r="D520" s="9" t="s">
        <v>1131</v>
      </c>
      <c r="E520" s="9" t="s">
        <v>243</v>
      </c>
      <c r="F520" s="9" t="s">
        <v>52</v>
      </c>
      <c r="G520" s="9" t="s">
        <v>69</v>
      </c>
      <c r="H520" s="9"/>
      <c r="I520" s="9"/>
      <c r="J520" s="9"/>
      <c r="K520" s="9"/>
      <c r="L520" s="9" t="s">
        <v>3</v>
      </c>
      <c r="M520" s="9" t="s">
        <v>58</v>
      </c>
      <c r="N520" s="9" t="s">
        <v>66</v>
      </c>
    </row>
    <row r="521" spans="1:14" ht="14" x14ac:dyDescent="0.15">
      <c r="A521" s="9" t="s">
        <v>1136</v>
      </c>
      <c r="B521" s="9" t="s">
        <v>241</v>
      </c>
      <c r="C521" s="9" t="s">
        <v>1098</v>
      </c>
      <c r="D521" s="9" t="s">
        <v>1131</v>
      </c>
      <c r="E521" s="9" t="s">
        <v>243</v>
      </c>
      <c r="F521" s="9" t="s">
        <v>52</v>
      </c>
      <c r="G521" s="9" t="s">
        <v>69</v>
      </c>
      <c r="H521" s="9"/>
      <c r="I521" s="9"/>
      <c r="J521" s="9"/>
      <c r="K521" s="9"/>
      <c r="L521" s="9" t="s">
        <v>3</v>
      </c>
      <c r="M521" s="9" t="s">
        <v>58</v>
      </c>
      <c r="N521" s="9" t="s">
        <v>66</v>
      </c>
    </row>
    <row r="522" spans="1:14" ht="14" x14ac:dyDescent="0.15">
      <c r="A522" s="9" t="s">
        <v>1137</v>
      </c>
      <c r="B522" s="9" t="s">
        <v>241</v>
      </c>
      <c r="C522" s="9" t="s">
        <v>1098</v>
      </c>
      <c r="D522" s="9" t="s">
        <v>1131</v>
      </c>
      <c r="E522" s="9" t="s">
        <v>243</v>
      </c>
      <c r="F522" s="9" t="s">
        <v>52</v>
      </c>
      <c r="G522" s="9" t="s">
        <v>69</v>
      </c>
      <c r="H522" s="9"/>
      <c r="I522" s="9"/>
      <c r="J522" s="9"/>
      <c r="K522" s="9"/>
      <c r="L522" s="9" t="s">
        <v>3</v>
      </c>
      <c r="M522" s="9" t="s">
        <v>58</v>
      </c>
      <c r="N522" s="9" t="s">
        <v>66</v>
      </c>
    </row>
    <row r="523" spans="1:14" ht="14" x14ac:dyDescent="0.15">
      <c r="A523" s="9" t="s">
        <v>1138</v>
      </c>
      <c r="B523" s="9" t="s">
        <v>241</v>
      </c>
      <c r="C523" s="9" t="s">
        <v>1098</v>
      </c>
      <c r="D523" s="9" t="s">
        <v>1131</v>
      </c>
      <c r="E523" s="9" t="s">
        <v>243</v>
      </c>
      <c r="F523" s="9" t="s">
        <v>52</v>
      </c>
      <c r="G523" s="9" t="s">
        <v>69</v>
      </c>
      <c r="H523" s="9"/>
      <c r="I523" s="9"/>
      <c r="J523" s="9"/>
      <c r="K523" s="9"/>
      <c r="L523" s="9" t="s">
        <v>3</v>
      </c>
      <c r="M523" s="9" t="s">
        <v>58</v>
      </c>
      <c r="N523" s="9" t="s">
        <v>66</v>
      </c>
    </row>
    <row r="524" spans="1:14" ht="14" x14ac:dyDescent="0.15">
      <c r="A524" s="9" t="s">
        <v>1139</v>
      </c>
      <c r="B524" s="9" t="s">
        <v>241</v>
      </c>
      <c r="C524" s="9" t="s">
        <v>1098</v>
      </c>
      <c r="D524" s="9" t="s">
        <v>1140</v>
      </c>
      <c r="E524" s="9" t="s">
        <v>243</v>
      </c>
      <c r="F524" s="9" t="s">
        <v>52</v>
      </c>
      <c r="G524" s="9" t="s">
        <v>69</v>
      </c>
      <c r="H524" s="9"/>
      <c r="I524" s="9"/>
      <c r="J524" s="9"/>
      <c r="K524" s="9"/>
      <c r="L524" s="9" t="s">
        <v>3</v>
      </c>
      <c r="M524" s="9" t="s">
        <v>58</v>
      </c>
      <c r="N524" s="9" t="s">
        <v>66</v>
      </c>
    </row>
    <row r="525" spans="1:14" ht="14" x14ac:dyDescent="0.15">
      <c r="A525" s="9" t="s">
        <v>1141</v>
      </c>
      <c r="B525" s="9" t="s">
        <v>241</v>
      </c>
      <c r="C525" s="9" t="s">
        <v>1098</v>
      </c>
      <c r="D525" s="9" t="s">
        <v>1140</v>
      </c>
      <c r="E525" s="9" t="s">
        <v>243</v>
      </c>
      <c r="F525" s="9" t="s">
        <v>52</v>
      </c>
      <c r="G525" s="9" t="s">
        <v>69</v>
      </c>
      <c r="H525" s="9"/>
      <c r="I525" s="9"/>
      <c r="J525" s="9"/>
      <c r="K525" s="9"/>
      <c r="L525" s="9" t="s">
        <v>3</v>
      </c>
      <c r="M525" s="9" t="s">
        <v>58</v>
      </c>
      <c r="N525" s="9" t="s">
        <v>66</v>
      </c>
    </row>
    <row r="526" spans="1:14" ht="14" x14ac:dyDescent="0.15">
      <c r="A526" s="9" t="s">
        <v>1142</v>
      </c>
      <c r="B526" s="9" t="s">
        <v>241</v>
      </c>
      <c r="C526" s="9" t="s">
        <v>1098</v>
      </c>
      <c r="D526" s="9" t="s">
        <v>1140</v>
      </c>
      <c r="E526" s="9" t="s">
        <v>243</v>
      </c>
      <c r="F526" s="9" t="s">
        <v>52</v>
      </c>
      <c r="G526" s="9" t="s">
        <v>69</v>
      </c>
      <c r="H526" s="9"/>
      <c r="I526" s="9"/>
      <c r="J526" s="9"/>
      <c r="K526" s="9"/>
      <c r="L526" s="9" t="s">
        <v>3</v>
      </c>
      <c r="M526" s="9" t="s">
        <v>58</v>
      </c>
      <c r="N526" s="9" t="s">
        <v>66</v>
      </c>
    </row>
    <row r="527" spans="1:14" ht="14" x14ac:dyDescent="0.15">
      <c r="A527" s="9" t="s">
        <v>1143</v>
      </c>
      <c r="B527" s="9" t="s">
        <v>241</v>
      </c>
      <c r="C527" s="9" t="s">
        <v>1098</v>
      </c>
      <c r="D527" s="9" t="s">
        <v>1140</v>
      </c>
      <c r="E527" s="9" t="s">
        <v>243</v>
      </c>
      <c r="F527" s="9" t="s">
        <v>52</v>
      </c>
      <c r="G527" s="9" t="s">
        <v>69</v>
      </c>
      <c r="H527" s="9"/>
      <c r="I527" s="9"/>
      <c r="J527" s="9"/>
      <c r="K527" s="9"/>
      <c r="L527" s="9" t="s">
        <v>3</v>
      </c>
      <c r="M527" s="9" t="s">
        <v>58</v>
      </c>
      <c r="N527" s="9" t="s">
        <v>66</v>
      </c>
    </row>
    <row r="528" spans="1:14" ht="14" x14ac:dyDescent="0.15">
      <c r="A528" s="9" t="s">
        <v>1144</v>
      </c>
      <c r="B528" s="9" t="s">
        <v>241</v>
      </c>
      <c r="C528" s="9" t="s">
        <v>1098</v>
      </c>
      <c r="D528" s="9" t="s">
        <v>1140</v>
      </c>
      <c r="E528" s="9" t="s">
        <v>243</v>
      </c>
      <c r="F528" s="9" t="s">
        <v>52</v>
      </c>
      <c r="G528" s="9" t="s">
        <v>69</v>
      </c>
      <c r="H528" s="9"/>
      <c r="I528" s="9"/>
      <c r="J528" s="9"/>
      <c r="K528" s="9"/>
      <c r="L528" s="9" t="s">
        <v>3</v>
      </c>
      <c r="M528" s="9" t="s">
        <v>58</v>
      </c>
      <c r="N528" s="9" t="s">
        <v>66</v>
      </c>
    </row>
    <row r="529" spans="1:14" ht="14" x14ac:dyDescent="0.15">
      <c r="A529" s="9" t="s">
        <v>1145</v>
      </c>
      <c r="B529" s="9" t="s">
        <v>241</v>
      </c>
      <c r="C529" s="9" t="s">
        <v>1098</v>
      </c>
      <c r="D529" s="9" t="s">
        <v>1140</v>
      </c>
      <c r="E529" s="9" t="s">
        <v>243</v>
      </c>
      <c r="F529" s="9" t="s">
        <v>52</v>
      </c>
      <c r="G529" s="9" t="s">
        <v>69</v>
      </c>
      <c r="H529" s="9"/>
      <c r="I529" s="9"/>
      <c r="J529" s="9"/>
      <c r="K529" s="9"/>
      <c r="L529" s="9" t="s">
        <v>3</v>
      </c>
      <c r="M529" s="9" t="s">
        <v>58</v>
      </c>
      <c r="N529" s="9" t="s">
        <v>66</v>
      </c>
    </row>
    <row r="530" spans="1:14" ht="14" x14ac:dyDescent="0.15">
      <c r="A530" s="9" t="s">
        <v>1146</v>
      </c>
      <c r="B530" s="9" t="s">
        <v>241</v>
      </c>
      <c r="C530" s="9" t="s">
        <v>1098</v>
      </c>
      <c r="D530" s="9" t="s">
        <v>1140</v>
      </c>
      <c r="E530" s="9" t="s">
        <v>243</v>
      </c>
      <c r="F530" s="9" t="s">
        <v>52</v>
      </c>
      <c r="G530" s="9" t="s">
        <v>69</v>
      </c>
      <c r="H530" s="9"/>
      <c r="I530" s="9"/>
      <c r="J530" s="9"/>
      <c r="K530" s="9"/>
      <c r="L530" s="9" t="s">
        <v>3</v>
      </c>
      <c r="M530" s="9" t="s">
        <v>58</v>
      </c>
      <c r="N530" s="9" t="s">
        <v>66</v>
      </c>
    </row>
    <row r="531" spans="1:14" ht="14" x14ac:dyDescent="0.15">
      <c r="A531" s="9" t="s">
        <v>1147</v>
      </c>
      <c r="B531" s="9" t="s">
        <v>241</v>
      </c>
      <c r="C531" s="9" t="s">
        <v>1098</v>
      </c>
      <c r="D531" s="9" t="s">
        <v>1140</v>
      </c>
      <c r="E531" s="9" t="s">
        <v>243</v>
      </c>
      <c r="F531" s="9" t="s">
        <v>52</v>
      </c>
      <c r="G531" s="9" t="s">
        <v>69</v>
      </c>
      <c r="H531" s="9"/>
      <c r="I531" s="9"/>
      <c r="J531" s="9"/>
      <c r="K531" s="9"/>
      <c r="L531" s="9" t="s">
        <v>3</v>
      </c>
      <c r="M531" s="9" t="s">
        <v>58</v>
      </c>
      <c r="N531" s="9" t="s">
        <v>66</v>
      </c>
    </row>
    <row r="532" spans="1:14" ht="14" x14ac:dyDescent="0.15">
      <c r="A532" s="9" t="s">
        <v>1148</v>
      </c>
      <c r="B532" s="9" t="s">
        <v>241</v>
      </c>
      <c r="C532" s="9" t="s">
        <v>1149</v>
      </c>
      <c r="D532" s="9" t="s">
        <v>1150</v>
      </c>
      <c r="E532" s="9" t="s">
        <v>243</v>
      </c>
      <c r="F532" s="9" t="s">
        <v>52</v>
      </c>
      <c r="G532" s="9" t="s">
        <v>69</v>
      </c>
      <c r="H532" s="9"/>
      <c r="I532" s="9"/>
      <c r="J532" s="9"/>
      <c r="K532" s="9"/>
      <c r="L532" s="9" t="s">
        <v>3</v>
      </c>
      <c r="M532" s="9" t="s">
        <v>58</v>
      </c>
      <c r="N532" s="9" t="s">
        <v>66</v>
      </c>
    </row>
    <row r="533" spans="1:14" ht="14" x14ac:dyDescent="0.15">
      <c r="A533" s="9" t="s">
        <v>1151</v>
      </c>
      <c r="B533" s="9" t="s">
        <v>241</v>
      </c>
      <c r="C533" s="9" t="s">
        <v>1149</v>
      </c>
      <c r="D533" s="9" t="s">
        <v>1150</v>
      </c>
      <c r="E533" s="9" t="s">
        <v>243</v>
      </c>
      <c r="F533" s="9" t="s">
        <v>52</v>
      </c>
      <c r="G533" s="9" t="s">
        <v>69</v>
      </c>
      <c r="H533" s="9"/>
      <c r="I533" s="9"/>
      <c r="J533" s="9"/>
      <c r="K533" s="9"/>
      <c r="L533" s="9" t="s">
        <v>3</v>
      </c>
      <c r="M533" s="9" t="s">
        <v>58</v>
      </c>
      <c r="N533" s="9" t="s">
        <v>66</v>
      </c>
    </row>
    <row r="534" spans="1:14" ht="14" x14ac:dyDescent="0.15">
      <c r="A534" s="9" t="s">
        <v>1152</v>
      </c>
      <c r="B534" s="9" t="s">
        <v>241</v>
      </c>
      <c r="C534" s="9" t="s">
        <v>1149</v>
      </c>
      <c r="D534" s="9" t="s">
        <v>1150</v>
      </c>
      <c r="E534" s="9" t="s">
        <v>243</v>
      </c>
      <c r="F534" s="9" t="s">
        <v>52</v>
      </c>
      <c r="G534" s="9" t="s">
        <v>69</v>
      </c>
      <c r="H534" s="9"/>
      <c r="I534" s="9"/>
      <c r="J534" s="9"/>
      <c r="K534" s="9"/>
      <c r="L534" s="9" t="s">
        <v>3</v>
      </c>
      <c r="M534" s="9" t="s">
        <v>58</v>
      </c>
      <c r="N534" s="9" t="s">
        <v>66</v>
      </c>
    </row>
    <row r="535" spans="1:14" ht="14" x14ac:dyDescent="0.15">
      <c r="A535" s="9" t="s">
        <v>1153</v>
      </c>
      <c r="B535" s="9" t="s">
        <v>241</v>
      </c>
      <c r="C535" s="9" t="s">
        <v>1149</v>
      </c>
      <c r="D535" s="9" t="s">
        <v>1150</v>
      </c>
      <c r="E535" s="9" t="s">
        <v>243</v>
      </c>
      <c r="F535" s="9" t="s">
        <v>52</v>
      </c>
      <c r="G535" s="9" t="s">
        <v>69</v>
      </c>
      <c r="H535" s="9"/>
      <c r="I535" s="9"/>
      <c r="J535" s="9"/>
      <c r="K535" s="9"/>
      <c r="L535" s="9" t="s">
        <v>3</v>
      </c>
      <c r="M535" s="9" t="s">
        <v>58</v>
      </c>
      <c r="N535" s="9" t="s">
        <v>66</v>
      </c>
    </row>
    <row r="536" spans="1:14" ht="14" x14ac:dyDescent="0.15">
      <c r="A536" s="9" t="s">
        <v>1154</v>
      </c>
      <c r="B536" s="9" t="s">
        <v>241</v>
      </c>
      <c r="C536" s="9" t="s">
        <v>1149</v>
      </c>
      <c r="D536" s="9" t="s">
        <v>1150</v>
      </c>
      <c r="E536" s="9" t="s">
        <v>243</v>
      </c>
      <c r="F536" s="9" t="s">
        <v>52</v>
      </c>
      <c r="G536" s="9" t="s">
        <v>69</v>
      </c>
      <c r="H536" s="9"/>
      <c r="I536" s="9"/>
      <c r="J536" s="9"/>
      <c r="K536" s="9"/>
      <c r="L536" s="9" t="s">
        <v>3</v>
      </c>
      <c r="M536" s="9" t="s">
        <v>58</v>
      </c>
      <c r="N536" s="9" t="s">
        <v>66</v>
      </c>
    </row>
    <row r="537" spans="1:14" ht="42" x14ac:dyDescent="0.15">
      <c r="A537" s="9" t="s">
        <v>1155</v>
      </c>
      <c r="B537" s="9" t="s">
        <v>241</v>
      </c>
      <c r="C537" s="9" t="s">
        <v>49</v>
      </c>
      <c r="D537" s="9" t="s">
        <v>1156</v>
      </c>
      <c r="E537" s="9"/>
      <c r="F537" s="9"/>
      <c r="G537" s="9" t="s">
        <v>53</v>
      </c>
      <c r="H537" s="9" t="s">
        <v>54</v>
      </c>
      <c r="I537" s="9" t="s">
        <v>1157</v>
      </c>
      <c r="J537" s="9" t="s">
        <v>1158</v>
      </c>
      <c r="K537" s="9" t="s">
        <v>1159</v>
      </c>
      <c r="L537" s="9"/>
      <c r="M537" s="9" t="s">
        <v>58</v>
      </c>
      <c r="N537" s="9" t="s">
        <v>59</v>
      </c>
    </row>
    <row r="538" spans="1:14" ht="42" x14ac:dyDescent="0.15">
      <c r="A538" s="9" t="s">
        <v>1160</v>
      </c>
      <c r="B538" s="9" t="s">
        <v>241</v>
      </c>
      <c r="C538" s="9" t="s">
        <v>49</v>
      </c>
      <c r="D538" s="9" t="s">
        <v>1161</v>
      </c>
      <c r="E538" s="9"/>
      <c r="F538" s="9"/>
      <c r="G538" s="9" t="s">
        <v>53</v>
      </c>
      <c r="H538" s="9" t="s">
        <v>54</v>
      </c>
      <c r="I538" s="9" t="s">
        <v>1157</v>
      </c>
      <c r="J538" s="9" t="s">
        <v>1158</v>
      </c>
      <c r="K538" s="9" t="s">
        <v>1159</v>
      </c>
      <c r="L538" s="9"/>
      <c r="M538" s="9" t="s">
        <v>58</v>
      </c>
      <c r="N538" s="9" t="s">
        <v>59</v>
      </c>
    </row>
    <row r="539" spans="1:14" ht="42" x14ac:dyDescent="0.15">
      <c r="A539" s="9" t="s">
        <v>1162</v>
      </c>
      <c r="B539" s="9" t="s">
        <v>241</v>
      </c>
      <c r="C539" s="9" t="s">
        <v>49</v>
      </c>
      <c r="D539" s="9" t="s">
        <v>1163</v>
      </c>
      <c r="E539" s="9"/>
      <c r="F539" s="9"/>
      <c r="G539" s="9" t="s">
        <v>53</v>
      </c>
      <c r="H539" s="9" t="s">
        <v>54</v>
      </c>
      <c r="I539" s="9" t="s">
        <v>1157</v>
      </c>
      <c r="J539" s="9" t="s">
        <v>1158</v>
      </c>
      <c r="K539" s="9" t="s">
        <v>1159</v>
      </c>
      <c r="L539" s="9"/>
      <c r="M539" s="9" t="s">
        <v>58</v>
      </c>
      <c r="N539" s="9" t="s">
        <v>59</v>
      </c>
    </row>
    <row r="540" spans="1:14" ht="42" x14ac:dyDescent="0.15">
      <c r="A540" s="9" t="s">
        <v>1164</v>
      </c>
      <c r="B540" s="9" t="s">
        <v>241</v>
      </c>
      <c r="C540" s="9" t="s">
        <v>49</v>
      </c>
      <c r="D540" s="9" t="s">
        <v>1165</v>
      </c>
      <c r="E540" s="9"/>
      <c r="F540" s="9"/>
      <c r="G540" s="9" t="s">
        <v>53</v>
      </c>
      <c r="H540" s="9" t="s">
        <v>54</v>
      </c>
      <c r="I540" s="9" t="s">
        <v>1157</v>
      </c>
      <c r="J540" s="9" t="s">
        <v>1158</v>
      </c>
      <c r="K540" s="9" t="s">
        <v>1159</v>
      </c>
      <c r="L540" s="9"/>
      <c r="M540" s="9" t="s">
        <v>58</v>
      </c>
      <c r="N540" s="9" t="s">
        <v>59</v>
      </c>
    </row>
    <row r="541" spans="1:14" ht="42" x14ac:dyDescent="0.15">
      <c r="A541" s="9" t="s">
        <v>1166</v>
      </c>
      <c r="B541" s="9" t="s">
        <v>241</v>
      </c>
      <c r="C541" s="9" t="s">
        <v>49</v>
      </c>
      <c r="D541" s="9" t="s">
        <v>1167</v>
      </c>
      <c r="E541" s="9"/>
      <c r="F541" s="9"/>
      <c r="G541" s="9" t="s">
        <v>53</v>
      </c>
      <c r="H541" s="9" t="s">
        <v>54</v>
      </c>
      <c r="I541" s="9" t="s">
        <v>1157</v>
      </c>
      <c r="J541" s="9" t="s">
        <v>1158</v>
      </c>
      <c r="K541" s="9" t="s">
        <v>1159</v>
      </c>
      <c r="L541" s="9"/>
      <c r="M541" s="9" t="s">
        <v>58</v>
      </c>
      <c r="N541" s="9" t="s">
        <v>59</v>
      </c>
    </row>
    <row r="542" spans="1:14" ht="42" x14ac:dyDescent="0.15">
      <c r="A542" s="9" t="s">
        <v>1168</v>
      </c>
      <c r="B542" s="9" t="s">
        <v>241</v>
      </c>
      <c r="C542" s="9" t="s">
        <v>49</v>
      </c>
      <c r="D542" s="9" t="s">
        <v>1169</v>
      </c>
      <c r="E542" s="9"/>
      <c r="F542" s="9"/>
      <c r="G542" s="9" t="s">
        <v>53</v>
      </c>
      <c r="H542" s="9" t="s">
        <v>54</v>
      </c>
      <c r="I542" s="9" t="s">
        <v>1157</v>
      </c>
      <c r="J542" s="9" t="s">
        <v>1158</v>
      </c>
      <c r="K542" s="9" t="s">
        <v>1159</v>
      </c>
      <c r="L542" s="9"/>
      <c r="M542" s="9" t="s">
        <v>58</v>
      </c>
      <c r="N542" s="9" t="s">
        <v>59</v>
      </c>
    </row>
    <row r="543" spans="1:14" ht="42" x14ac:dyDescent="0.15">
      <c r="A543" s="9" t="s">
        <v>1170</v>
      </c>
      <c r="B543" s="9" t="s">
        <v>241</v>
      </c>
      <c r="C543" s="9" t="s">
        <v>49</v>
      </c>
      <c r="D543" s="9" t="s">
        <v>1171</v>
      </c>
      <c r="E543" s="9"/>
      <c r="F543" s="9"/>
      <c r="G543" s="9" t="s">
        <v>53</v>
      </c>
      <c r="H543" s="9" t="s">
        <v>54</v>
      </c>
      <c r="I543" s="9" t="s">
        <v>1157</v>
      </c>
      <c r="J543" s="9" t="s">
        <v>1158</v>
      </c>
      <c r="K543" s="9" t="s">
        <v>1159</v>
      </c>
      <c r="L543" s="9"/>
      <c r="M543" s="9" t="s">
        <v>58</v>
      </c>
      <c r="N543" s="9" t="s">
        <v>59</v>
      </c>
    </row>
    <row r="544" spans="1:14" ht="42" x14ac:dyDescent="0.15">
      <c r="A544" s="9" t="s">
        <v>1172</v>
      </c>
      <c r="B544" s="9" t="s">
        <v>241</v>
      </c>
      <c r="C544" s="9" t="s">
        <v>49</v>
      </c>
      <c r="D544" s="9" t="s">
        <v>1173</v>
      </c>
      <c r="E544" s="9"/>
      <c r="F544" s="9"/>
      <c r="G544" s="9" t="s">
        <v>53</v>
      </c>
      <c r="H544" s="9" t="s">
        <v>54</v>
      </c>
      <c r="I544" s="9" t="s">
        <v>1157</v>
      </c>
      <c r="J544" s="9" t="s">
        <v>1158</v>
      </c>
      <c r="K544" s="9" t="s">
        <v>1159</v>
      </c>
      <c r="L544" s="9"/>
      <c r="M544" s="9" t="s">
        <v>58</v>
      </c>
      <c r="N544" s="9" t="s">
        <v>59</v>
      </c>
    </row>
    <row r="545" spans="1:14" ht="42" x14ac:dyDescent="0.15">
      <c r="A545" s="9" t="s">
        <v>1174</v>
      </c>
      <c r="B545" s="9" t="s">
        <v>241</v>
      </c>
      <c r="C545" s="9" t="s">
        <v>49</v>
      </c>
      <c r="D545" s="9" t="s">
        <v>1175</v>
      </c>
      <c r="E545" s="9"/>
      <c r="F545" s="9"/>
      <c r="G545" s="9" t="s">
        <v>53</v>
      </c>
      <c r="H545" s="9" t="s">
        <v>54</v>
      </c>
      <c r="I545" s="9" t="s">
        <v>1157</v>
      </c>
      <c r="J545" s="9" t="s">
        <v>1158</v>
      </c>
      <c r="K545" s="9" t="s">
        <v>1159</v>
      </c>
      <c r="L545" s="9"/>
      <c r="M545" s="9" t="s">
        <v>58</v>
      </c>
      <c r="N545" s="9" t="s">
        <v>59</v>
      </c>
    </row>
    <row r="546" spans="1:14" ht="42" x14ac:dyDescent="0.15">
      <c r="A546" s="9" t="s">
        <v>1176</v>
      </c>
      <c r="B546" s="9" t="s">
        <v>241</v>
      </c>
      <c r="C546" s="9" t="s">
        <v>49</v>
      </c>
      <c r="D546" s="9" t="s">
        <v>1177</v>
      </c>
      <c r="E546" s="9"/>
      <c r="F546" s="9"/>
      <c r="G546" s="9" t="s">
        <v>53</v>
      </c>
      <c r="H546" s="9" t="s">
        <v>54</v>
      </c>
      <c r="I546" s="9" t="s">
        <v>1157</v>
      </c>
      <c r="J546" s="9" t="s">
        <v>1158</v>
      </c>
      <c r="K546" s="9" t="s">
        <v>1159</v>
      </c>
      <c r="L546" s="9"/>
      <c r="M546" s="9" t="s">
        <v>58</v>
      </c>
      <c r="N546" s="9" t="s">
        <v>59</v>
      </c>
    </row>
    <row r="547" spans="1:14" ht="42" x14ac:dyDescent="0.15">
      <c r="A547" s="9" t="s">
        <v>1178</v>
      </c>
      <c r="B547" s="9" t="s">
        <v>241</v>
      </c>
      <c r="C547" s="9" t="s">
        <v>49</v>
      </c>
      <c r="D547" s="9" t="s">
        <v>1179</v>
      </c>
      <c r="E547" s="9"/>
      <c r="F547" s="9"/>
      <c r="G547" s="9" t="s">
        <v>53</v>
      </c>
      <c r="H547" s="9" t="s">
        <v>54</v>
      </c>
      <c r="I547" s="9" t="s">
        <v>1157</v>
      </c>
      <c r="J547" s="9" t="s">
        <v>1158</v>
      </c>
      <c r="K547" s="9" t="s">
        <v>1159</v>
      </c>
      <c r="L547" s="9"/>
      <c r="M547" s="9" t="s">
        <v>58</v>
      </c>
      <c r="N547" s="9" t="s">
        <v>59</v>
      </c>
    </row>
    <row r="548" spans="1:14" ht="42" x14ac:dyDescent="0.15">
      <c r="A548" s="9" t="s">
        <v>1180</v>
      </c>
      <c r="B548" s="9" t="s">
        <v>241</v>
      </c>
      <c r="C548" s="9" t="s">
        <v>49</v>
      </c>
      <c r="D548" s="9" t="s">
        <v>1181</v>
      </c>
      <c r="E548" s="9"/>
      <c r="F548" s="9"/>
      <c r="G548" s="9" t="s">
        <v>53</v>
      </c>
      <c r="H548" s="9" t="s">
        <v>54</v>
      </c>
      <c r="I548" s="9" t="s">
        <v>1157</v>
      </c>
      <c r="J548" s="9" t="s">
        <v>1158</v>
      </c>
      <c r="K548" s="9" t="s">
        <v>1159</v>
      </c>
      <c r="L548" s="9"/>
      <c r="M548" s="9" t="s">
        <v>58</v>
      </c>
      <c r="N548" s="9" t="s">
        <v>59</v>
      </c>
    </row>
    <row r="549" spans="1:14" ht="42" x14ac:dyDescent="0.15">
      <c r="A549" s="9" t="s">
        <v>1182</v>
      </c>
      <c r="B549" s="9" t="s">
        <v>241</v>
      </c>
      <c r="C549" s="9" t="s">
        <v>49</v>
      </c>
      <c r="D549" s="9" t="s">
        <v>1183</v>
      </c>
      <c r="E549" s="9"/>
      <c r="F549" s="9"/>
      <c r="G549" s="9" t="s">
        <v>53</v>
      </c>
      <c r="H549" s="9" t="s">
        <v>54</v>
      </c>
      <c r="I549" s="9" t="s">
        <v>1157</v>
      </c>
      <c r="J549" s="9" t="s">
        <v>1158</v>
      </c>
      <c r="K549" s="9" t="s">
        <v>1159</v>
      </c>
      <c r="L549" s="9"/>
      <c r="M549" s="9" t="s">
        <v>58</v>
      </c>
      <c r="N549" s="9" t="s">
        <v>59</v>
      </c>
    </row>
    <row r="550" spans="1:14" ht="42" x14ac:dyDescent="0.15">
      <c r="A550" s="9" t="s">
        <v>1184</v>
      </c>
      <c r="B550" s="9" t="s">
        <v>241</v>
      </c>
      <c r="C550" s="9" t="s">
        <v>49</v>
      </c>
      <c r="D550" s="9" t="s">
        <v>1185</v>
      </c>
      <c r="E550" s="9"/>
      <c r="F550" s="9"/>
      <c r="G550" s="9" t="s">
        <v>53</v>
      </c>
      <c r="H550" s="9" t="s">
        <v>54</v>
      </c>
      <c r="I550" s="9" t="s">
        <v>1157</v>
      </c>
      <c r="J550" s="9" t="s">
        <v>1158</v>
      </c>
      <c r="K550" s="9" t="s">
        <v>1159</v>
      </c>
      <c r="L550" s="9"/>
      <c r="M550" s="9" t="s">
        <v>58</v>
      </c>
      <c r="N550" s="9" t="s">
        <v>59</v>
      </c>
    </row>
    <row r="551" spans="1:14" ht="14" x14ac:dyDescent="0.15">
      <c r="A551" s="9" t="s">
        <v>1186</v>
      </c>
      <c r="B551" s="9" t="s">
        <v>1187</v>
      </c>
      <c r="C551" s="9" t="s">
        <v>49</v>
      </c>
      <c r="D551" s="9" t="s">
        <v>1188</v>
      </c>
      <c r="E551" s="9" t="s">
        <v>1189</v>
      </c>
      <c r="F551" s="9" t="s">
        <v>54</v>
      </c>
      <c r="G551" s="9" t="s">
        <v>69</v>
      </c>
      <c r="H551" s="9"/>
      <c r="I551" s="9"/>
      <c r="J551" s="9"/>
      <c r="K551" s="9"/>
      <c r="L551" s="9" t="s">
        <v>3</v>
      </c>
      <c r="M551" s="9" t="s">
        <v>58</v>
      </c>
      <c r="N551" s="9" t="s">
        <v>66</v>
      </c>
    </row>
    <row r="552" spans="1:14" ht="14" x14ac:dyDescent="0.15">
      <c r="A552" s="9" t="s">
        <v>1190</v>
      </c>
      <c r="B552" s="9" t="s">
        <v>1187</v>
      </c>
      <c r="C552" s="9" t="s">
        <v>49</v>
      </c>
      <c r="D552" s="9" t="s">
        <v>1191</v>
      </c>
      <c r="E552" s="9" t="s">
        <v>1189</v>
      </c>
      <c r="F552" s="9" t="s">
        <v>54</v>
      </c>
      <c r="G552" s="9" t="s">
        <v>69</v>
      </c>
      <c r="H552" s="9"/>
      <c r="I552" s="9"/>
      <c r="J552" s="9"/>
      <c r="K552" s="9"/>
      <c r="L552" s="9" t="s">
        <v>3</v>
      </c>
      <c r="M552" s="9" t="s">
        <v>58</v>
      </c>
      <c r="N552" s="9" t="s">
        <v>66</v>
      </c>
    </row>
    <row r="553" spans="1:14" ht="14" x14ac:dyDescent="0.15">
      <c r="A553" s="9" t="s">
        <v>1192</v>
      </c>
      <c r="B553" s="9" t="s">
        <v>1187</v>
      </c>
      <c r="C553" s="9" t="s">
        <v>49</v>
      </c>
      <c r="D553" s="9" t="s">
        <v>1193</v>
      </c>
      <c r="E553" s="9" t="s">
        <v>1189</v>
      </c>
      <c r="F553" s="9" t="s">
        <v>54</v>
      </c>
      <c r="G553" s="9" t="s">
        <v>69</v>
      </c>
      <c r="H553" s="9"/>
      <c r="I553" s="9"/>
      <c r="J553" s="9"/>
      <c r="K553" s="9"/>
      <c r="L553" s="9" t="s">
        <v>3</v>
      </c>
      <c r="M553" s="9" t="s">
        <v>58</v>
      </c>
      <c r="N553" s="9" t="s">
        <v>66</v>
      </c>
    </row>
    <row r="554" spans="1:14" ht="14" x14ac:dyDescent="0.15">
      <c r="A554" s="9" t="s">
        <v>1194</v>
      </c>
      <c r="B554" s="9" t="s">
        <v>1187</v>
      </c>
      <c r="C554" s="9" t="s">
        <v>49</v>
      </c>
      <c r="D554" s="9" t="s">
        <v>1195</v>
      </c>
      <c r="E554" s="9" t="s">
        <v>1189</v>
      </c>
      <c r="F554" s="9" t="s">
        <v>54</v>
      </c>
      <c r="G554" s="9" t="s">
        <v>69</v>
      </c>
      <c r="H554" s="9"/>
      <c r="I554" s="9"/>
      <c r="J554" s="9"/>
      <c r="K554" s="9"/>
      <c r="L554" s="9" t="s">
        <v>3</v>
      </c>
      <c r="M554" s="9" t="s">
        <v>58</v>
      </c>
      <c r="N554" s="9" t="s">
        <v>66</v>
      </c>
    </row>
    <row r="555" spans="1:14" ht="14" x14ac:dyDescent="0.15">
      <c r="A555" s="9" t="s">
        <v>1196</v>
      </c>
      <c r="B555" s="9" t="s">
        <v>1187</v>
      </c>
      <c r="C555" s="9" t="s">
        <v>49</v>
      </c>
      <c r="D555" s="9" t="s">
        <v>1197</v>
      </c>
      <c r="E555" s="9" t="s">
        <v>1189</v>
      </c>
      <c r="F555" s="9" t="s">
        <v>54</v>
      </c>
      <c r="G555" s="9" t="s">
        <v>69</v>
      </c>
      <c r="H555" s="9"/>
      <c r="I555" s="9"/>
      <c r="J555" s="9"/>
      <c r="K555" s="9"/>
      <c r="L555" s="9" t="s">
        <v>3</v>
      </c>
      <c r="M555" s="9" t="s">
        <v>58</v>
      </c>
      <c r="N555" s="9" t="s">
        <v>66</v>
      </c>
    </row>
    <row r="556" spans="1:14" ht="14" x14ac:dyDescent="0.15">
      <c r="A556" s="9" t="s">
        <v>1198</v>
      </c>
      <c r="B556" s="9" t="s">
        <v>1187</v>
      </c>
      <c r="C556" s="9" t="s">
        <v>49</v>
      </c>
      <c r="D556" s="9" t="s">
        <v>1199</v>
      </c>
      <c r="E556" s="9" t="s">
        <v>1189</v>
      </c>
      <c r="F556" s="9" t="s">
        <v>54</v>
      </c>
      <c r="G556" s="9" t="s">
        <v>69</v>
      </c>
      <c r="H556" s="9"/>
      <c r="I556" s="9"/>
      <c r="J556" s="9"/>
      <c r="K556" s="9"/>
      <c r="L556" s="9" t="s">
        <v>3</v>
      </c>
      <c r="M556" s="9" t="s">
        <v>58</v>
      </c>
      <c r="N556" s="9" t="s">
        <v>66</v>
      </c>
    </row>
    <row r="557" spans="1:14" ht="14" x14ac:dyDescent="0.15">
      <c r="A557" s="9" t="s">
        <v>1200</v>
      </c>
      <c r="B557" s="9" t="s">
        <v>1187</v>
      </c>
      <c r="C557" s="9" t="s">
        <v>49</v>
      </c>
      <c r="D557" s="9" t="s">
        <v>1201</v>
      </c>
      <c r="E557" s="9" t="s">
        <v>1189</v>
      </c>
      <c r="F557" s="9" t="s">
        <v>54</v>
      </c>
      <c r="G557" s="9" t="s">
        <v>69</v>
      </c>
      <c r="H557" s="9"/>
      <c r="I557" s="9"/>
      <c r="J557" s="9"/>
      <c r="K557" s="9"/>
      <c r="L557" s="9" t="s">
        <v>3</v>
      </c>
      <c r="M557" s="9" t="s">
        <v>58</v>
      </c>
      <c r="N557" s="9" t="s">
        <v>66</v>
      </c>
    </row>
    <row r="558" spans="1:14" ht="14" x14ac:dyDescent="0.15">
      <c r="A558" s="9" t="s">
        <v>1202</v>
      </c>
      <c r="B558" s="9" t="s">
        <v>1187</v>
      </c>
      <c r="C558" s="9" t="s">
        <v>49</v>
      </c>
      <c r="D558" s="9" t="s">
        <v>1203</v>
      </c>
      <c r="E558" s="9" t="s">
        <v>1189</v>
      </c>
      <c r="F558" s="9" t="s">
        <v>54</v>
      </c>
      <c r="G558" s="9" t="s">
        <v>69</v>
      </c>
      <c r="H558" s="9"/>
      <c r="I558" s="9"/>
      <c r="J558" s="9"/>
      <c r="K558" s="9"/>
      <c r="L558" s="9" t="s">
        <v>3</v>
      </c>
      <c r="M558" s="9" t="s">
        <v>58</v>
      </c>
      <c r="N558" s="9" t="s">
        <v>66</v>
      </c>
    </row>
    <row r="559" spans="1:14" ht="14" x14ac:dyDescent="0.15">
      <c r="A559" s="9" t="s">
        <v>1204</v>
      </c>
      <c r="B559" s="9" t="s">
        <v>1187</v>
      </c>
      <c r="C559" s="9" t="s">
        <v>49</v>
      </c>
      <c r="D559" s="9" t="s">
        <v>1205</v>
      </c>
      <c r="E559" s="9" t="s">
        <v>1189</v>
      </c>
      <c r="F559" s="9" t="s">
        <v>54</v>
      </c>
      <c r="G559" s="9" t="s">
        <v>69</v>
      </c>
      <c r="H559" s="9"/>
      <c r="I559" s="9"/>
      <c r="J559" s="9"/>
      <c r="K559" s="9"/>
      <c r="L559" s="9" t="s">
        <v>3</v>
      </c>
      <c r="M559" s="9" t="s">
        <v>58</v>
      </c>
      <c r="N559" s="9" t="s">
        <v>66</v>
      </c>
    </row>
    <row r="560" spans="1:14" ht="14" x14ac:dyDescent="0.15">
      <c r="A560" s="9" t="s">
        <v>1206</v>
      </c>
      <c r="B560" s="9" t="s">
        <v>1187</v>
      </c>
      <c r="C560" s="9" t="s">
        <v>49</v>
      </c>
      <c r="D560" s="9" t="s">
        <v>1207</v>
      </c>
      <c r="E560" s="9" t="s">
        <v>1189</v>
      </c>
      <c r="F560" s="9" t="s">
        <v>54</v>
      </c>
      <c r="G560" s="9" t="s">
        <v>69</v>
      </c>
      <c r="H560" s="9"/>
      <c r="I560" s="9"/>
      <c r="J560" s="9"/>
      <c r="K560" s="9"/>
      <c r="L560" s="9" t="s">
        <v>3</v>
      </c>
      <c r="M560" s="9" t="s">
        <v>58</v>
      </c>
      <c r="N560" s="9" t="s">
        <v>66</v>
      </c>
    </row>
    <row r="561" spans="1:14" ht="14" x14ac:dyDescent="0.15">
      <c r="A561" s="9" t="s">
        <v>1208</v>
      </c>
      <c r="B561" s="9" t="s">
        <v>1187</v>
      </c>
      <c r="C561" s="9" t="s">
        <v>49</v>
      </c>
      <c r="D561" s="9" t="s">
        <v>1209</v>
      </c>
      <c r="E561" s="9" t="s">
        <v>1189</v>
      </c>
      <c r="F561" s="9" t="s">
        <v>54</v>
      </c>
      <c r="G561" s="9" t="s">
        <v>69</v>
      </c>
      <c r="H561" s="9"/>
      <c r="I561" s="9"/>
      <c r="J561" s="9"/>
      <c r="K561" s="9"/>
      <c r="L561" s="9" t="s">
        <v>3</v>
      </c>
      <c r="M561" s="9" t="s">
        <v>58</v>
      </c>
      <c r="N561" s="9" t="s">
        <v>66</v>
      </c>
    </row>
    <row r="562" spans="1:14" ht="14" x14ac:dyDescent="0.15">
      <c r="A562" s="9" t="s">
        <v>1210</v>
      </c>
      <c r="B562" s="9" t="s">
        <v>1187</v>
      </c>
      <c r="C562" s="9" t="s">
        <v>49</v>
      </c>
      <c r="D562" s="9" t="s">
        <v>1211</v>
      </c>
      <c r="E562" s="9" t="s">
        <v>1189</v>
      </c>
      <c r="F562" s="9" t="s">
        <v>54</v>
      </c>
      <c r="G562" s="9" t="s">
        <v>69</v>
      </c>
      <c r="H562" s="9"/>
      <c r="I562" s="9"/>
      <c r="J562" s="9"/>
      <c r="K562" s="9"/>
      <c r="L562" s="9" t="s">
        <v>3</v>
      </c>
      <c r="M562" s="9" t="s">
        <v>58</v>
      </c>
      <c r="N562" s="9" t="s">
        <v>66</v>
      </c>
    </row>
    <row r="563" spans="1:14" ht="14" x14ac:dyDescent="0.15">
      <c r="A563" s="9" t="s">
        <v>1212</v>
      </c>
      <c r="B563" s="9" t="s">
        <v>1187</v>
      </c>
      <c r="C563" s="9" t="s">
        <v>49</v>
      </c>
      <c r="D563" s="9" t="s">
        <v>1213</v>
      </c>
      <c r="E563" s="9" t="s">
        <v>1189</v>
      </c>
      <c r="F563" s="9" t="s">
        <v>54</v>
      </c>
      <c r="G563" s="9" t="s">
        <v>69</v>
      </c>
      <c r="H563" s="9"/>
      <c r="I563" s="9"/>
      <c r="J563" s="9"/>
      <c r="K563" s="9"/>
      <c r="L563" s="9" t="s">
        <v>3</v>
      </c>
      <c r="M563" s="9" t="s">
        <v>58</v>
      </c>
      <c r="N563" s="9" t="s">
        <v>66</v>
      </c>
    </row>
    <row r="564" spans="1:14" ht="14" x14ac:dyDescent="0.15">
      <c r="A564" s="9" t="s">
        <v>1214</v>
      </c>
      <c r="B564" s="9" t="s">
        <v>1187</v>
      </c>
      <c r="C564" s="9" t="s">
        <v>49</v>
      </c>
      <c r="D564" s="9" t="s">
        <v>1215</v>
      </c>
      <c r="E564" s="9" t="s">
        <v>1189</v>
      </c>
      <c r="F564" s="9" t="s">
        <v>54</v>
      </c>
      <c r="G564" s="9" t="s">
        <v>69</v>
      </c>
      <c r="H564" s="9"/>
      <c r="I564" s="9"/>
      <c r="J564" s="9"/>
      <c r="K564" s="9"/>
      <c r="L564" s="9" t="s">
        <v>3</v>
      </c>
      <c r="M564" s="9" t="s">
        <v>58</v>
      </c>
      <c r="N564" s="9" t="s">
        <v>66</v>
      </c>
    </row>
    <row r="565" spans="1:14" ht="14" x14ac:dyDescent="0.15">
      <c r="A565" s="9" t="s">
        <v>1216</v>
      </c>
      <c r="B565" s="9" t="s">
        <v>1187</v>
      </c>
      <c r="C565" s="9" t="s">
        <v>49</v>
      </c>
      <c r="D565" s="9" t="s">
        <v>1217</v>
      </c>
      <c r="E565" s="9" t="s">
        <v>1189</v>
      </c>
      <c r="F565" s="9" t="s">
        <v>54</v>
      </c>
      <c r="G565" s="9" t="s">
        <v>69</v>
      </c>
      <c r="H565" s="9"/>
      <c r="I565" s="9"/>
      <c r="J565" s="9"/>
      <c r="K565" s="9"/>
      <c r="L565" s="9" t="s">
        <v>3</v>
      </c>
      <c r="M565" s="9" t="s">
        <v>58</v>
      </c>
      <c r="N565" s="9" t="s">
        <v>66</v>
      </c>
    </row>
    <row r="566" spans="1:14" ht="14" x14ac:dyDescent="0.15">
      <c r="A566" s="9" t="s">
        <v>1218</v>
      </c>
      <c r="B566" s="9" t="s">
        <v>1187</v>
      </c>
      <c r="C566" s="9" t="s">
        <v>49</v>
      </c>
      <c r="D566" s="9" t="s">
        <v>1219</v>
      </c>
      <c r="E566" s="9" t="s">
        <v>1189</v>
      </c>
      <c r="F566" s="9" t="s">
        <v>54</v>
      </c>
      <c r="G566" s="9" t="s">
        <v>69</v>
      </c>
      <c r="H566" s="9"/>
      <c r="I566" s="9"/>
      <c r="J566" s="9"/>
      <c r="K566" s="9"/>
      <c r="L566" s="9" t="s">
        <v>3</v>
      </c>
      <c r="M566" s="9" t="s">
        <v>58</v>
      </c>
      <c r="N566" s="9" t="s">
        <v>66</v>
      </c>
    </row>
    <row r="567" spans="1:14" ht="14" x14ac:dyDescent="0.15">
      <c r="A567" s="9" t="s">
        <v>1220</v>
      </c>
      <c r="B567" s="9" t="s">
        <v>1187</v>
      </c>
      <c r="C567" s="9" t="s">
        <v>49</v>
      </c>
      <c r="D567" s="9" t="s">
        <v>1221</v>
      </c>
      <c r="E567" s="9" t="s">
        <v>1189</v>
      </c>
      <c r="F567" s="9" t="s">
        <v>54</v>
      </c>
      <c r="G567" s="9" t="s">
        <v>69</v>
      </c>
      <c r="H567" s="9"/>
      <c r="I567" s="9"/>
      <c r="J567" s="9"/>
      <c r="K567" s="9"/>
      <c r="L567" s="9" t="s">
        <v>3</v>
      </c>
      <c r="M567" s="9" t="s">
        <v>58</v>
      </c>
      <c r="N567" s="9" t="s">
        <v>66</v>
      </c>
    </row>
    <row r="568" spans="1:14" ht="14" x14ac:dyDescent="0.15">
      <c r="A568" s="9" t="s">
        <v>1222</v>
      </c>
      <c r="B568" s="9" t="s">
        <v>1187</v>
      </c>
      <c r="C568" s="9" t="s">
        <v>1223</v>
      </c>
      <c r="D568" s="9" t="s">
        <v>1224</v>
      </c>
      <c r="E568" s="9" t="s">
        <v>1189</v>
      </c>
      <c r="F568" s="9" t="s">
        <v>54</v>
      </c>
      <c r="G568" s="9" t="s">
        <v>69</v>
      </c>
      <c r="H568" s="9"/>
      <c r="I568" s="9"/>
      <c r="J568" s="9"/>
      <c r="K568" s="9"/>
      <c r="L568" s="9" t="s">
        <v>3</v>
      </c>
      <c r="M568" s="9" t="s">
        <v>58</v>
      </c>
      <c r="N568" s="9" t="s">
        <v>66</v>
      </c>
    </row>
    <row r="569" spans="1:14" ht="14" x14ac:dyDescent="0.15">
      <c r="A569" s="9" t="s">
        <v>1225</v>
      </c>
      <c r="B569" s="9" t="s">
        <v>1187</v>
      </c>
      <c r="C569" s="9" t="s">
        <v>1223</v>
      </c>
      <c r="D569" s="9" t="s">
        <v>1226</v>
      </c>
      <c r="E569" s="9" t="s">
        <v>1189</v>
      </c>
      <c r="F569" s="9" t="s">
        <v>54</v>
      </c>
      <c r="G569" s="9" t="s">
        <v>69</v>
      </c>
      <c r="H569" s="9"/>
      <c r="I569" s="9"/>
      <c r="J569" s="9"/>
      <c r="K569" s="9"/>
      <c r="L569" s="9" t="s">
        <v>3</v>
      </c>
      <c r="M569" s="9" t="s">
        <v>58</v>
      </c>
      <c r="N569" s="9" t="s">
        <v>66</v>
      </c>
    </row>
    <row r="570" spans="1:14" ht="14" x14ac:dyDescent="0.15">
      <c r="A570" s="9" t="s">
        <v>1227</v>
      </c>
      <c r="B570" s="9" t="s">
        <v>1187</v>
      </c>
      <c r="C570" s="9" t="s">
        <v>1223</v>
      </c>
      <c r="D570" s="9" t="s">
        <v>1228</v>
      </c>
      <c r="E570" s="9" t="s">
        <v>1189</v>
      </c>
      <c r="F570" s="9" t="s">
        <v>54</v>
      </c>
      <c r="G570" s="9" t="s">
        <v>69</v>
      </c>
      <c r="H570" s="9"/>
      <c r="I570" s="9"/>
      <c r="J570" s="9"/>
      <c r="K570" s="9"/>
      <c r="L570" s="9" t="s">
        <v>3</v>
      </c>
      <c r="M570" s="9" t="s">
        <v>58</v>
      </c>
      <c r="N570" s="9" t="s">
        <v>66</v>
      </c>
    </row>
    <row r="571" spans="1:14" ht="14" x14ac:dyDescent="0.15">
      <c r="A571" s="9" t="s">
        <v>1229</v>
      </c>
      <c r="B571" s="9" t="s">
        <v>1187</v>
      </c>
      <c r="C571" s="9" t="s">
        <v>1223</v>
      </c>
      <c r="D571" s="9" t="s">
        <v>1230</v>
      </c>
      <c r="E571" s="9" t="s">
        <v>1189</v>
      </c>
      <c r="F571" s="9" t="s">
        <v>54</v>
      </c>
      <c r="G571" s="9" t="s">
        <v>69</v>
      </c>
      <c r="H571" s="9"/>
      <c r="I571" s="9"/>
      <c r="J571" s="9"/>
      <c r="K571" s="9"/>
      <c r="L571" s="9" t="s">
        <v>3</v>
      </c>
      <c r="M571" s="9" t="s">
        <v>58</v>
      </c>
      <c r="N571" s="9" t="s">
        <v>66</v>
      </c>
    </row>
    <row r="572" spans="1:14" ht="14" x14ac:dyDescent="0.15">
      <c r="A572" s="9" t="s">
        <v>1231</v>
      </c>
      <c r="B572" s="9" t="s">
        <v>1187</v>
      </c>
      <c r="C572" s="9" t="s">
        <v>1223</v>
      </c>
      <c r="D572" s="9" t="s">
        <v>1232</v>
      </c>
      <c r="E572" s="9" t="s">
        <v>1189</v>
      </c>
      <c r="F572" s="9" t="s">
        <v>54</v>
      </c>
      <c r="G572" s="9" t="s">
        <v>69</v>
      </c>
      <c r="H572" s="9"/>
      <c r="I572" s="9"/>
      <c r="J572" s="9"/>
      <c r="K572" s="9"/>
      <c r="L572" s="9" t="s">
        <v>3</v>
      </c>
      <c r="M572" s="9" t="s">
        <v>58</v>
      </c>
      <c r="N572" s="9" t="s">
        <v>66</v>
      </c>
    </row>
    <row r="573" spans="1:14" ht="14" x14ac:dyDescent="0.15">
      <c r="A573" s="9" t="s">
        <v>1233</v>
      </c>
      <c r="B573" s="9" t="s">
        <v>1187</v>
      </c>
      <c r="C573" s="9" t="s">
        <v>1223</v>
      </c>
      <c r="D573" s="9" t="s">
        <v>1234</v>
      </c>
      <c r="E573" s="9" t="s">
        <v>1189</v>
      </c>
      <c r="F573" s="9" t="s">
        <v>54</v>
      </c>
      <c r="G573" s="9" t="s">
        <v>69</v>
      </c>
      <c r="H573" s="9"/>
      <c r="I573" s="9"/>
      <c r="J573" s="9"/>
      <c r="K573" s="9"/>
      <c r="L573" s="9" t="s">
        <v>3</v>
      </c>
      <c r="M573" s="9" t="s">
        <v>58</v>
      </c>
      <c r="N573" s="9" t="s">
        <v>66</v>
      </c>
    </row>
    <row r="574" spans="1:14" ht="14" x14ac:dyDescent="0.15">
      <c r="A574" s="9" t="s">
        <v>1235</v>
      </c>
      <c r="B574" s="9" t="s">
        <v>1187</v>
      </c>
      <c r="C574" s="9" t="s">
        <v>1223</v>
      </c>
      <c r="D574" s="9" t="s">
        <v>1236</v>
      </c>
      <c r="E574" s="9" t="s">
        <v>1189</v>
      </c>
      <c r="F574" s="9" t="s">
        <v>54</v>
      </c>
      <c r="G574" s="9" t="s">
        <v>69</v>
      </c>
      <c r="H574" s="9"/>
      <c r="I574" s="9"/>
      <c r="J574" s="9"/>
      <c r="K574" s="9"/>
      <c r="L574" s="9" t="s">
        <v>3</v>
      </c>
      <c r="M574" s="9" t="s">
        <v>58</v>
      </c>
      <c r="N574" s="9" t="s">
        <v>66</v>
      </c>
    </row>
    <row r="575" spans="1:14" ht="14" x14ac:dyDescent="0.15">
      <c r="A575" s="9" t="s">
        <v>1237</v>
      </c>
      <c r="B575" s="9" t="s">
        <v>1187</v>
      </c>
      <c r="C575" s="9" t="s">
        <v>1223</v>
      </c>
      <c r="D575" s="9" t="s">
        <v>1238</v>
      </c>
      <c r="E575" s="9" t="s">
        <v>1189</v>
      </c>
      <c r="F575" s="9" t="s">
        <v>54</v>
      </c>
      <c r="G575" s="9" t="s">
        <v>69</v>
      </c>
      <c r="H575" s="9"/>
      <c r="I575" s="9"/>
      <c r="J575" s="9"/>
      <c r="K575" s="9"/>
      <c r="L575" s="9" t="s">
        <v>3</v>
      </c>
      <c r="M575" s="9" t="s">
        <v>58</v>
      </c>
      <c r="N575" s="9" t="s">
        <v>66</v>
      </c>
    </row>
    <row r="576" spans="1:14" ht="14" x14ac:dyDescent="0.15">
      <c r="A576" s="9" t="s">
        <v>1239</v>
      </c>
      <c r="B576" s="9" t="s">
        <v>1187</v>
      </c>
      <c r="C576" s="9" t="s">
        <v>1223</v>
      </c>
      <c r="D576" s="9" t="s">
        <v>1240</v>
      </c>
      <c r="E576" s="9" t="s">
        <v>1189</v>
      </c>
      <c r="F576" s="9" t="s">
        <v>54</v>
      </c>
      <c r="G576" s="9" t="s">
        <v>69</v>
      </c>
      <c r="H576" s="9"/>
      <c r="I576" s="9"/>
      <c r="J576" s="9"/>
      <c r="K576" s="9"/>
      <c r="L576" s="9" t="s">
        <v>3</v>
      </c>
      <c r="M576" s="9" t="s">
        <v>58</v>
      </c>
      <c r="N576" s="9" t="s">
        <v>66</v>
      </c>
    </row>
    <row r="577" spans="1:14" ht="14" x14ac:dyDescent="0.15">
      <c r="A577" s="9" t="s">
        <v>1241</v>
      </c>
      <c r="B577" s="9" t="s">
        <v>1187</v>
      </c>
      <c r="C577" s="9" t="s">
        <v>1223</v>
      </c>
      <c r="D577" s="9" t="s">
        <v>1242</v>
      </c>
      <c r="E577" s="9" t="s">
        <v>1189</v>
      </c>
      <c r="F577" s="9" t="s">
        <v>54</v>
      </c>
      <c r="G577" s="9" t="s">
        <v>69</v>
      </c>
      <c r="H577" s="9"/>
      <c r="I577" s="9"/>
      <c r="J577" s="9"/>
      <c r="K577" s="9"/>
      <c r="L577" s="9" t="s">
        <v>3</v>
      </c>
      <c r="M577" s="9" t="s">
        <v>58</v>
      </c>
      <c r="N577" s="9" t="s">
        <v>66</v>
      </c>
    </row>
    <row r="578" spans="1:14" ht="14" x14ac:dyDescent="0.15">
      <c r="A578" s="9" t="s">
        <v>1243</v>
      </c>
      <c r="B578" s="9" t="s">
        <v>1187</v>
      </c>
      <c r="C578" s="9" t="s">
        <v>1223</v>
      </c>
      <c r="D578" s="9" t="s">
        <v>1244</v>
      </c>
      <c r="E578" s="9" t="s">
        <v>1189</v>
      </c>
      <c r="F578" s="9" t="s">
        <v>54</v>
      </c>
      <c r="G578" s="9" t="s">
        <v>69</v>
      </c>
      <c r="H578" s="9"/>
      <c r="I578" s="9"/>
      <c r="J578" s="9"/>
      <c r="K578" s="9"/>
      <c r="L578" s="9" t="s">
        <v>3</v>
      </c>
      <c r="M578" s="9" t="s">
        <v>58</v>
      </c>
      <c r="N578" s="9" t="s">
        <v>66</v>
      </c>
    </row>
    <row r="579" spans="1:14" ht="14" x14ac:dyDescent="0.15">
      <c r="A579" s="9" t="s">
        <v>1245</v>
      </c>
      <c r="B579" s="9" t="s">
        <v>1187</v>
      </c>
      <c r="C579" s="9" t="s">
        <v>1223</v>
      </c>
      <c r="D579" s="9" t="s">
        <v>1246</v>
      </c>
      <c r="E579" s="9" t="s">
        <v>1189</v>
      </c>
      <c r="F579" s="9" t="s">
        <v>54</v>
      </c>
      <c r="G579" s="9" t="s">
        <v>69</v>
      </c>
      <c r="H579" s="9"/>
      <c r="I579" s="9"/>
      <c r="J579" s="9"/>
      <c r="K579" s="9"/>
      <c r="L579" s="9" t="s">
        <v>3</v>
      </c>
      <c r="M579" s="9" t="s">
        <v>58</v>
      </c>
      <c r="N579" s="9" t="s">
        <v>66</v>
      </c>
    </row>
    <row r="580" spans="1:14" ht="14" x14ac:dyDescent="0.15">
      <c r="A580" s="9" t="s">
        <v>1247</v>
      </c>
      <c r="B580" s="9" t="s">
        <v>1187</v>
      </c>
      <c r="C580" s="9" t="s">
        <v>1223</v>
      </c>
      <c r="D580" s="9" t="s">
        <v>1248</v>
      </c>
      <c r="E580" s="9" t="s">
        <v>1189</v>
      </c>
      <c r="F580" s="9" t="s">
        <v>54</v>
      </c>
      <c r="G580" s="9" t="s">
        <v>69</v>
      </c>
      <c r="H580" s="9"/>
      <c r="I580" s="9"/>
      <c r="J580" s="9"/>
      <c r="K580" s="9"/>
      <c r="L580" s="9" t="s">
        <v>3</v>
      </c>
      <c r="M580" s="9" t="s">
        <v>58</v>
      </c>
      <c r="N580" s="9" t="s">
        <v>66</v>
      </c>
    </row>
    <row r="581" spans="1:14" ht="14" x14ac:dyDescent="0.15">
      <c r="A581" s="9" t="s">
        <v>1249</v>
      </c>
      <c r="B581" s="9" t="s">
        <v>1187</v>
      </c>
      <c r="C581" s="9" t="s">
        <v>1223</v>
      </c>
      <c r="D581" s="9" t="s">
        <v>1250</v>
      </c>
      <c r="E581" s="9" t="s">
        <v>1189</v>
      </c>
      <c r="F581" s="9" t="s">
        <v>54</v>
      </c>
      <c r="G581" s="9" t="s">
        <v>69</v>
      </c>
      <c r="H581" s="9"/>
      <c r="I581" s="9"/>
      <c r="J581" s="9"/>
      <c r="K581" s="9"/>
      <c r="L581" s="9" t="s">
        <v>3</v>
      </c>
      <c r="M581" s="9" t="s">
        <v>58</v>
      </c>
      <c r="N581" s="9" t="s">
        <v>66</v>
      </c>
    </row>
    <row r="582" spans="1:14" ht="14" x14ac:dyDescent="0.15">
      <c r="A582" s="9" t="s">
        <v>1251</v>
      </c>
      <c r="B582" s="9" t="s">
        <v>1187</v>
      </c>
      <c r="C582" s="9" t="s">
        <v>1223</v>
      </c>
      <c r="D582" s="9" t="s">
        <v>1252</v>
      </c>
      <c r="E582" s="9" t="s">
        <v>1189</v>
      </c>
      <c r="F582" s="9" t="s">
        <v>54</v>
      </c>
      <c r="G582" s="9" t="s">
        <v>69</v>
      </c>
      <c r="H582" s="9"/>
      <c r="I582" s="9"/>
      <c r="J582" s="9"/>
      <c r="K582" s="9"/>
      <c r="L582" s="9" t="s">
        <v>3</v>
      </c>
      <c r="M582" s="9" t="s">
        <v>58</v>
      </c>
      <c r="N582" s="9" t="s">
        <v>66</v>
      </c>
    </row>
    <row r="583" spans="1:14" ht="14" x14ac:dyDescent="0.15">
      <c r="A583" s="9" t="s">
        <v>1253</v>
      </c>
      <c r="B583" s="9" t="s">
        <v>1187</v>
      </c>
      <c r="C583" s="9" t="s">
        <v>1254</v>
      </c>
      <c r="D583" s="9" t="s">
        <v>1255</v>
      </c>
      <c r="E583" s="9" t="s">
        <v>1189</v>
      </c>
      <c r="F583" s="9" t="s">
        <v>54</v>
      </c>
      <c r="G583" s="9" t="s">
        <v>69</v>
      </c>
      <c r="H583" s="9"/>
      <c r="I583" s="9"/>
      <c r="J583" s="9"/>
      <c r="K583" s="9"/>
      <c r="L583" s="9" t="s">
        <v>3</v>
      </c>
      <c r="M583" s="9" t="s">
        <v>58</v>
      </c>
      <c r="N583" s="9" t="s">
        <v>66</v>
      </c>
    </row>
    <row r="584" spans="1:14" ht="14" x14ac:dyDescent="0.15">
      <c r="A584" s="9" t="s">
        <v>1256</v>
      </c>
      <c r="B584" s="9" t="s">
        <v>1187</v>
      </c>
      <c r="C584" s="9" t="s">
        <v>1254</v>
      </c>
      <c r="D584" s="9" t="s">
        <v>1257</v>
      </c>
      <c r="E584" s="9" t="s">
        <v>1189</v>
      </c>
      <c r="F584" s="9" t="s">
        <v>54</v>
      </c>
      <c r="G584" s="9" t="s">
        <v>69</v>
      </c>
      <c r="H584" s="9"/>
      <c r="I584" s="9"/>
      <c r="J584" s="9"/>
      <c r="K584" s="9"/>
      <c r="L584" s="9" t="s">
        <v>3</v>
      </c>
      <c r="M584" s="9" t="s">
        <v>58</v>
      </c>
      <c r="N584" s="9" t="s">
        <v>66</v>
      </c>
    </row>
    <row r="585" spans="1:14" ht="14" x14ac:dyDescent="0.15">
      <c r="A585" s="9" t="s">
        <v>1258</v>
      </c>
      <c r="B585" s="9" t="s">
        <v>1187</v>
      </c>
      <c r="C585" s="9" t="s">
        <v>1254</v>
      </c>
      <c r="D585" s="9" t="s">
        <v>1259</v>
      </c>
      <c r="E585" s="9" t="s">
        <v>1189</v>
      </c>
      <c r="F585" s="9" t="s">
        <v>54</v>
      </c>
      <c r="G585" s="9" t="s">
        <v>69</v>
      </c>
      <c r="H585" s="9"/>
      <c r="I585" s="9"/>
      <c r="J585" s="9"/>
      <c r="K585" s="9"/>
      <c r="L585" s="9" t="s">
        <v>3</v>
      </c>
      <c r="M585" s="9" t="s">
        <v>58</v>
      </c>
      <c r="N585" s="9" t="s">
        <v>66</v>
      </c>
    </row>
    <row r="586" spans="1:14" ht="14" x14ac:dyDescent="0.15">
      <c r="A586" s="9" t="s">
        <v>1260</v>
      </c>
      <c r="B586" s="9" t="s">
        <v>1187</v>
      </c>
      <c r="C586" s="9" t="s">
        <v>1254</v>
      </c>
      <c r="D586" s="9" t="s">
        <v>1261</v>
      </c>
      <c r="E586" s="9" t="s">
        <v>1189</v>
      </c>
      <c r="F586" s="9" t="s">
        <v>54</v>
      </c>
      <c r="G586" s="9" t="s">
        <v>69</v>
      </c>
      <c r="H586" s="9"/>
      <c r="I586" s="9"/>
      <c r="J586" s="9"/>
      <c r="K586" s="9"/>
      <c r="L586" s="9" t="s">
        <v>3</v>
      </c>
      <c r="M586" s="9" t="s">
        <v>58</v>
      </c>
      <c r="N586" s="9" t="s">
        <v>66</v>
      </c>
    </row>
    <row r="587" spans="1:14" ht="14" x14ac:dyDescent="0.15">
      <c r="A587" s="9" t="s">
        <v>1262</v>
      </c>
      <c r="B587" s="9" t="s">
        <v>1187</v>
      </c>
      <c r="C587" s="9" t="s">
        <v>1254</v>
      </c>
      <c r="D587" s="9" t="s">
        <v>1263</v>
      </c>
      <c r="E587" s="9" t="s">
        <v>1189</v>
      </c>
      <c r="F587" s="9" t="s">
        <v>54</v>
      </c>
      <c r="G587" s="9" t="s">
        <v>69</v>
      </c>
      <c r="H587" s="9"/>
      <c r="I587" s="9"/>
      <c r="J587" s="9"/>
      <c r="K587" s="9"/>
      <c r="L587" s="9" t="s">
        <v>3</v>
      </c>
      <c r="M587" s="9" t="s">
        <v>58</v>
      </c>
      <c r="N587" s="9" t="s">
        <v>66</v>
      </c>
    </row>
    <row r="588" spans="1:14" ht="14" x14ac:dyDescent="0.15">
      <c r="A588" s="9" t="s">
        <v>1264</v>
      </c>
      <c r="B588" s="9" t="s">
        <v>1187</v>
      </c>
      <c r="C588" s="9" t="s">
        <v>1254</v>
      </c>
      <c r="D588" s="9" t="s">
        <v>1265</v>
      </c>
      <c r="E588" s="9" t="s">
        <v>1189</v>
      </c>
      <c r="F588" s="9" t="s">
        <v>54</v>
      </c>
      <c r="G588" s="9" t="s">
        <v>69</v>
      </c>
      <c r="H588" s="9"/>
      <c r="I588" s="9"/>
      <c r="J588" s="9"/>
      <c r="K588" s="9"/>
      <c r="L588" s="9" t="s">
        <v>3</v>
      </c>
      <c r="M588" s="9" t="s">
        <v>58</v>
      </c>
      <c r="N588" s="9" t="s">
        <v>66</v>
      </c>
    </row>
    <row r="589" spans="1:14" ht="14" x14ac:dyDescent="0.15">
      <c r="A589" s="9" t="s">
        <v>1266</v>
      </c>
      <c r="B589" s="9" t="s">
        <v>1187</v>
      </c>
      <c r="C589" s="9" t="s">
        <v>1267</v>
      </c>
      <c r="D589" s="9" t="s">
        <v>1268</v>
      </c>
      <c r="E589" s="9" t="s">
        <v>1189</v>
      </c>
      <c r="F589" s="9" t="s">
        <v>54</v>
      </c>
      <c r="G589" s="9" t="s">
        <v>69</v>
      </c>
      <c r="H589" s="9"/>
      <c r="I589" s="9"/>
      <c r="J589" s="9"/>
      <c r="K589" s="9"/>
      <c r="L589" s="9" t="s">
        <v>3</v>
      </c>
      <c r="M589" s="9" t="s">
        <v>58</v>
      </c>
      <c r="N589" s="9" t="s">
        <v>66</v>
      </c>
    </row>
    <row r="590" spans="1:14" ht="14" x14ac:dyDescent="0.15">
      <c r="A590" s="9" t="s">
        <v>1269</v>
      </c>
      <c r="B590" s="9" t="s">
        <v>1187</v>
      </c>
      <c r="C590" s="9" t="s">
        <v>1267</v>
      </c>
      <c r="D590" s="9" t="s">
        <v>1270</v>
      </c>
      <c r="E590" s="9" t="s">
        <v>1189</v>
      </c>
      <c r="F590" s="9" t="s">
        <v>54</v>
      </c>
      <c r="G590" s="9" t="s">
        <v>69</v>
      </c>
      <c r="H590" s="9"/>
      <c r="I590" s="9"/>
      <c r="J590" s="9"/>
      <c r="K590" s="9"/>
      <c r="L590" s="9" t="s">
        <v>3</v>
      </c>
      <c r="M590" s="9" t="s">
        <v>58</v>
      </c>
      <c r="N590" s="9" t="s">
        <v>66</v>
      </c>
    </row>
    <row r="591" spans="1:14" ht="14" x14ac:dyDescent="0.15">
      <c r="A591" s="9" t="s">
        <v>1271</v>
      </c>
      <c r="B591" s="9" t="s">
        <v>1187</v>
      </c>
      <c r="C591" s="9" t="s">
        <v>1267</v>
      </c>
      <c r="D591" s="9" t="s">
        <v>1272</v>
      </c>
      <c r="E591" s="9" t="s">
        <v>1189</v>
      </c>
      <c r="F591" s="9" t="s">
        <v>54</v>
      </c>
      <c r="G591" s="9" t="s">
        <v>69</v>
      </c>
      <c r="H591" s="9"/>
      <c r="I591" s="9"/>
      <c r="J591" s="9"/>
      <c r="K591" s="9"/>
      <c r="L591" s="9" t="s">
        <v>3</v>
      </c>
      <c r="M591" s="9" t="s">
        <v>58</v>
      </c>
      <c r="N591" s="9" t="s">
        <v>66</v>
      </c>
    </row>
    <row r="592" spans="1:14" ht="14" x14ac:dyDescent="0.15">
      <c r="A592" s="9" t="s">
        <v>1273</v>
      </c>
      <c r="B592" s="9" t="s">
        <v>1187</v>
      </c>
      <c r="C592" s="9" t="s">
        <v>1267</v>
      </c>
      <c r="D592" s="9" t="s">
        <v>1274</v>
      </c>
      <c r="E592" s="9" t="s">
        <v>1189</v>
      </c>
      <c r="F592" s="9" t="s">
        <v>54</v>
      </c>
      <c r="G592" s="9" t="s">
        <v>69</v>
      </c>
      <c r="H592" s="9"/>
      <c r="I592" s="9"/>
      <c r="J592" s="9"/>
      <c r="K592" s="9"/>
      <c r="L592" s="9" t="s">
        <v>3</v>
      </c>
      <c r="M592" s="9" t="s">
        <v>58</v>
      </c>
      <c r="N592" s="9" t="s">
        <v>66</v>
      </c>
    </row>
    <row r="593" spans="1:14" ht="14" x14ac:dyDescent="0.15">
      <c r="A593" s="9" t="s">
        <v>1275</v>
      </c>
      <c r="B593" s="9" t="s">
        <v>1187</v>
      </c>
      <c r="C593" s="9" t="s">
        <v>1276</v>
      </c>
      <c r="D593" s="9" t="s">
        <v>1277</v>
      </c>
      <c r="E593" s="9" t="s">
        <v>1189</v>
      </c>
      <c r="F593" s="9" t="s">
        <v>54</v>
      </c>
      <c r="G593" s="9" t="s">
        <v>69</v>
      </c>
      <c r="H593" s="9"/>
      <c r="I593" s="9"/>
      <c r="J593" s="9"/>
      <c r="K593" s="9"/>
      <c r="L593" s="9" t="s">
        <v>3</v>
      </c>
      <c r="M593" s="9" t="s">
        <v>58</v>
      </c>
      <c r="N593" s="9" t="s">
        <v>66</v>
      </c>
    </row>
    <row r="594" spans="1:14" ht="14" x14ac:dyDescent="0.15">
      <c r="A594" s="9" t="s">
        <v>1278</v>
      </c>
      <c r="B594" s="9" t="s">
        <v>1187</v>
      </c>
      <c r="C594" s="9" t="s">
        <v>1279</v>
      </c>
      <c r="D594" s="9" t="s">
        <v>1280</v>
      </c>
      <c r="E594" s="9" t="s">
        <v>1189</v>
      </c>
      <c r="F594" s="9" t="s">
        <v>54</v>
      </c>
      <c r="G594" s="9" t="s">
        <v>69</v>
      </c>
      <c r="H594" s="9"/>
      <c r="I594" s="9"/>
      <c r="J594" s="9"/>
      <c r="K594" s="9"/>
      <c r="L594" s="9" t="s">
        <v>3</v>
      </c>
      <c r="M594" s="9" t="s">
        <v>58</v>
      </c>
      <c r="N594" s="9" t="s">
        <v>66</v>
      </c>
    </row>
    <row r="595" spans="1:14" ht="14" x14ac:dyDescent="0.15">
      <c r="A595" s="9" t="s">
        <v>1281</v>
      </c>
      <c r="B595" s="9" t="s">
        <v>1187</v>
      </c>
      <c r="C595" s="9" t="s">
        <v>1279</v>
      </c>
      <c r="D595" s="9" t="s">
        <v>1282</v>
      </c>
      <c r="E595" s="9" t="s">
        <v>1189</v>
      </c>
      <c r="F595" s="9" t="s">
        <v>54</v>
      </c>
      <c r="G595" s="9" t="s">
        <v>69</v>
      </c>
      <c r="H595" s="9"/>
      <c r="I595" s="9"/>
      <c r="J595" s="9"/>
      <c r="K595" s="9"/>
      <c r="L595" s="9" t="s">
        <v>3</v>
      </c>
      <c r="M595" s="9" t="s">
        <v>58</v>
      </c>
      <c r="N595" s="9" t="s">
        <v>66</v>
      </c>
    </row>
    <row r="596" spans="1:14" ht="14" x14ac:dyDescent="0.15">
      <c r="A596" s="9" t="s">
        <v>1283</v>
      </c>
      <c r="B596" s="9" t="s">
        <v>1187</v>
      </c>
      <c r="C596" s="9" t="s">
        <v>1279</v>
      </c>
      <c r="D596" s="9" t="s">
        <v>1284</v>
      </c>
      <c r="E596" s="9" t="s">
        <v>1189</v>
      </c>
      <c r="F596" s="9" t="s">
        <v>54</v>
      </c>
      <c r="G596" s="9" t="s">
        <v>69</v>
      </c>
      <c r="H596" s="9"/>
      <c r="I596" s="9"/>
      <c r="J596" s="9"/>
      <c r="K596" s="9"/>
      <c r="L596" s="9" t="s">
        <v>3</v>
      </c>
      <c r="M596" s="9" t="s">
        <v>58</v>
      </c>
      <c r="N596" s="9" t="s">
        <v>66</v>
      </c>
    </row>
    <row r="597" spans="1:14" ht="14" x14ac:dyDescent="0.15">
      <c r="A597" s="9" t="s">
        <v>1285</v>
      </c>
      <c r="B597" s="9" t="s">
        <v>1187</v>
      </c>
      <c r="C597" s="9" t="s">
        <v>1279</v>
      </c>
      <c r="D597" s="9" t="s">
        <v>1286</v>
      </c>
      <c r="E597" s="9" t="s">
        <v>1189</v>
      </c>
      <c r="F597" s="9" t="s">
        <v>54</v>
      </c>
      <c r="G597" s="9" t="s">
        <v>69</v>
      </c>
      <c r="H597" s="9"/>
      <c r="I597" s="9"/>
      <c r="J597" s="9"/>
      <c r="K597" s="9"/>
      <c r="L597" s="9" t="s">
        <v>3</v>
      </c>
      <c r="M597" s="9" t="s">
        <v>58</v>
      </c>
      <c r="N597" s="9" t="s">
        <v>66</v>
      </c>
    </row>
    <row r="598" spans="1:14" ht="14" x14ac:dyDescent="0.15">
      <c r="A598" s="9" t="s">
        <v>1287</v>
      </c>
      <c r="B598" s="9" t="s">
        <v>1187</v>
      </c>
      <c r="C598" s="9" t="s">
        <v>1288</v>
      </c>
      <c r="D598" s="9" t="s">
        <v>1289</v>
      </c>
      <c r="E598" s="9" t="s">
        <v>1189</v>
      </c>
      <c r="F598" s="9" t="s">
        <v>54</v>
      </c>
      <c r="G598" s="9" t="s">
        <v>69</v>
      </c>
      <c r="H598" s="9"/>
      <c r="I598" s="9"/>
      <c r="J598" s="9"/>
      <c r="K598" s="9"/>
      <c r="L598" s="9" t="s">
        <v>3</v>
      </c>
      <c r="M598" s="9" t="s">
        <v>58</v>
      </c>
      <c r="N598" s="9" t="s">
        <v>66</v>
      </c>
    </row>
    <row r="599" spans="1:14" ht="14" x14ac:dyDescent="0.15">
      <c r="A599" s="9" t="s">
        <v>1290</v>
      </c>
      <c r="B599" s="9" t="s">
        <v>1187</v>
      </c>
      <c r="C599" s="9" t="s">
        <v>1288</v>
      </c>
      <c r="D599" s="9" t="s">
        <v>1291</v>
      </c>
      <c r="E599" s="9" t="s">
        <v>1189</v>
      </c>
      <c r="F599" s="9" t="s">
        <v>54</v>
      </c>
      <c r="G599" s="9" t="s">
        <v>69</v>
      </c>
      <c r="H599" s="9"/>
      <c r="I599" s="9"/>
      <c r="J599" s="9"/>
      <c r="K599" s="9"/>
      <c r="L599" s="9" t="s">
        <v>3</v>
      </c>
      <c r="M599" s="9" t="s">
        <v>58</v>
      </c>
      <c r="N599" s="9" t="s">
        <v>66</v>
      </c>
    </row>
    <row r="600" spans="1:14" ht="14" x14ac:dyDescent="0.15">
      <c r="A600" s="9" t="s">
        <v>1292</v>
      </c>
      <c r="B600" s="9" t="s">
        <v>1187</v>
      </c>
      <c r="C600" s="9" t="s">
        <v>1288</v>
      </c>
      <c r="D600" s="9" t="s">
        <v>1293</v>
      </c>
      <c r="E600" s="9" t="s">
        <v>1189</v>
      </c>
      <c r="F600" s="9" t="s">
        <v>54</v>
      </c>
      <c r="G600" s="9" t="s">
        <v>69</v>
      </c>
      <c r="H600" s="9"/>
      <c r="I600" s="9"/>
      <c r="J600" s="9"/>
      <c r="K600" s="9"/>
      <c r="L600" s="9" t="s">
        <v>3</v>
      </c>
      <c r="M600" s="9" t="s">
        <v>58</v>
      </c>
      <c r="N600" s="9" t="s">
        <v>66</v>
      </c>
    </row>
    <row r="601" spans="1:14" ht="14" x14ac:dyDescent="0.15">
      <c r="A601" s="9" t="s">
        <v>1294</v>
      </c>
      <c r="B601" s="9" t="s">
        <v>1187</v>
      </c>
      <c r="C601" s="9" t="s">
        <v>1288</v>
      </c>
      <c r="D601" s="9" t="s">
        <v>1295</v>
      </c>
      <c r="E601" s="9" t="s">
        <v>1189</v>
      </c>
      <c r="F601" s="9" t="s">
        <v>54</v>
      </c>
      <c r="G601" s="9" t="s">
        <v>69</v>
      </c>
      <c r="H601" s="9"/>
      <c r="I601" s="9"/>
      <c r="J601" s="9"/>
      <c r="K601" s="9"/>
      <c r="L601" s="9" t="s">
        <v>3</v>
      </c>
      <c r="M601" s="9" t="s">
        <v>58</v>
      </c>
      <c r="N601" s="9" t="s">
        <v>66</v>
      </c>
    </row>
    <row r="602" spans="1:14" ht="14" x14ac:dyDescent="0.15">
      <c r="A602" s="9" t="s">
        <v>1296</v>
      </c>
      <c r="B602" s="9" t="s">
        <v>1187</v>
      </c>
      <c r="C602" s="9" t="s">
        <v>1297</v>
      </c>
      <c r="D602" s="9" t="s">
        <v>1298</v>
      </c>
      <c r="E602" s="9" t="s">
        <v>1189</v>
      </c>
      <c r="F602" s="9" t="s">
        <v>54</v>
      </c>
      <c r="G602" s="9" t="s">
        <v>69</v>
      </c>
      <c r="H602" s="9"/>
      <c r="I602" s="9"/>
      <c r="J602" s="9"/>
      <c r="K602" s="9"/>
      <c r="L602" s="9" t="s">
        <v>3</v>
      </c>
      <c r="M602" s="9" t="s">
        <v>58</v>
      </c>
      <c r="N602" s="9" t="s">
        <v>66</v>
      </c>
    </row>
    <row r="603" spans="1:14" ht="14" x14ac:dyDescent="0.15">
      <c r="A603" s="9" t="s">
        <v>1299</v>
      </c>
      <c r="B603" s="9" t="s">
        <v>1187</v>
      </c>
      <c r="C603" s="9" t="s">
        <v>1297</v>
      </c>
      <c r="D603" s="9" t="s">
        <v>1300</v>
      </c>
      <c r="E603" s="9" t="s">
        <v>1189</v>
      </c>
      <c r="F603" s="9" t="s">
        <v>54</v>
      </c>
      <c r="G603" s="9" t="s">
        <v>69</v>
      </c>
      <c r="H603" s="9"/>
      <c r="I603" s="9"/>
      <c r="J603" s="9"/>
      <c r="K603" s="9"/>
      <c r="L603" s="9" t="s">
        <v>3</v>
      </c>
      <c r="M603" s="9" t="s">
        <v>58</v>
      </c>
      <c r="N603" s="9" t="s">
        <v>66</v>
      </c>
    </row>
    <row r="604" spans="1:14" ht="14" x14ac:dyDescent="0.15">
      <c r="A604" s="9" t="s">
        <v>1301</v>
      </c>
      <c r="B604" s="9" t="s">
        <v>1187</v>
      </c>
      <c r="C604" s="9" t="s">
        <v>1297</v>
      </c>
      <c r="D604" s="9" t="s">
        <v>1302</v>
      </c>
      <c r="E604" s="9" t="s">
        <v>1189</v>
      </c>
      <c r="F604" s="9" t="s">
        <v>54</v>
      </c>
      <c r="G604" s="9" t="s">
        <v>69</v>
      </c>
      <c r="H604" s="9"/>
      <c r="I604" s="9"/>
      <c r="J604" s="9"/>
      <c r="K604" s="9"/>
      <c r="L604" s="9" t="s">
        <v>3</v>
      </c>
      <c r="M604" s="9" t="s">
        <v>58</v>
      </c>
      <c r="N604" s="9" t="s">
        <v>66</v>
      </c>
    </row>
    <row r="605" spans="1:14" ht="14" x14ac:dyDescent="0.15">
      <c r="A605" s="9" t="s">
        <v>1303</v>
      </c>
      <c r="B605" s="9" t="s">
        <v>1187</v>
      </c>
      <c r="C605" s="9" t="s">
        <v>1297</v>
      </c>
      <c r="D605" s="9" t="s">
        <v>1304</v>
      </c>
      <c r="E605" s="9" t="s">
        <v>1189</v>
      </c>
      <c r="F605" s="9" t="s">
        <v>54</v>
      </c>
      <c r="G605" s="9" t="s">
        <v>69</v>
      </c>
      <c r="H605" s="9"/>
      <c r="I605" s="9"/>
      <c r="J605" s="9"/>
      <c r="K605" s="9"/>
      <c r="L605" s="9" t="s">
        <v>3</v>
      </c>
      <c r="M605" s="9" t="s">
        <v>58</v>
      </c>
      <c r="N605" s="9" t="s">
        <v>66</v>
      </c>
    </row>
    <row r="606" spans="1:14" ht="14" x14ac:dyDescent="0.15">
      <c r="A606" s="9" t="s">
        <v>1305</v>
      </c>
      <c r="B606" s="9" t="s">
        <v>1187</v>
      </c>
      <c r="C606" s="9" t="s">
        <v>1306</v>
      </c>
      <c r="D606" s="9" t="s">
        <v>1307</v>
      </c>
      <c r="E606" s="9" t="s">
        <v>1189</v>
      </c>
      <c r="F606" s="9" t="s">
        <v>54</v>
      </c>
      <c r="G606" s="9" t="s">
        <v>69</v>
      </c>
      <c r="H606" s="9"/>
      <c r="I606" s="9"/>
      <c r="J606" s="9"/>
      <c r="K606" s="9"/>
      <c r="L606" s="9" t="s">
        <v>3</v>
      </c>
      <c r="M606" s="9" t="s">
        <v>58</v>
      </c>
      <c r="N606" s="9" t="s">
        <v>66</v>
      </c>
    </row>
    <row r="607" spans="1:14" ht="14" x14ac:dyDescent="0.15">
      <c r="A607" s="9" t="s">
        <v>1308</v>
      </c>
      <c r="B607" s="9" t="s">
        <v>1187</v>
      </c>
      <c r="C607" s="9" t="s">
        <v>1306</v>
      </c>
      <c r="D607" s="9" t="s">
        <v>1309</v>
      </c>
      <c r="E607" s="9" t="s">
        <v>1189</v>
      </c>
      <c r="F607" s="9" t="s">
        <v>54</v>
      </c>
      <c r="G607" s="9" t="s">
        <v>69</v>
      </c>
      <c r="H607" s="9"/>
      <c r="I607" s="9"/>
      <c r="J607" s="9"/>
      <c r="K607" s="9"/>
      <c r="L607" s="9" t="s">
        <v>3</v>
      </c>
      <c r="M607" s="9" t="s">
        <v>58</v>
      </c>
      <c r="N607" s="9" t="s">
        <v>66</v>
      </c>
    </row>
    <row r="608" spans="1:14" ht="14" x14ac:dyDescent="0.15">
      <c r="A608" s="9" t="s">
        <v>1310</v>
      </c>
      <c r="B608" s="9" t="s">
        <v>1187</v>
      </c>
      <c r="C608" s="9" t="s">
        <v>1306</v>
      </c>
      <c r="D608" s="9" t="s">
        <v>1311</v>
      </c>
      <c r="E608" s="9" t="s">
        <v>1189</v>
      </c>
      <c r="F608" s="9" t="s">
        <v>54</v>
      </c>
      <c r="G608" s="9" t="s">
        <v>69</v>
      </c>
      <c r="H608" s="9"/>
      <c r="I608" s="9"/>
      <c r="J608" s="9"/>
      <c r="K608" s="9"/>
      <c r="L608" s="9" t="s">
        <v>3</v>
      </c>
      <c r="M608" s="9" t="s">
        <v>58</v>
      </c>
      <c r="N608" s="9" t="s">
        <v>66</v>
      </c>
    </row>
    <row r="609" spans="1:14" ht="14" x14ac:dyDescent="0.15">
      <c r="A609" s="9" t="s">
        <v>1312</v>
      </c>
      <c r="B609" s="9" t="s">
        <v>1187</v>
      </c>
      <c r="C609" s="9" t="s">
        <v>1306</v>
      </c>
      <c r="D609" s="9" t="s">
        <v>1313</v>
      </c>
      <c r="E609" s="9" t="s">
        <v>1189</v>
      </c>
      <c r="F609" s="9" t="s">
        <v>54</v>
      </c>
      <c r="G609" s="9" t="s">
        <v>69</v>
      </c>
      <c r="H609" s="9"/>
      <c r="I609" s="9"/>
      <c r="J609" s="9"/>
      <c r="K609" s="9"/>
      <c r="L609" s="9" t="s">
        <v>3</v>
      </c>
      <c r="M609" s="9" t="s">
        <v>58</v>
      </c>
      <c r="N609" s="9" t="s">
        <v>66</v>
      </c>
    </row>
    <row r="610" spans="1:14" ht="14" x14ac:dyDescent="0.15">
      <c r="A610" s="9" t="s">
        <v>1314</v>
      </c>
      <c r="B610" s="9" t="s">
        <v>1187</v>
      </c>
      <c r="C610" s="9" t="s">
        <v>1315</v>
      </c>
      <c r="D610" s="9" t="s">
        <v>1316</v>
      </c>
      <c r="E610" s="9" t="s">
        <v>1189</v>
      </c>
      <c r="F610" s="9" t="s">
        <v>54</v>
      </c>
      <c r="G610" s="9" t="s">
        <v>69</v>
      </c>
      <c r="H610" s="9"/>
      <c r="I610" s="9"/>
      <c r="J610" s="9"/>
      <c r="K610" s="9"/>
      <c r="L610" s="9" t="s">
        <v>3</v>
      </c>
      <c r="M610" s="9" t="s">
        <v>58</v>
      </c>
      <c r="N610" s="9" t="s">
        <v>66</v>
      </c>
    </row>
    <row r="611" spans="1:14" ht="14" x14ac:dyDescent="0.15">
      <c r="A611" s="9" t="s">
        <v>1317</v>
      </c>
      <c r="B611" s="9" t="s">
        <v>1187</v>
      </c>
      <c r="C611" s="9" t="s">
        <v>1318</v>
      </c>
      <c r="D611" s="9" t="s">
        <v>1319</v>
      </c>
      <c r="E611" s="9" t="s">
        <v>1189</v>
      </c>
      <c r="F611" s="9" t="s">
        <v>54</v>
      </c>
      <c r="G611" s="9" t="s">
        <v>69</v>
      </c>
      <c r="H611" s="9"/>
      <c r="I611" s="9"/>
      <c r="J611" s="9"/>
      <c r="K611" s="9"/>
      <c r="L611" s="9" t="s">
        <v>3</v>
      </c>
      <c r="M611" s="9" t="s">
        <v>58</v>
      </c>
      <c r="N611" s="9" t="s">
        <v>66</v>
      </c>
    </row>
    <row r="612" spans="1:14" ht="14" x14ac:dyDescent="0.15">
      <c r="A612" s="9" t="s">
        <v>1320</v>
      </c>
      <c r="B612" s="9" t="s">
        <v>1187</v>
      </c>
      <c r="C612" s="9" t="s">
        <v>1318</v>
      </c>
      <c r="D612" s="9" t="s">
        <v>1321</v>
      </c>
      <c r="E612" s="9" t="s">
        <v>1189</v>
      </c>
      <c r="F612" s="9" t="s">
        <v>54</v>
      </c>
      <c r="G612" s="9" t="s">
        <v>69</v>
      </c>
      <c r="H612" s="9"/>
      <c r="I612" s="9"/>
      <c r="J612" s="9"/>
      <c r="K612" s="9"/>
      <c r="L612" s="9" t="s">
        <v>3</v>
      </c>
      <c r="M612" s="9" t="s">
        <v>58</v>
      </c>
      <c r="N612" s="9" t="s">
        <v>66</v>
      </c>
    </row>
    <row r="613" spans="1:14" ht="14" x14ac:dyDescent="0.15">
      <c r="A613" s="9" t="s">
        <v>1322</v>
      </c>
      <c r="B613" s="9" t="s">
        <v>1187</v>
      </c>
      <c r="C613" s="9" t="s">
        <v>1318</v>
      </c>
      <c r="D613" s="9" t="s">
        <v>1323</v>
      </c>
      <c r="E613" s="9" t="s">
        <v>1189</v>
      </c>
      <c r="F613" s="9" t="s">
        <v>54</v>
      </c>
      <c r="G613" s="9" t="s">
        <v>69</v>
      </c>
      <c r="H613" s="9"/>
      <c r="I613" s="9"/>
      <c r="J613" s="9"/>
      <c r="K613" s="9"/>
      <c r="L613" s="9" t="s">
        <v>3</v>
      </c>
      <c r="M613" s="9" t="s">
        <v>58</v>
      </c>
      <c r="N613" s="9" t="s">
        <v>66</v>
      </c>
    </row>
    <row r="614" spans="1:14" ht="14" x14ac:dyDescent="0.15">
      <c r="A614" s="9" t="s">
        <v>1324</v>
      </c>
      <c r="B614" s="9" t="s">
        <v>1187</v>
      </c>
      <c r="C614" s="9" t="s">
        <v>1318</v>
      </c>
      <c r="D614" s="9" t="s">
        <v>1325</v>
      </c>
      <c r="E614" s="9" t="s">
        <v>1189</v>
      </c>
      <c r="F614" s="9" t="s">
        <v>54</v>
      </c>
      <c r="G614" s="9" t="s">
        <v>69</v>
      </c>
      <c r="H614" s="9"/>
      <c r="I614" s="9"/>
      <c r="J614" s="9"/>
      <c r="K614" s="9"/>
      <c r="L614" s="9" t="s">
        <v>3</v>
      </c>
      <c r="M614" s="9" t="s">
        <v>58</v>
      </c>
      <c r="N614" s="9" t="s">
        <v>66</v>
      </c>
    </row>
    <row r="615" spans="1:14" ht="14" x14ac:dyDescent="0.15">
      <c r="A615" s="9" t="s">
        <v>1326</v>
      </c>
      <c r="B615" s="9" t="s">
        <v>1187</v>
      </c>
      <c r="C615" s="9" t="s">
        <v>1318</v>
      </c>
      <c r="D615" s="9" t="s">
        <v>1327</v>
      </c>
      <c r="E615" s="9" t="s">
        <v>1189</v>
      </c>
      <c r="F615" s="9" t="s">
        <v>54</v>
      </c>
      <c r="G615" s="9" t="s">
        <v>69</v>
      </c>
      <c r="H615" s="9"/>
      <c r="I615" s="9"/>
      <c r="J615" s="9"/>
      <c r="K615" s="9"/>
      <c r="L615" s="9" t="s">
        <v>3</v>
      </c>
      <c r="M615" s="9" t="s">
        <v>58</v>
      </c>
      <c r="N615" s="9" t="s">
        <v>66</v>
      </c>
    </row>
    <row r="616" spans="1:14" ht="14" x14ac:dyDescent="0.15">
      <c r="A616" s="9" t="s">
        <v>1328</v>
      </c>
      <c r="B616" s="9" t="s">
        <v>1187</v>
      </c>
      <c r="C616" s="9" t="s">
        <v>1318</v>
      </c>
      <c r="D616" s="9" t="s">
        <v>1329</v>
      </c>
      <c r="E616" s="9" t="s">
        <v>1189</v>
      </c>
      <c r="F616" s="9" t="s">
        <v>54</v>
      </c>
      <c r="G616" s="9" t="s">
        <v>69</v>
      </c>
      <c r="H616" s="9"/>
      <c r="I616" s="9"/>
      <c r="J616" s="9"/>
      <c r="K616" s="9"/>
      <c r="L616" s="9" t="s">
        <v>3</v>
      </c>
      <c r="M616" s="9" t="s">
        <v>58</v>
      </c>
      <c r="N616" s="9" t="s">
        <v>66</v>
      </c>
    </row>
    <row r="617" spans="1:14" ht="14" x14ac:dyDescent="0.15">
      <c r="A617" s="9" t="s">
        <v>1330</v>
      </c>
      <c r="B617" s="9" t="s">
        <v>1187</v>
      </c>
      <c r="C617" s="9" t="s">
        <v>1318</v>
      </c>
      <c r="D617" s="9" t="s">
        <v>1331</v>
      </c>
      <c r="E617" s="9" t="s">
        <v>1189</v>
      </c>
      <c r="F617" s="9" t="s">
        <v>54</v>
      </c>
      <c r="G617" s="9" t="s">
        <v>69</v>
      </c>
      <c r="H617" s="9"/>
      <c r="I617" s="9"/>
      <c r="J617" s="9"/>
      <c r="K617" s="9"/>
      <c r="L617" s="9" t="s">
        <v>3</v>
      </c>
      <c r="M617" s="9" t="s">
        <v>58</v>
      </c>
      <c r="N617" s="9" t="s">
        <v>66</v>
      </c>
    </row>
    <row r="618" spans="1:14" ht="14" x14ac:dyDescent="0.15">
      <c r="A618" s="9" t="s">
        <v>1332</v>
      </c>
      <c r="B618" s="9" t="s">
        <v>1187</v>
      </c>
      <c r="C618" s="9" t="s">
        <v>1333</v>
      </c>
      <c r="D618" s="9" t="s">
        <v>1334</v>
      </c>
      <c r="E618" s="9" t="s">
        <v>1189</v>
      </c>
      <c r="F618" s="9" t="s">
        <v>54</v>
      </c>
      <c r="G618" s="9" t="s">
        <v>69</v>
      </c>
      <c r="H618" s="9"/>
      <c r="I618" s="9"/>
      <c r="J618" s="9"/>
      <c r="K618" s="9"/>
      <c r="L618" s="9" t="s">
        <v>3</v>
      </c>
      <c r="M618" s="9" t="s">
        <v>58</v>
      </c>
      <c r="N618" s="9" t="s">
        <v>66</v>
      </c>
    </row>
    <row r="619" spans="1:14" ht="14" x14ac:dyDescent="0.15">
      <c r="A619" s="9" t="s">
        <v>1335</v>
      </c>
      <c r="B619" s="9" t="s">
        <v>1187</v>
      </c>
      <c r="C619" s="9" t="s">
        <v>1333</v>
      </c>
      <c r="D619" s="9" t="s">
        <v>1336</v>
      </c>
      <c r="E619" s="9" t="s">
        <v>1189</v>
      </c>
      <c r="F619" s="9" t="s">
        <v>54</v>
      </c>
      <c r="G619" s="9" t="s">
        <v>69</v>
      </c>
      <c r="H619" s="9"/>
      <c r="I619" s="9"/>
      <c r="J619" s="9"/>
      <c r="K619" s="9"/>
      <c r="L619" s="9" t="s">
        <v>3</v>
      </c>
      <c r="M619" s="9" t="s">
        <v>58</v>
      </c>
      <c r="N619" s="9" t="s">
        <v>66</v>
      </c>
    </row>
    <row r="620" spans="1:14" ht="14" x14ac:dyDescent="0.15">
      <c r="A620" s="9" t="s">
        <v>1337</v>
      </c>
      <c r="B620" s="9" t="s">
        <v>1187</v>
      </c>
      <c r="C620" s="9" t="s">
        <v>1333</v>
      </c>
      <c r="D620" s="9" t="s">
        <v>1338</v>
      </c>
      <c r="E620" s="9" t="s">
        <v>1189</v>
      </c>
      <c r="F620" s="9" t="s">
        <v>54</v>
      </c>
      <c r="G620" s="9" t="s">
        <v>69</v>
      </c>
      <c r="H620" s="9"/>
      <c r="I620" s="9"/>
      <c r="J620" s="9"/>
      <c r="K620" s="9"/>
      <c r="L620" s="9" t="s">
        <v>3</v>
      </c>
      <c r="M620" s="9" t="s">
        <v>58</v>
      </c>
      <c r="N620" s="9" t="s">
        <v>66</v>
      </c>
    </row>
    <row r="621" spans="1:14" ht="14" x14ac:dyDescent="0.15">
      <c r="A621" s="9" t="s">
        <v>1339</v>
      </c>
      <c r="B621" s="9" t="s">
        <v>1187</v>
      </c>
      <c r="C621" s="9" t="s">
        <v>1333</v>
      </c>
      <c r="D621" s="9" t="s">
        <v>1340</v>
      </c>
      <c r="E621" s="9" t="s">
        <v>1189</v>
      </c>
      <c r="F621" s="9" t="s">
        <v>54</v>
      </c>
      <c r="G621" s="9" t="s">
        <v>69</v>
      </c>
      <c r="H621" s="9"/>
      <c r="I621" s="9"/>
      <c r="J621" s="9"/>
      <c r="K621" s="9"/>
      <c r="L621" s="9" t="s">
        <v>3</v>
      </c>
      <c r="M621" s="9" t="s">
        <v>58</v>
      </c>
      <c r="N621" s="9" t="s">
        <v>66</v>
      </c>
    </row>
    <row r="622" spans="1:14" ht="14" x14ac:dyDescent="0.15">
      <c r="A622" s="9" t="s">
        <v>1341</v>
      </c>
      <c r="B622" s="9" t="s">
        <v>1187</v>
      </c>
      <c r="C622" s="9" t="s">
        <v>1333</v>
      </c>
      <c r="D622" s="9" t="s">
        <v>1342</v>
      </c>
      <c r="E622" s="9" t="s">
        <v>1189</v>
      </c>
      <c r="F622" s="9" t="s">
        <v>54</v>
      </c>
      <c r="G622" s="9" t="s">
        <v>69</v>
      </c>
      <c r="H622" s="9"/>
      <c r="I622" s="9"/>
      <c r="J622" s="9"/>
      <c r="K622" s="9"/>
      <c r="L622" s="9" t="s">
        <v>3</v>
      </c>
      <c r="M622" s="9" t="s">
        <v>58</v>
      </c>
      <c r="N622" s="9" t="s">
        <v>66</v>
      </c>
    </row>
    <row r="623" spans="1:14" ht="14" x14ac:dyDescent="0.15">
      <c r="A623" s="9" t="s">
        <v>1343</v>
      </c>
      <c r="B623" s="9" t="s">
        <v>1187</v>
      </c>
      <c r="C623" s="9" t="s">
        <v>1333</v>
      </c>
      <c r="D623" s="9" t="s">
        <v>1344</v>
      </c>
      <c r="E623" s="9" t="s">
        <v>1189</v>
      </c>
      <c r="F623" s="9" t="s">
        <v>54</v>
      </c>
      <c r="G623" s="9" t="s">
        <v>69</v>
      </c>
      <c r="H623" s="9"/>
      <c r="I623" s="9"/>
      <c r="J623" s="9"/>
      <c r="K623" s="9"/>
      <c r="L623" s="9" t="s">
        <v>3</v>
      </c>
      <c r="M623" s="9" t="s">
        <v>58</v>
      </c>
      <c r="N623" s="9" t="s">
        <v>66</v>
      </c>
    </row>
    <row r="624" spans="1:14" ht="14" x14ac:dyDescent="0.15">
      <c r="A624" s="9" t="s">
        <v>1345</v>
      </c>
      <c r="B624" s="9" t="s">
        <v>1187</v>
      </c>
      <c r="C624" s="9" t="s">
        <v>1333</v>
      </c>
      <c r="D624" s="9" t="s">
        <v>1346</v>
      </c>
      <c r="E624" s="9" t="s">
        <v>1189</v>
      </c>
      <c r="F624" s="9" t="s">
        <v>54</v>
      </c>
      <c r="G624" s="9" t="s">
        <v>69</v>
      </c>
      <c r="H624" s="9"/>
      <c r="I624" s="9"/>
      <c r="J624" s="9"/>
      <c r="K624" s="9"/>
      <c r="L624" s="9" t="s">
        <v>3</v>
      </c>
      <c r="M624" s="9" t="s">
        <v>58</v>
      </c>
      <c r="N624" s="9" t="s">
        <v>66</v>
      </c>
    </row>
    <row r="625" spans="1:14" ht="14" x14ac:dyDescent="0.15">
      <c r="A625" s="9" t="s">
        <v>1347</v>
      </c>
      <c r="B625" s="9" t="s">
        <v>1187</v>
      </c>
      <c r="C625" s="9" t="s">
        <v>1333</v>
      </c>
      <c r="D625" s="9" t="s">
        <v>1348</v>
      </c>
      <c r="E625" s="9" t="s">
        <v>1189</v>
      </c>
      <c r="F625" s="9" t="s">
        <v>54</v>
      </c>
      <c r="G625" s="9" t="s">
        <v>69</v>
      </c>
      <c r="H625" s="9"/>
      <c r="I625" s="9"/>
      <c r="J625" s="9"/>
      <c r="K625" s="9"/>
      <c r="L625" s="9" t="s">
        <v>3</v>
      </c>
      <c r="M625" s="9" t="s">
        <v>58</v>
      </c>
      <c r="N625" s="9" t="s">
        <v>66</v>
      </c>
    </row>
    <row r="626" spans="1:14" ht="14" x14ac:dyDescent="0.15">
      <c r="A626" s="9" t="s">
        <v>1349</v>
      </c>
      <c r="B626" s="9" t="s">
        <v>1187</v>
      </c>
      <c r="C626" s="9" t="s">
        <v>1333</v>
      </c>
      <c r="D626" s="9" t="s">
        <v>1350</v>
      </c>
      <c r="E626" s="9" t="s">
        <v>1189</v>
      </c>
      <c r="F626" s="9" t="s">
        <v>54</v>
      </c>
      <c r="G626" s="9" t="s">
        <v>69</v>
      </c>
      <c r="H626" s="9"/>
      <c r="I626" s="9"/>
      <c r="J626" s="9"/>
      <c r="K626" s="9"/>
      <c r="L626" s="9" t="s">
        <v>3</v>
      </c>
      <c r="M626" s="9" t="s">
        <v>58</v>
      </c>
      <c r="N626" s="9" t="s">
        <v>66</v>
      </c>
    </row>
    <row r="627" spans="1:14" ht="14" x14ac:dyDescent="0.15">
      <c r="A627" s="9" t="s">
        <v>1351</v>
      </c>
      <c r="B627" s="9" t="s">
        <v>1187</v>
      </c>
      <c r="C627" s="9" t="s">
        <v>1352</v>
      </c>
      <c r="D627" s="9" t="s">
        <v>1353</v>
      </c>
      <c r="E627" s="9" t="s">
        <v>1189</v>
      </c>
      <c r="F627" s="9" t="s">
        <v>54</v>
      </c>
      <c r="G627" s="9" t="s">
        <v>69</v>
      </c>
      <c r="H627" s="9"/>
      <c r="I627" s="9"/>
      <c r="J627" s="9"/>
      <c r="K627" s="9"/>
      <c r="L627" s="9" t="s">
        <v>3</v>
      </c>
      <c r="M627" s="9" t="s">
        <v>58</v>
      </c>
      <c r="N627" s="9" t="s">
        <v>66</v>
      </c>
    </row>
    <row r="628" spans="1:14" ht="14" x14ac:dyDescent="0.15">
      <c r="A628" s="9" t="s">
        <v>1354</v>
      </c>
      <c r="B628" s="9" t="s">
        <v>1187</v>
      </c>
      <c r="C628" s="9" t="s">
        <v>1352</v>
      </c>
      <c r="D628" s="9" t="s">
        <v>1355</v>
      </c>
      <c r="E628" s="9" t="s">
        <v>1189</v>
      </c>
      <c r="F628" s="9" t="s">
        <v>54</v>
      </c>
      <c r="G628" s="9" t="s">
        <v>69</v>
      </c>
      <c r="H628" s="9"/>
      <c r="I628" s="9"/>
      <c r="J628" s="9"/>
      <c r="K628" s="9"/>
      <c r="L628" s="9" t="s">
        <v>3</v>
      </c>
      <c r="M628" s="9" t="s">
        <v>58</v>
      </c>
      <c r="N628" s="9" t="s">
        <v>66</v>
      </c>
    </row>
    <row r="629" spans="1:14" ht="14" x14ac:dyDescent="0.15">
      <c r="A629" s="9" t="s">
        <v>1356</v>
      </c>
      <c r="B629" s="9" t="s">
        <v>1187</v>
      </c>
      <c r="C629" s="9" t="s">
        <v>1352</v>
      </c>
      <c r="D629" s="9" t="s">
        <v>1357</v>
      </c>
      <c r="E629" s="9" t="s">
        <v>1189</v>
      </c>
      <c r="F629" s="9" t="s">
        <v>54</v>
      </c>
      <c r="G629" s="9" t="s">
        <v>69</v>
      </c>
      <c r="H629" s="9"/>
      <c r="I629" s="9"/>
      <c r="J629" s="9"/>
      <c r="K629" s="9"/>
      <c r="L629" s="9" t="s">
        <v>3</v>
      </c>
      <c r="M629" s="9" t="s">
        <v>58</v>
      </c>
      <c r="N629" s="9" t="s">
        <v>66</v>
      </c>
    </row>
    <row r="630" spans="1:14" ht="14" x14ac:dyDescent="0.15">
      <c r="A630" s="9" t="s">
        <v>1358</v>
      </c>
      <c r="B630" s="9" t="s">
        <v>1187</v>
      </c>
      <c r="C630" s="9" t="s">
        <v>1352</v>
      </c>
      <c r="D630" s="9" t="s">
        <v>1359</v>
      </c>
      <c r="E630" s="9" t="s">
        <v>1189</v>
      </c>
      <c r="F630" s="9" t="s">
        <v>54</v>
      </c>
      <c r="G630" s="9" t="s">
        <v>69</v>
      </c>
      <c r="H630" s="9"/>
      <c r="I630" s="9"/>
      <c r="J630" s="9"/>
      <c r="K630" s="9"/>
      <c r="L630" s="9" t="s">
        <v>3</v>
      </c>
      <c r="M630" s="9" t="s">
        <v>58</v>
      </c>
      <c r="N630" s="9" t="s">
        <v>66</v>
      </c>
    </row>
    <row r="631" spans="1:14" ht="14" x14ac:dyDescent="0.15">
      <c r="A631" s="9" t="s">
        <v>1360</v>
      </c>
      <c r="B631" s="9" t="s">
        <v>1187</v>
      </c>
      <c r="C631" s="9" t="s">
        <v>1361</v>
      </c>
      <c r="D631" s="9" t="s">
        <v>1362</v>
      </c>
      <c r="E631" s="9" t="s">
        <v>1189</v>
      </c>
      <c r="F631" s="9" t="s">
        <v>54</v>
      </c>
      <c r="G631" s="9" t="s">
        <v>69</v>
      </c>
      <c r="H631" s="9"/>
      <c r="I631" s="9"/>
      <c r="J631" s="9"/>
      <c r="K631" s="9"/>
      <c r="L631" s="9" t="s">
        <v>3</v>
      </c>
      <c r="M631" s="9" t="s">
        <v>58</v>
      </c>
      <c r="N631" s="9" t="s">
        <v>66</v>
      </c>
    </row>
    <row r="632" spans="1:14" ht="14" x14ac:dyDescent="0.15">
      <c r="A632" s="9" t="s">
        <v>1363</v>
      </c>
      <c r="B632" s="9" t="s">
        <v>1187</v>
      </c>
      <c r="C632" s="9" t="s">
        <v>1361</v>
      </c>
      <c r="D632" s="9" t="s">
        <v>1364</v>
      </c>
      <c r="E632" s="9" t="s">
        <v>1189</v>
      </c>
      <c r="F632" s="9" t="s">
        <v>54</v>
      </c>
      <c r="G632" s="9" t="s">
        <v>69</v>
      </c>
      <c r="H632" s="9"/>
      <c r="I632" s="9"/>
      <c r="J632" s="9"/>
      <c r="K632" s="9"/>
      <c r="L632" s="9" t="s">
        <v>3</v>
      </c>
      <c r="M632" s="9" t="s">
        <v>58</v>
      </c>
      <c r="N632" s="9" t="s">
        <v>66</v>
      </c>
    </row>
    <row r="633" spans="1:14" ht="14" x14ac:dyDescent="0.15">
      <c r="A633" s="9" t="s">
        <v>1365</v>
      </c>
      <c r="B633" s="9" t="s">
        <v>1187</v>
      </c>
      <c r="C633" s="9" t="s">
        <v>1361</v>
      </c>
      <c r="D633" s="9" t="s">
        <v>1366</v>
      </c>
      <c r="E633" s="9" t="s">
        <v>1189</v>
      </c>
      <c r="F633" s="9" t="s">
        <v>54</v>
      </c>
      <c r="G633" s="9" t="s">
        <v>69</v>
      </c>
      <c r="H633" s="9"/>
      <c r="I633" s="9"/>
      <c r="J633" s="9"/>
      <c r="K633" s="9"/>
      <c r="L633" s="9" t="s">
        <v>3</v>
      </c>
      <c r="M633" s="9" t="s">
        <v>58</v>
      </c>
      <c r="N633" s="9" t="s">
        <v>66</v>
      </c>
    </row>
    <row r="634" spans="1:14" ht="14" x14ac:dyDescent="0.15">
      <c r="A634" s="9" t="s">
        <v>1367</v>
      </c>
      <c r="B634" s="9" t="s">
        <v>1187</v>
      </c>
      <c r="C634" s="9" t="s">
        <v>1361</v>
      </c>
      <c r="D634" s="9" t="s">
        <v>1368</v>
      </c>
      <c r="E634" s="9" t="s">
        <v>1189</v>
      </c>
      <c r="F634" s="9" t="s">
        <v>54</v>
      </c>
      <c r="G634" s="9" t="s">
        <v>69</v>
      </c>
      <c r="H634" s="9"/>
      <c r="I634" s="9"/>
      <c r="J634" s="9"/>
      <c r="K634" s="9"/>
      <c r="L634" s="9" t="s">
        <v>3</v>
      </c>
      <c r="M634" s="9" t="s">
        <v>58</v>
      </c>
      <c r="N634" s="9" t="s">
        <v>66</v>
      </c>
    </row>
    <row r="635" spans="1:14" ht="14" x14ac:dyDescent="0.15">
      <c r="A635" s="9" t="s">
        <v>1369</v>
      </c>
      <c r="B635" s="9" t="s">
        <v>1187</v>
      </c>
      <c r="C635" s="9" t="s">
        <v>1370</v>
      </c>
      <c r="D635" s="9" t="s">
        <v>1371</v>
      </c>
      <c r="E635" s="9" t="s">
        <v>1189</v>
      </c>
      <c r="F635" s="9" t="s">
        <v>54</v>
      </c>
      <c r="G635" s="9" t="s">
        <v>69</v>
      </c>
      <c r="H635" s="9"/>
      <c r="I635" s="9"/>
      <c r="J635" s="9"/>
      <c r="K635" s="9"/>
      <c r="L635" s="9" t="s">
        <v>3</v>
      </c>
      <c r="M635" s="9" t="s">
        <v>58</v>
      </c>
      <c r="N635" s="9" t="s">
        <v>66</v>
      </c>
    </row>
    <row r="636" spans="1:14" ht="14" x14ac:dyDescent="0.15">
      <c r="A636" s="9" t="s">
        <v>1372</v>
      </c>
      <c r="B636" s="9" t="s">
        <v>1187</v>
      </c>
      <c r="C636" s="9" t="s">
        <v>1370</v>
      </c>
      <c r="D636" s="9" t="s">
        <v>1373</v>
      </c>
      <c r="E636" s="9" t="s">
        <v>1189</v>
      </c>
      <c r="F636" s="9" t="s">
        <v>54</v>
      </c>
      <c r="G636" s="9" t="s">
        <v>69</v>
      </c>
      <c r="H636" s="9"/>
      <c r="I636" s="9"/>
      <c r="J636" s="9"/>
      <c r="K636" s="9"/>
      <c r="L636" s="9" t="s">
        <v>3</v>
      </c>
      <c r="M636" s="9" t="s">
        <v>58</v>
      </c>
      <c r="N636" s="9" t="s">
        <v>66</v>
      </c>
    </row>
    <row r="637" spans="1:14" ht="14" x14ac:dyDescent="0.15">
      <c r="A637" s="9" t="s">
        <v>1374</v>
      </c>
      <c r="B637" s="9" t="s">
        <v>1187</v>
      </c>
      <c r="C637" s="9" t="s">
        <v>1370</v>
      </c>
      <c r="D637" s="9" t="s">
        <v>1375</v>
      </c>
      <c r="E637" s="9" t="s">
        <v>1189</v>
      </c>
      <c r="F637" s="9" t="s">
        <v>54</v>
      </c>
      <c r="G637" s="9" t="s">
        <v>69</v>
      </c>
      <c r="H637" s="9"/>
      <c r="I637" s="9"/>
      <c r="J637" s="9"/>
      <c r="K637" s="9"/>
      <c r="L637" s="9" t="s">
        <v>3</v>
      </c>
      <c r="M637" s="9" t="s">
        <v>58</v>
      </c>
      <c r="N637" s="9" t="s">
        <v>66</v>
      </c>
    </row>
    <row r="638" spans="1:14" ht="14" x14ac:dyDescent="0.15">
      <c r="A638" s="9" t="s">
        <v>1376</v>
      </c>
      <c r="B638" s="9" t="s">
        <v>1187</v>
      </c>
      <c r="C638" s="9" t="s">
        <v>1377</v>
      </c>
      <c r="D638" s="9" t="s">
        <v>1378</v>
      </c>
      <c r="E638" s="9" t="s">
        <v>1189</v>
      </c>
      <c r="F638" s="9" t="s">
        <v>54</v>
      </c>
      <c r="G638" s="9" t="s">
        <v>69</v>
      </c>
      <c r="H638" s="9"/>
      <c r="I638" s="9"/>
      <c r="J638" s="9"/>
      <c r="K638" s="9"/>
      <c r="L638" s="9" t="s">
        <v>3</v>
      </c>
      <c r="M638" s="9" t="s">
        <v>58</v>
      </c>
      <c r="N638" s="9" t="s">
        <v>66</v>
      </c>
    </row>
    <row r="639" spans="1:14" ht="14" x14ac:dyDescent="0.15">
      <c r="A639" s="9" t="s">
        <v>1379</v>
      </c>
      <c r="B639" s="9" t="s">
        <v>1187</v>
      </c>
      <c r="C639" s="9" t="s">
        <v>1377</v>
      </c>
      <c r="D639" s="9" t="s">
        <v>1380</v>
      </c>
      <c r="E639" s="9" t="s">
        <v>1189</v>
      </c>
      <c r="F639" s="9" t="s">
        <v>54</v>
      </c>
      <c r="G639" s="9" t="s">
        <v>69</v>
      </c>
      <c r="H639" s="9"/>
      <c r="I639" s="9"/>
      <c r="J639" s="9"/>
      <c r="K639" s="9"/>
      <c r="L639" s="9" t="s">
        <v>3</v>
      </c>
      <c r="M639" s="9" t="s">
        <v>58</v>
      </c>
      <c r="N639" s="9" t="s">
        <v>66</v>
      </c>
    </row>
    <row r="640" spans="1:14" ht="14" x14ac:dyDescent="0.15">
      <c r="A640" s="9" t="s">
        <v>1381</v>
      </c>
      <c r="B640" s="9" t="s">
        <v>1187</v>
      </c>
      <c r="C640" s="9" t="s">
        <v>1377</v>
      </c>
      <c r="D640" s="9" t="s">
        <v>1382</v>
      </c>
      <c r="E640" s="9" t="s">
        <v>1189</v>
      </c>
      <c r="F640" s="9" t="s">
        <v>54</v>
      </c>
      <c r="G640" s="9" t="s">
        <v>69</v>
      </c>
      <c r="H640" s="9"/>
      <c r="I640" s="9"/>
      <c r="J640" s="9"/>
      <c r="K640" s="9"/>
      <c r="L640" s="9" t="s">
        <v>3</v>
      </c>
      <c r="M640" s="9" t="s">
        <v>58</v>
      </c>
      <c r="N640" s="9" t="s">
        <v>66</v>
      </c>
    </row>
    <row r="641" spans="1:14" ht="14" x14ac:dyDescent="0.15">
      <c r="A641" s="9" t="s">
        <v>1383</v>
      </c>
      <c r="B641" s="9" t="s">
        <v>1187</v>
      </c>
      <c r="C641" s="9" t="s">
        <v>1223</v>
      </c>
      <c r="D641" s="9" t="s">
        <v>1384</v>
      </c>
      <c r="E641" s="9" t="s">
        <v>1189</v>
      </c>
      <c r="F641" s="9" t="s">
        <v>54</v>
      </c>
      <c r="G641" s="9" t="s">
        <v>69</v>
      </c>
      <c r="H641" s="9"/>
      <c r="I641" s="9"/>
      <c r="J641" s="9"/>
      <c r="K641" s="9"/>
      <c r="L641" s="9" t="s">
        <v>3</v>
      </c>
      <c r="M641" s="9" t="s">
        <v>58</v>
      </c>
      <c r="N641" s="9" t="s">
        <v>66</v>
      </c>
    </row>
    <row r="642" spans="1:14" ht="14" x14ac:dyDescent="0.15">
      <c r="A642" s="9" t="s">
        <v>1385</v>
      </c>
      <c r="B642" s="9" t="s">
        <v>1187</v>
      </c>
      <c r="C642" s="9" t="s">
        <v>1223</v>
      </c>
      <c r="D642" s="9" t="s">
        <v>1244</v>
      </c>
      <c r="E642" s="9" t="s">
        <v>1189</v>
      </c>
      <c r="F642" s="9" t="s">
        <v>54</v>
      </c>
      <c r="G642" s="9" t="s">
        <v>69</v>
      </c>
      <c r="H642" s="9"/>
      <c r="I642" s="9"/>
      <c r="J642" s="9"/>
      <c r="K642" s="9"/>
      <c r="L642" s="9" t="s">
        <v>3</v>
      </c>
      <c r="M642" s="9" t="s">
        <v>58</v>
      </c>
      <c r="N642" s="9" t="s">
        <v>66</v>
      </c>
    </row>
    <row r="643" spans="1:14" ht="14" x14ac:dyDescent="0.15">
      <c r="A643" s="9" t="s">
        <v>1386</v>
      </c>
      <c r="B643" s="9" t="s">
        <v>1187</v>
      </c>
      <c r="C643" s="9" t="s">
        <v>1223</v>
      </c>
      <c r="D643" s="9" t="s">
        <v>1387</v>
      </c>
      <c r="E643" s="9" t="s">
        <v>1189</v>
      </c>
      <c r="F643" s="9" t="s">
        <v>54</v>
      </c>
      <c r="G643" s="9" t="s">
        <v>69</v>
      </c>
      <c r="H643" s="9"/>
      <c r="I643" s="9"/>
      <c r="J643" s="9"/>
      <c r="K643" s="9"/>
      <c r="L643" s="9" t="s">
        <v>3</v>
      </c>
      <c r="M643" s="9" t="s">
        <v>58</v>
      </c>
      <c r="N643" s="9" t="s">
        <v>66</v>
      </c>
    </row>
    <row r="644" spans="1:14" ht="14" x14ac:dyDescent="0.15">
      <c r="A644" s="9" t="s">
        <v>1388</v>
      </c>
      <c r="B644" s="9" t="s">
        <v>1187</v>
      </c>
      <c r="C644" s="9" t="s">
        <v>1389</v>
      </c>
      <c r="D644" s="9" t="s">
        <v>1390</v>
      </c>
      <c r="E644" s="9" t="s">
        <v>1189</v>
      </c>
      <c r="F644" s="9" t="s">
        <v>54</v>
      </c>
      <c r="G644" s="9" t="s">
        <v>69</v>
      </c>
      <c r="H644" s="9"/>
      <c r="I644" s="9"/>
      <c r="J644" s="9"/>
      <c r="K644" s="9"/>
      <c r="L644" s="9" t="s">
        <v>3</v>
      </c>
      <c r="M644" s="9" t="s">
        <v>58</v>
      </c>
      <c r="N644" s="9" t="s">
        <v>66</v>
      </c>
    </row>
    <row r="645" spans="1:14" ht="14" x14ac:dyDescent="0.15">
      <c r="A645" s="9" t="s">
        <v>1391</v>
      </c>
      <c r="B645" s="9" t="s">
        <v>1187</v>
      </c>
      <c r="C645" s="9" t="s">
        <v>1389</v>
      </c>
      <c r="D645" s="9" t="s">
        <v>1392</v>
      </c>
      <c r="E645" s="9" t="s">
        <v>1189</v>
      </c>
      <c r="F645" s="9" t="s">
        <v>54</v>
      </c>
      <c r="G645" s="9" t="s">
        <v>69</v>
      </c>
      <c r="H645" s="9"/>
      <c r="I645" s="9"/>
      <c r="J645" s="9"/>
      <c r="K645" s="9"/>
      <c r="L645" s="9" t="s">
        <v>3</v>
      </c>
      <c r="M645" s="9" t="s">
        <v>58</v>
      </c>
      <c r="N645" s="9" t="s">
        <v>66</v>
      </c>
    </row>
    <row r="646" spans="1:14" ht="14" x14ac:dyDescent="0.15">
      <c r="A646" s="9" t="s">
        <v>1393</v>
      </c>
      <c r="B646" s="9" t="s">
        <v>1187</v>
      </c>
      <c r="C646" s="9" t="s">
        <v>1352</v>
      </c>
      <c r="D646" s="9" t="s">
        <v>1355</v>
      </c>
      <c r="E646" s="9" t="s">
        <v>1189</v>
      </c>
      <c r="F646" s="9" t="s">
        <v>54</v>
      </c>
      <c r="G646" s="9" t="s">
        <v>69</v>
      </c>
      <c r="H646" s="9"/>
      <c r="I646" s="9"/>
      <c r="J646" s="9"/>
      <c r="K646" s="9"/>
      <c r="L646" s="9" t="s">
        <v>3</v>
      </c>
      <c r="M646" s="9" t="s">
        <v>58</v>
      </c>
      <c r="N646" s="9" t="s">
        <v>66</v>
      </c>
    </row>
    <row r="647" spans="1:14" ht="14" x14ac:dyDescent="0.15">
      <c r="A647" s="9" t="s">
        <v>1394</v>
      </c>
      <c r="B647" s="9" t="s">
        <v>1187</v>
      </c>
      <c r="C647" s="9" t="s">
        <v>1352</v>
      </c>
      <c r="D647" s="9" t="s">
        <v>1395</v>
      </c>
      <c r="E647" s="9" t="s">
        <v>1189</v>
      </c>
      <c r="F647" s="9" t="s">
        <v>54</v>
      </c>
      <c r="G647" s="9" t="s">
        <v>69</v>
      </c>
      <c r="H647" s="9"/>
      <c r="I647" s="9"/>
      <c r="J647" s="9"/>
      <c r="K647" s="9"/>
      <c r="L647" s="9" t="s">
        <v>3</v>
      </c>
      <c r="M647" s="9" t="s">
        <v>58</v>
      </c>
      <c r="N647" s="9" t="s">
        <v>66</v>
      </c>
    </row>
    <row r="648" spans="1:14" ht="14" x14ac:dyDescent="0.15">
      <c r="A648" s="9" t="s">
        <v>1396</v>
      </c>
      <c r="B648" s="9" t="s">
        <v>1187</v>
      </c>
      <c r="C648" s="9" t="s">
        <v>1254</v>
      </c>
      <c r="D648" s="9" t="s">
        <v>1397</v>
      </c>
      <c r="E648" s="9" t="s">
        <v>1189</v>
      </c>
      <c r="F648" s="9" t="s">
        <v>54</v>
      </c>
      <c r="G648" s="9" t="s">
        <v>69</v>
      </c>
      <c r="H648" s="9"/>
      <c r="I648" s="9"/>
      <c r="J648" s="9"/>
      <c r="K648" s="9"/>
      <c r="L648" s="9" t="s">
        <v>3</v>
      </c>
      <c r="M648" s="9" t="s">
        <v>58</v>
      </c>
      <c r="N648" s="9" t="s">
        <v>66</v>
      </c>
    </row>
    <row r="649" spans="1:14" ht="14" x14ac:dyDescent="0.15">
      <c r="A649" s="9" t="s">
        <v>1398</v>
      </c>
      <c r="B649" s="9" t="s">
        <v>1187</v>
      </c>
      <c r="C649" s="9" t="s">
        <v>49</v>
      </c>
      <c r="D649" s="9" t="s">
        <v>1193</v>
      </c>
      <c r="E649" s="9" t="s">
        <v>1189</v>
      </c>
      <c r="F649" s="9" t="s">
        <v>54</v>
      </c>
      <c r="G649" s="9" t="s">
        <v>69</v>
      </c>
      <c r="H649" s="9"/>
      <c r="I649" s="9"/>
      <c r="J649" s="9"/>
      <c r="K649" s="9"/>
      <c r="L649" s="9" t="s">
        <v>3</v>
      </c>
      <c r="M649" s="9" t="s">
        <v>58</v>
      </c>
      <c r="N649" s="9" t="s">
        <v>66</v>
      </c>
    </row>
    <row r="650" spans="1:14" ht="14" x14ac:dyDescent="0.15">
      <c r="A650" s="9" t="s">
        <v>1399</v>
      </c>
      <c r="B650" s="9" t="s">
        <v>1187</v>
      </c>
      <c r="C650" s="9" t="s">
        <v>1318</v>
      </c>
      <c r="D650" s="9" t="s">
        <v>1400</v>
      </c>
      <c r="E650" s="9" t="s">
        <v>1189</v>
      </c>
      <c r="F650" s="9" t="s">
        <v>54</v>
      </c>
      <c r="G650" s="9" t="s">
        <v>69</v>
      </c>
      <c r="H650" s="9"/>
      <c r="I650" s="9"/>
      <c r="J650" s="9"/>
      <c r="K650" s="9"/>
      <c r="L650" s="9" t="s">
        <v>3</v>
      </c>
      <c r="M650" s="9" t="s">
        <v>58</v>
      </c>
      <c r="N650" s="9" t="s">
        <v>66</v>
      </c>
    </row>
    <row r="651" spans="1:14" ht="14" x14ac:dyDescent="0.15">
      <c r="A651" s="9" t="s">
        <v>1401</v>
      </c>
      <c r="B651" s="9" t="s">
        <v>1187</v>
      </c>
      <c r="C651" s="9" t="s">
        <v>1318</v>
      </c>
      <c r="D651" s="9" t="s">
        <v>1402</v>
      </c>
      <c r="E651" s="9" t="s">
        <v>1189</v>
      </c>
      <c r="F651" s="9" t="s">
        <v>54</v>
      </c>
      <c r="G651" s="9" t="s">
        <v>69</v>
      </c>
      <c r="H651" s="9"/>
      <c r="I651" s="9"/>
      <c r="J651" s="9"/>
      <c r="K651" s="9"/>
      <c r="L651" s="9" t="s">
        <v>3</v>
      </c>
      <c r="M651" s="9" t="s">
        <v>58</v>
      </c>
      <c r="N651" s="9" t="s">
        <v>66</v>
      </c>
    </row>
    <row r="652" spans="1:14" ht="14" x14ac:dyDescent="0.15">
      <c r="A652" s="9" t="s">
        <v>1403</v>
      </c>
      <c r="B652" s="9" t="s">
        <v>1187</v>
      </c>
      <c r="C652" s="9" t="s">
        <v>1279</v>
      </c>
      <c r="D652" s="9" t="s">
        <v>1404</v>
      </c>
      <c r="E652" s="9" t="s">
        <v>1189</v>
      </c>
      <c r="F652" s="9" t="s">
        <v>54</v>
      </c>
      <c r="G652" s="9" t="s">
        <v>69</v>
      </c>
      <c r="H652" s="9"/>
      <c r="I652" s="9"/>
      <c r="J652" s="9"/>
      <c r="K652" s="9"/>
      <c r="L652" s="9" t="s">
        <v>3</v>
      </c>
      <c r="M652" s="9" t="s">
        <v>58</v>
      </c>
      <c r="N652" s="9" t="s">
        <v>66</v>
      </c>
    </row>
    <row r="653" spans="1:14" ht="14" x14ac:dyDescent="0.15">
      <c r="A653" s="9" t="s">
        <v>1287</v>
      </c>
      <c r="B653" s="9" t="s">
        <v>1187</v>
      </c>
      <c r="C653" s="9" t="s">
        <v>1405</v>
      </c>
      <c r="D653" s="9" t="s">
        <v>1289</v>
      </c>
      <c r="E653" s="9" t="s">
        <v>1189</v>
      </c>
      <c r="F653" s="9" t="s">
        <v>54</v>
      </c>
      <c r="G653" s="9" t="s">
        <v>69</v>
      </c>
      <c r="H653" s="9"/>
      <c r="I653" s="9"/>
      <c r="J653" s="9"/>
      <c r="K653" s="9"/>
      <c r="L653" s="9" t="s">
        <v>3</v>
      </c>
      <c r="M653" s="9" t="s">
        <v>58</v>
      </c>
      <c r="N653" s="9" t="s">
        <v>66</v>
      </c>
    </row>
    <row r="654" spans="1:14" ht="28" x14ac:dyDescent="0.15">
      <c r="A654" s="9" t="s">
        <v>1406</v>
      </c>
      <c r="B654" s="9" t="s">
        <v>1187</v>
      </c>
      <c r="C654" s="9" t="s">
        <v>1223</v>
      </c>
      <c r="D654" s="9" t="s">
        <v>1407</v>
      </c>
      <c r="E654" s="9"/>
      <c r="F654" s="9"/>
      <c r="G654" s="9" t="s">
        <v>228</v>
      </c>
      <c r="H654" s="9" t="s">
        <v>54</v>
      </c>
      <c r="I654" s="9" t="s">
        <v>1408</v>
      </c>
      <c r="J654" s="9" t="s">
        <v>1409</v>
      </c>
      <c r="K654" s="9" t="s">
        <v>1410</v>
      </c>
      <c r="L654" s="9"/>
      <c r="M654" s="9" t="s">
        <v>232</v>
      </c>
      <c r="N654" s="9" t="s">
        <v>233</v>
      </c>
    </row>
    <row r="655" spans="1:14" ht="28" x14ac:dyDescent="0.15">
      <c r="A655" s="9" t="s">
        <v>1411</v>
      </c>
      <c r="B655" s="9" t="s">
        <v>1412</v>
      </c>
      <c r="C655" s="9" t="s">
        <v>1413</v>
      </c>
      <c r="D655" s="9" t="s">
        <v>1414</v>
      </c>
      <c r="E655" s="9" t="s">
        <v>1415</v>
      </c>
      <c r="F655" s="9" t="s">
        <v>54</v>
      </c>
      <c r="G655" s="9" t="s">
        <v>53</v>
      </c>
      <c r="H655" s="9" t="s">
        <v>54</v>
      </c>
      <c r="I655" s="9" t="s">
        <v>1416</v>
      </c>
      <c r="J655" s="9" t="s">
        <v>1417</v>
      </c>
      <c r="K655" s="9" t="s">
        <v>1418</v>
      </c>
      <c r="L655" s="9" t="s">
        <v>3</v>
      </c>
      <c r="M655" s="9" t="s">
        <v>58</v>
      </c>
      <c r="N655" s="9" t="s">
        <v>59</v>
      </c>
    </row>
    <row r="656" spans="1:14" ht="28" x14ac:dyDescent="0.15">
      <c r="A656" s="9" t="s">
        <v>1419</v>
      </c>
      <c r="B656" s="9" t="s">
        <v>1412</v>
      </c>
      <c r="C656" s="9" t="s">
        <v>1413</v>
      </c>
      <c r="D656" s="9" t="s">
        <v>1420</v>
      </c>
      <c r="E656" s="9" t="s">
        <v>1415</v>
      </c>
      <c r="F656" s="9" t="s">
        <v>54</v>
      </c>
      <c r="G656" s="9" t="s">
        <v>53</v>
      </c>
      <c r="H656" s="9" t="s">
        <v>54</v>
      </c>
      <c r="I656" s="9" t="s">
        <v>1416</v>
      </c>
      <c r="J656" s="9" t="s">
        <v>1421</v>
      </c>
      <c r="K656" s="9" t="s">
        <v>1422</v>
      </c>
      <c r="L656" s="9" t="s">
        <v>3</v>
      </c>
      <c r="M656" s="9" t="s">
        <v>58</v>
      </c>
      <c r="N656" s="9" t="s">
        <v>59</v>
      </c>
    </row>
    <row r="657" spans="1:14" ht="14" x14ac:dyDescent="0.15">
      <c r="A657" s="9" t="s">
        <v>1423</v>
      </c>
      <c r="B657" s="9" t="s">
        <v>1412</v>
      </c>
      <c r="C657" s="9" t="s">
        <v>1413</v>
      </c>
      <c r="D657" s="9" t="s">
        <v>1424</v>
      </c>
      <c r="E657" s="9" t="s">
        <v>1415</v>
      </c>
      <c r="F657" s="9" t="s">
        <v>54</v>
      </c>
      <c r="G657" s="9" t="s">
        <v>69</v>
      </c>
      <c r="H657" s="9" t="s">
        <v>54</v>
      </c>
      <c r="I657" s="9"/>
      <c r="J657" s="9" t="s">
        <v>1425</v>
      </c>
      <c r="K657" s="9" t="s">
        <v>1426</v>
      </c>
      <c r="L657" s="9" t="s">
        <v>3</v>
      </c>
      <c r="M657" s="9" t="s">
        <v>58</v>
      </c>
      <c r="N657" s="9" t="s">
        <v>66</v>
      </c>
    </row>
    <row r="658" spans="1:14" ht="14" x14ac:dyDescent="0.15">
      <c r="A658" s="9" t="s">
        <v>1427</v>
      </c>
      <c r="B658" s="9" t="s">
        <v>1412</v>
      </c>
      <c r="C658" s="9" t="s">
        <v>1413</v>
      </c>
      <c r="D658" s="9" t="s">
        <v>1428</v>
      </c>
      <c r="E658" s="9" t="s">
        <v>1415</v>
      </c>
      <c r="F658" s="9" t="s">
        <v>54</v>
      </c>
      <c r="G658" s="9" t="s">
        <v>69</v>
      </c>
      <c r="H658" s="9" t="s">
        <v>54</v>
      </c>
      <c r="I658" s="9"/>
      <c r="J658" s="9" t="s">
        <v>1425</v>
      </c>
      <c r="K658" s="9" t="s">
        <v>1426</v>
      </c>
      <c r="L658" s="9" t="s">
        <v>3</v>
      </c>
      <c r="M658" s="9" t="s">
        <v>58</v>
      </c>
      <c r="N658" s="9" t="s">
        <v>66</v>
      </c>
    </row>
    <row r="659" spans="1:14" ht="14" x14ac:dyDescent="0.15">
      <c r="A659" s="9" t="s">
        <v>1429</v>
      </c>
      <c r="B659" s="9" t="s">
        <v>1412</v>
      </c>
      <c r="C659" s="9" t="s">
        <v>1413</v>
      </c>
      <c r="D659" s="9" t="s">
        <v>1430</v>
      </c>
      <c r="E659" s="9" t="s">
        <v>1415</v>
      </c>
      <c r="F659" s="9" t="s">
        <v>54</v>
      </c>
      <c r="G659" s="9" t="s">
        <v>69</v>
      </c>
      <c r="H659" s="9" t="s">
        <v>54</v>
      </c>
      <c r="I659" s="9"/>
      <c r="J659" s="9" t="s">
        <v>1425</v>
      </c>
      <c r="K659" s="9" t="s">
        <v>1426</v>
      </c>
      <c r="L659" s="9" t="s">
        <v>3</v>
      </c>
      <c r="M659" s="9" t="s">
        <v>58</v>
      </c>
      <c r="N659" s="9" t="s">
        <v>66</v>
      </c>
    </row>
    <row r="660" spans="1:14" ht="28" x14ac:dyDescent="0.15">
      <c r="A660" s="9" t="s">
        <v>1431</v>
      </c>
      <c r="B660" s="9" t="s">
        <v>1412</v>
      </c>
      <c r="C660" s="9" t="s">
        <v>1413</v>
      </c>
      <c r="D660" s="9" t="s">
        <v>1432</v>
      </c>
      <c r="E660" s="9" t="s">
        <v>1415</v>
      </c>
      <c r="F660" s="9" t="s">
        <v>54</v>
      </c>
      <c r="G660" s="9" t="s">
        <v>53</v>
      </c>
      <c r="H660" s="9" t="s">
        <v>54</v>
      </c>
      <c r="I660" s="9" t="s">
        <v>1433</v>
      </c>
      <c r="J660" s="9" t="s">
        <v>1434</v>
      </c>
      <c r="K660" s="9" t="s">
        <v>1435</v>
      </c>
      <c r="L660" s="9" t="s">
        <v>3</v>
      </c>
      <c r="M660" s="9" t="s">
        <v>58</v>
      </c>
      <c r="N660" s="9" t="s">
        <v>59</v>
      </c>
    </row>
    <row r="661" spans="1:14" ht="28" x14ac:dyDescent="0.15">
      <c r="A661" s="9" t="s">
        <v>1436</v>
      </c>
      <c r="B661" s="9" t="s">
        <v>1412</v>
      </c>
      <c r="C661" s="9" t="s">
        <v>1413</v>
      </c>
      <c r="D661" s="9" t="s">
        <v>1437</v>
      </c>
      <c r="E661" s="9" t="s">
        <v>1415</v>
      </c>
      <c r="F661" s="9" t="s">
        <v>54</v>
      </c>
      <c r="G661" s="9" t="s">
        <v>53</v>
      </c>
      <c r="H661" s="9" t="s">
        <v>54</v>
      </c>
      <c r="I661" s="9" t="s">
        <v>1438</v>
      </c>
      <c r="J661" s="9" t="s">
        <v>1439</v>
      </c>
      <c r="K661" s="9" t="s">
        <v>1440</v>
      </c>
      <c r="L661" s="9" t="s">
        <v>3</v>
      </c>
      <c r="M661" s="9" t="s">
        <v>58</v>
      </c>
      <c r="N661" s="9" t="s">
        <v>59</v>
      </c>
    </row>
    <row r="662" spans="1:14" ht="14" x14ac:dyDescent="0.15">
      <c r="A662" s="9" t="s">
        <v>1441</v>
      </c>
      <c r="B662" s="9" t="s">
        <v>1412</v>
      </c>
      <c r="C662" s="9" t="s">
        <v>1413</v>
      </c>
      <c r="D662" s="9" t="s">
        <v>1442</v>
      </c>
      <c r="E662" s="9" t="s">
        <v>1415</v>
      </c>
      <c r="F662" s="9" t="s">
        <v>54</v>
      </c>
      <c r="G662" s="9" t="s">
        <v>53</v>
      </c>
      <c r="H662" s="9" t="s">
        <v>54</v>
      </c>
      <c r="I662" s="9" t="s">
        <v>1443</v>
      </c>
      <c r="J662" s="9" t="s">
        <v>1444</v>
      </c>
      <c r="K662" s="9" t="s">
        <v>1426</v>
      </c>
      <c r="L662" s="9" t="s">
        <v>3</v>
      </c>
      <c r="M662" s="9" t="s">
        <v>58</v>
      </c>
      <c r="N662" s="9" t="s">
        <v>59</v>
      </c>
    </row>
    <row r="663" spans="1:14" ht="14" x14ac:dyDescent="0.15">
      <c r="A663" s="9" t="s">
        <v>1445</v>
      </c>
      <c r="B663" s="9" t="s">
        <v>1412</v>
      </c>
      <c r="C663" s="9"/>
      <c r="D663" s="9"/>
      <c r="E663" s="9" t="s">
        <v>1415</v>
      </c>
      <c r="F663" s="9" t="s">
        <v>54</v>
      </c>
      <c r="G663" s="9" t="s">
        <v>69</v>
      </c>
      <c r="H663" s="9"/>
      <c r="I663" s="9"/>
      <c r="J663" s="9"/>
      <c r="K663" s="9"/>
      <c r="L663" s="9" t="s">
        <v>3</v>
      </c>
      <c r="M663" s="9" t="s">
        <v>58</v>
      </c>
      <c r="N663" s="9" t="s">
        <v>66</v>
      </c>
    </row>
    <row r="664" spans="1:14" ht="28" x14ac:dyDescent="0.15">
      <c r="A664" s="9" t="s">
        <v>1446</v>
      </c>
      <c r="B664" s="9" t="s">
        <v>1447</v>
      </c>
      <c r="C664" s="9" t="s">
        <v>49</v>
      </c>
      <c r="D664" s="9" t="s">
        <v>50</v>
      </c>
      <c r="E664" s="9" t="s">
        <v>51</v>
      </c>
      <c r="F664" s="9" t="s">
        <v>52</v>
      </c>
      <c r="G664" s="9" t="s">
        <v>69</v>
      </c>
      <c r="H664" s="9"/>
      <c r="I664" s="9"/>
      <c r="J664" s="9"/>
      <c r="K664" s="9"/>
      <c r="L664" s="9" t="s">
        <v>3</v>
      </c>
      <c r="M664" s="9" t="s">
        <v>58</v>
      </c>
      <c r="N664" s="9" t="s">
        <v>66</v>
      </c>
    </row>
    <row r="665" spans="1:14" ht="28" x14ac:dyDescent="0.15">
      <c r="A665" s="9" t="s">
        <v>1448</v>
      </c>
      <c r="B665" s="9" t="s">
        <v>1447</v>
      </c>
      <c r="C665" s="9" t="s">
        <v>49</v>
      </c>
      <c r="D665" s="9" t="s">
        <v>50</v>
      </c>
      <c r="E665" s="9" t="s">
        <v>51</v>
      </c>
      <c r="F665" s="9" t="s">
        <v>52</v>
      </c>
      <c r="G665" s="9" t="s">
        <v>69</v>
      </c>
      <c r="H665" s="9"/>
      <c r="I665" s="9"/>
      <c r="J665" s="9"/>
      <c r="K665" s="9"/>
      <c r="L665" s="9" t="s">
        <v>3</v>
      </c>
      <c r="M665" s="9" t="s">
        <v>58</v>
      </c>
      <c r="N665" s="9" t="s">
        <v>66</v>
      </c>
    </row>
    <row r="666" spans="1:14" ht="28" x14ac:dyDescent="0.15">
      <c r="A666" s="9" t="s">
        <v>1449</v>
      </c>
      <c r="B666" s="9" t="s">
        <v>1447</v>
      </c>
      <c r="C666" s="9" t="s">
        <v>49</v>
      </c>
      <c r="D666" s="9" t="s">
        <v>50</v>
      </c>
      <c r="E666" s="9" t="s">
        <v>51</v>
      </c>
      <c r="F666" s="9" t="s">
        <v>52</v>
      </c>
      <c r="G666" s="9" t="s">
        <v>69</v>
      </c>
      <c r="H666" s="9"/>
      <c r="I666" s="9"/>
      <c r="J666" s="9"/>
      <c r="K666" s="9"/>
      <c r="L666" s="9" t="s">
        <v>3</v>
      </c>
      <c r="M666" s="9" t="s">
        <v>58</v>
      </c>
      <c r="N666" s="9" t="s">
        <v>66</v>
      </c>
    </row>
    <row r="667" spans="1:14" ht="28" x14ac:dyDescent="0.15">
      <c r="A667" s="9" t="s">
        <v>1450</v>
      </c>
      <c r="B667" s="9" t="s">
        <v>1447</v>
      </c>
      <c r="C667" s="9" t="s">
        <v>49</v>
      </c>
      <c r="D667" s="9" t="s">
        <v>50</v>
      </c>
      <c r="E667" s="9" t="s">
        <v>51</v>
      </c>
      <c r="F667" s="9" t="s">
        <v>52</v>
      </c>
      <c r="G667" s="9" t="s">
        <v>69</v>
      </c>
      <c r="H667" s="9"/>
      <c r="I667" s="9"/>
      <c r="J667" s="9"/>
      <c r="K667" s="9"/>
      <c r="L667" s="9" t="s">
        <v>3</v>
      </c>
      <c r="M667" s="9" t="s">
        <v>58</v>
      </c>
      <c r="N667" s="9" t="s">
        <v>66</v>
      </c>
    </row>
    <row r="668" spans="1:14" ht="28" x14ac:dyDescent="0.15">
      <c r="A668" s="9" t="s">
        <v>1451</v>
      </c>
      <c r="B668" s="9" t="s">
        <v>1447</v>
      </c>
      <c r="C668" s="9" t="s">
        <v>49</v>
      </c>
      <c r="D668" s="9" t="s">
        <v>50</v>
      </c>
      <c r="E668" s="9" t="s">
        <v>51</v>
      </c>
      <c r="F668" s="9" t="s">
        <v>52</v>
      </c>
      <c r="G668" s="9" t="s">
        <v>69</v>
      </c>
      <c r="H668" s="9"/>
      <c r="I668" s="9"/>
      <c r="J668" s="9"/>
      <c r="K668" s="9"/>
      <c r="L668" s="9" t="s">
        <v>3</v>
      </c>
      <c r="M668" s="9" t="s">
        <v>58</v>
      </c>
      <c r="N668" s="9" t="s">
        <v>66</v>
      </c>
    </row>
    <row r="669" spans="1:14" ht="28" x14ac:dyDescent="0.15">
      <c r="A669" s="9" t="s">
        <v>1452</v>
      </c>
      <c r="B669" s="9" t="s">
        <v>1447</v>
      </c>
      <c r="C669" s="9" t="s">
        <v>49</v>
      </c>
      <c r="D669" s="9" t="s">
        <v>50</v>
      </c>
      <c r="E669" s="9" t="s">
        <v>51</v>
      </c>
      <c r="F669" s="9" t="s">
        <v>52</v>
      </c>
      <c r="G669" s="9" t="s">
        <v>69</v>
      </c>
      <c r="H669" s="9"/>
      <c r="I669" s="9"/>
      <c r="J669" s="9"/>
      <c r="K669" s="9"/>
      <c r="L669" s="9" t="s">
        <v>3</v>
      </c>
      <c r="M669" s="9" t="s">
        <v>58</v>
      </c>
      <c r="N669" s="9" t="s">
        <v>66</v>
      </c>
    </row>
    <row r="670" spans="1:14" ht="28" x14ac:dyDescent="0.15">
      <c r="A670" s="9" t="s">
        <v>1453</v>
      </c>
      <c r="B670" s="9" t="s">
        <v>1447</v>
      </c>
      <c r="C670" s="9" t="s">
        <v>49</v>
      </c>
      <c r="D670" s="9" t="s">
        <v>50</v>
      </c>
      <c r="E670" s="9" t="s">
        <v>51</v>
      </c>
      <c r="F670" s="9" t="s">
        <v>52</v>
      </c>
      <c r="G670" s="9" t="s">
        <v>69</v>
      </c>
      <c r="H670" s="9"/>
      <c r="I670" s="9"/>
      <c r="J670" s="9"/>
      <c r="K670" s="9"/>
      <c r="L670" s="9" t="s">
        <v>3</v>
      </c>
      <c r="M670" s="9" t="s">
        <v>58</v>
      </c>
      <c r="N670" s="9" t="s">
        <v>66</v>
      </c>
    </row>
    <row r="671" spans="1:14" ht="28" x14ac:dyDescent="0.15">
      <c r="A671" s="9" t="s">
        <v>1454</v>
      </c>
      <c r="B671" s="9" t="s">
        <v>1447</v>
      </c>
      <c r="C671" s="9" t="s">
        <v>49</v>
      </c>
      <c r="D671" s="9" t="s">
        <v>50</v>
      </c>
      <c r="E671" s="9" t="s">
        <v>51</v>
      </c>
      <c r="F671" s="9" t="s">
        <v>52</v>
      </c>
      <c r="G671" s="9" t="s">
        <v>69</v>
      </c>
      <c r="H671" s="9"/>
      <c r="I671" s="9"/>
      <c r="J671" s="9"/>
      <c r="K671" s="9"/>
      <c r="L671" s="9" t="s">
        <v>3</v>
      </c>
      <c r="M671" s="9" t="s">
        <v>58</v>
      </c>
      <c r="N671" s="9" t="s">
        <v>66</v>
      </c>
    </row>
    <row r="672" spans="1:14" ht="28" x14ac:dyDescent="0.15">
      <c r="A672" s="9" t="s">
        <v>1455</v>
      </c>
      <c r="B672" s="9" t="s">
        <v>1447</v>
      </c>
      <c r="C672" s="9" t="s">
        <v>49</v>
      </c>
      <c r="D672" s="9" t="s">
        <v>61</v>
      </c>
      <c r="E672" s="9" t="s">
        <v>51</v>
      </c>
      <c r="F672" s="9" t="s">
        <v>52</v>
      </c>
      <c r="G672" s="9" t="s">
        <v>69</v>
      </c>
      <c r="H672" s="9"/>
      <c r="I672" s="9"/>
      <c r="J672" s="9"/>
      <c r="K672" s="9"/>
      <c r="L672" s="9" t="s">
        <v>3</v>
      </c>
      <c r="M672" s="9" t="s">
        <v>58</v>
      </c>
      <c r="N672" s="9" t="s">
        <v>66</v>
      </c>
    </row>
    <row r="673" spans="1:14" ht="28" x14ac:dyDescent="0.15">
      <c r="A673" s="9" t="s">
        <v>1456</v>
      </c>
      <c r="B673" s="9" t="s">
        <v>1447</v>
      </c>
      <c r="C673" s="9" t="s">
        <v>49</v>
      </c>
      <c r="D673" s="9" t="s">
        <v>61</v>
      </c>
      <c r="E673" s="9" t="s">
        <v>51</v>
      </c>
      <c r="F673" s="9" t="s">
        <v>52</v>
      </c>
      <c r="G673" s="9" t="s">
        <v>69</v>
      </c>
      <c r="H673" s="9"/>
      <c r="I673" s="9"/>
      <c r="J673" s="9"/>
      <c r="K673" s="9"/>
      <c r="L673" s="9" t="s">
        <v>3</v>
      </c>
      <c r="M673" s="9" t="s">
        <v>58</v>
      </c>
      <c r="N673" s="9" t="s">
        <v>66</v>
      </c>
    </row>
    <row r="674" spans="1:14" ht="28" x14ac:dyDescent="0.15">
      <c r="A674" s="9" t="s">
        <v>1457</v>
      </c>
      <c r="B674" s="9" t="s">
        <v>1447</v>
      </c>
      <c r="C674" s="9" t="s">
        <v>49</v>
      </c>
      <c r="D674" s="9" t="s">
        <v>61</v>
      </c>
      <c r="E674" s="9" t="s">
        <v>51</v>
      </c>
      <c r="F674" s="9" t="s">
        <v>52</v>
      </c>
      <c r="G674" s="9" t="s">
        <v>69</v>
      </c>
      <c r="H674" s="9"/>
      <c r="I674" s="9"/>
      <c r="J674" s="9"/>
      <c r="K674" s="9"/>
      <c r="L674" s="9" t="s">
        <v>3</v>
      </c>
      <c r="M674" s="9" t="s">
        <v>58</v>
      </c>
      <c r="N674" s="9" t="s">
        <v>66</v>
      </c>
    </row>
    <row r="675" spans="1:14" ht="28" x14ac:dyDescent="0.15">
      <c r="A675" s="9" t="s">
        <v>1458</v>
      </c>
      <c r="B675" s="9" t="s">
        <v>1447</v>
      </c>
      <c r="C675" s="9" t="s">
        <v>49</v>
      </c>
      <c r="D675" s="9" t="s">
        <v>61</v>
      </c>
      <c r="E675" s="9" t="s">
        <v>51</v>
      </c>
      <c r="F675" s="9" t="s">
        <v>52</v>
      </c>
      <c r="G675" s="9" t="s">
        <v>69</v>
      </c>
      <c r="H675" s="9"/>
      <c r="I675" s="9"/>
      <c r="J675" s="9"/>
      <c r="K675" s="9"/>
      <c r="L675" s="9" t="s">
        <v>3</v>
      </c>
      <c r="M675" s="9" t="s">
        <v>58</v>
      </c>
      <c r="N675" s="9" t="s">
        <v>66</v>
      </c>
    </row>
    <row r="676" spans="1:14" ht="28" x14ac:dyDescent="0.15">
      <c r="A676" s="9" t="s">
        <v>1459</v>
      </c>
      <c r="B676" s="9" t="s">
        <v>1447</v>
      </c>
      <c r="C676" s="9" t="s">
        <v>49</v>
      </c>
      <c r="D676" s="9" t="s">
        <v>61</v>
      </c>
      <c r="E676" s="9" t="s">
        <v>51</v>
      </c>
      <c r="F676" s="9" t="s">
        <v>52</v>
      </c>
      <c r="G676" s="9" t="s">
        <v>69</v>
      </c>
      <c r="H676" s="9"/>
      <c r="I676" s="9"/>
      <c r="J676" s="9"/>
      <c r="K676" s="9"/>
      <c r="L676" s="9" t="s">
        <v>3</v>
      </c>
      <c r="M676" s="9" t="s">
        <v>58</v>
      </c>
      <c r="N676" s="9" t="s">
        <v>66</v>
      </c>
    </row>
    <row r="677" spans="1:14" ht="28" x14ac:dyDescent="0.15">
      <c r="A677" s="9" t="s">
        <v>1460</v>
      </c>
      <c r="B677" s="9" t="s">
        <v>1447</v>
      </c>
      <c r="C677" s="9" t="s">
        <v>49</v>
      </c>
      <c r="D677" s="9" t="s">
        <v>61</v>
      </c>
      <c r="E677" s="9" t="s">
        <v>51</v>
      </c>
      <c r="F677" s="9" t="s">
        <v>52</v>
      </c>
      <c r="G677" s="9" t="s">
        <v>69</v>
      </c>
      <c r="H677" s="9"/>
      <c r="I677" s="9"/>
      <c r="J677" s="9"/>
      <c r="K677" s="9"/>
      <c r="L677" s="9" t="s">
        <v>3</v>
      </c>
      <c r="M677" s="9" t="s">
        <v>58</v>
      </c>
      <c r="N677" s="9" t="s">
        <v>66</v>
      </c>
    </row>
    <row r="678" spans="1:14" ht="28" x14ac:dyDescent="0.15">
      <c r="A678" s="9" t="s">
        <v>1461</v>
      </c>
      <c r="B678" s="9" t="s">
        <v>1447</v>
      </c>
      <c r="C678" s="9" t="s">
        <v>183</v>
      </c>
      <c r="D678" s="9" t="s">
        <v>197</v>
      </c>
      <c r="E678" s="9" t="s">
        <v>51</v>
      </c>
      <c r="F678" s="9" t="s">
        <v>52</v>
      </c>
      <c r="G678" s="9" t="s">
        <v>69</v>
      </c>
      <c r="H678" s="9"/>
      <c r="I678" s="9"/>
      <c r="J678" s="9"/>
      <c r="K678" s="9"/>
      <c r="L678" s="9" t="s">
        <v>3</v>
      </c>
      <c r="M678" s="9" t="s">
        <v>58</v>
      </c>
      <c r="N678" s="9" t="s">
        <v>66</v>
      </c>
    </row>
    <row r="679" spans="1:14" ht="28" x14ac:dyDescent="0.15">
      <c r="A679" s="9" t="s">
        <v>1462</v>
      </c>
      <c r="B679" s="9" t="s">
        <v>1447</v>
      </c>
      <c r="C679" s="9" t="s">
        <v>183</v>
      </c>
      <c r="D679" s="9" t="s">
        <v>197</v>
      </c>
      <c r="E679" s="9" t="s">
        <v>51</v>
      </c>
      <c r="F679" s="9" t="s">
        <v>52</v>
      </c>
      <c r="G679" s="9" t="s">
        <v>69</v>
      </c>
      <c r="H679" s="9"/>
      <c r="I679" s="9"/>
      <c r="J679" s="9"/>
      <c r="K679" s="9"/>
      <c r="L679" s="9" t="s">
        <v>3</v>
      </c>
      <c r="M679" s="9" t="s">
        <v>58</v>
      </c>
      <c r="N679" s="9" t="s">
        <v>66</v>
      </c>
    </row>
    <row r="680" spans="1:14" ht="28" x14ac:dyDescent="0.15">
      <c r="A680" s="9" t="s">
        <v>1463</v>
      </c>
      <c r="B680" s="9" t="s">
        <v>1447</v>
      </c>
      <c r="C680" s="9" t="s">
        <v>183</v>
      </c>
      <c r="D680" s="9" t="s">
        <v>197</v>
      </c>
      <c r="E680" s="9" t="s">
        <v>51</v>
      </c>
      <c r="F680" s="9" t="s">
        <v>52</v>
      </c>
      <c r="G680" s="9" t="s">
        <v>69</v>
      </c>
      <c r="H680" s="9"/>
      <c r="I680" s="9"/>
      <c r="J680" s="9"/>
      <c r="K680" s="9"/>
      <c r="L680" s="9" t="s">
        <v>3</v>
      </c>
      <c r="M680" s="9" t="s">
        <v>58</v>
      </c>
      <c r="N680" s="9" t="s">
        <v>66</v>
      </c>
    </row>
    <row r="681" spans="1:14" ht="28" x14ac:dyDescent="0.15">
      <c r="A681" s="9" t="s">
        <v>1464</v>
      </c>
      <c r="B681" s="9" t="s">
        <v>1447</v>
      </c>
      <c r="C681" s="9" t="s">
        <v>183</v>
      </c>
      <c r="D681" s="9" t="s">
        <v>197</v>
      </c>
      <c r="E681" s="9" t="s">
        <v>51</v>
      </c>
      <c r="F681" s="9" t="s">
        <v>52</v>
      </c>
      <c r="G681" s="9" t="s">
        <v>69</v>
      </c>
      <c r="H681" s="9"/>
      <c r="I681" s="9"/>
      <c r="J681" s="9"/>
      <c r="K681" s="9"/>
      <c r="L681" s="9" t="s">
        <v>3</v>
      </c>
      <c r="M681" s="9" t="s">
        <v>58</v>
      </c>
      <c r="N681" s="9" t="s">
        <v>66</v>
      </c>
    </row>
    <row r="682" spans="1:14" ht="28" x14ac:dyDescent="0.15">
      <c r="A682" s="9" t="s">
        <v>1465</v>
      </c>
      <c r="B682" s="9" t="s">
        <v>1447</v>
      </c>
      <c r="C682" s="9" t="s">
        <v>183</v>
      </c>
      <c r="D682" s="9" t="s">
        <v>197</v>
      </c>
      <c r="E682" s="9" t="s">
        <v>51</v>
      </c>
      <c r="F682" s="9" t="s">
        <v>52</v>
      </c>
      <c r="G682" s="9" t="s">
        <v>69</v>
      </c>
      <c r="H682" s="9"/>
      <c r="I682" s="9"/>
      <c r="J682" s="9"/>
      <c r="K682" s="9"/>
      <c r="L682" s="9" t="s">
        <v>3</v>
      </c>
      <c r="M682" s="9" t="s">
        <v>58</v>
      </c>
      <c r="N682" s="9" t="s">
        <v>66</v>
      </c>
    </row>
    <row r="683" spans="1:14" ht="28" x14ac:dyDescent="0.15">
      <c r="A683" s="9" t="s">
        <v>1466</v>
      </c>
      <c r="B683" s="9" t="s">
        <v>1447</v>
      </c>
      <c r="C683" s="9" t="s">
        <v>183</v>
      </c>
      <c r="D683" s="9" t="s">
        <v>197</v>
      </c>
      <c r="E683" s="9" t="s">
        <v>51</v>
      </c>
      <c r="F683" s="9" t="s">
        <v>52</v>
      </c>
      <c r="G683" s="9" t="s">
        <v>69</v>
      </c>
      <c r="H683" s="9"/>
      <c r="I683" s="9"/>
      <c r="J683" s="9"/>
      <c r="K683" s="9"/>
      <c r="L683" s="9" t="s">
        <v>3</v>
      </c>
      <c r="M683" s="9" t="s">
        <v>58</v>
      </c>
      <c r="N683" s="9" t="s">
        <v>66</v>
      </c>
    </row>
    <row r="684" spans="1:14" ht="28" x14ac:dyDescent="0.15">
      <c r="A684" s="9" t="s">
        <v>1467</v>
      </c>
      <c r="B684" s="9" t="s">
        <v>1447</v>
      </c>
      <c r="C684" s="9" t="s">
        <v>183</v>
      </c>
      <c r="D684" s="9" t="s">
        <v>197</v>
      </c>
      <c r="E684" s="9" t="s">
        <v>51</v>
      </c>
      <c r="F684" s="9" t="s">
        <v>52</v>
      </c>
      <c r="G684" s="9" t="s">
        <v>69</v>
      </c>
      <c r="H684" s="9"/>
      <c r="I684" s="9"/>
      <c r="J684" s="9"/>
      <c r="K684" s="9"/>
      <c r="L684" s="9" t="s">
        <v>3</v>
      </c>
      <c r="M684" s="9" t="s">
        <v>58</v>
      </c>
      <c r="N684" s="9" t="s">
        <v>66</v>
      </c>
    </row>
    <row r="685" spans="1:14" ht="28" x14ac:dyDescent="0.15">
      <c r="A685" s="9" t="s">
        <v>1468</v>
      </c>
      <c r="B685" s="9" t="s">
        <v>1447</v>
      </c>
      <c r="C685" s="9" t="s">
        <v>183</v>
      </c>
      <c r="D685" s="9" t="s">
        <v>197</v>
      </c>
      <c r="E685" s="9" t="s">
        <v>51</v>
      </c>
      <c r="F685" s="9" t="s">
        <v>52</v>
      </c>
      <c r="G685" s="9" t="s">
        <v>69</v>
      </c>
      <c r="H685" s="9"/>
      <c r="I685" s="9"/>
      <c r="J685" s="9"/>
      <c r="K685" s="9"/>
      <c r="L685" s="9" t="s">
        <v>3</v>
      </c>
      <c r="M685" s="9" t="s">
        <v>58</v>
      </c>
      <c r="N685" s="9" t="s">
        <v>66</v>
      </c>
    </row>
    <row r="686" spans="1:14" ht="28" x14ac:dyDescent="0.15">
      <c r="A686" s="9" t="s">
        <v>1469</v>
      </c>
      <c r="B686" s="9" t="s">
        <v>1447</v>
      </c>
      <c r="C686" s="9" t="s">
        <v>183</v>
      </c>
      <c r="D686" s="9" t="s">
        <v>197</v>
      </c>
      <c r="E686" s="9" t="s">
        <v>51</v>
      </c>
      <c r="F686" s="9" t="s">
        <v>52</v>
      </c>
      <c r="G686" s="9" t="s">
        <v>69</v>
      </c>
      <c r="H686" s="9"/>
      <c r="I686" s="9"/>
      <c r="J686" s="9"/>
      <c r="K686" s="9"/>
      <c r="L686" s="9" t="s">
        <v>3</v>
      </c>
      <c r="M686" s="9" t="s">
        <v>58</v>
      </c>
      <c r="N686" s="9" t="s">
        <v>66</v>
      </c>
    </row>
    <row r="687" spans="1:14" ht="28" x14ac:dyDescent="0.15">
      <c r="A687" s="9" t="s">
        <v>1470</v>
      </c>
      <c r="B687" s="9" t="s">
        <v>1447</v>
      </c>
      <c r="C687" s="9" t="s">
        <v>183</v>
      </c>
      <c r="D687" s="9" t="s">
        <v>197</v>
      </c>
      <c r="E687" s="9" t="s">
        <v>51</v>
      </c>
      <c r="F687" s="9" t="s">
        <v>52</v>
      </c>
      <c r="G687" s="9" t="s">
        <v>69</v>
      </c>
      <c r="H687" s="9"/>
      <c r="I687" s="9"/>
      <c r="J687" s="9"/>
      <c r="K687" s="9"/>
      <c r="L687" s="9" t="s">
        <v>3</v>
      </c>
      <c r="M687" s="9" t="s">
        <v>58</v>
      </c>
      <c r="N687" s="9" t="s">
        <v>66</v>
      </c>
    </row>
    <row r="688" spans="1:14" ht="28" x14ac:dyDescent="0.15">
      <c r="A688" s="9" t="s">
        <v>1471</v>
      </c>
      <c r="B688" s="9" t="s">
        <v>1447</v>
      </c>
      <c r="C688" s="9" t="s">
        <v>93</v>
      </c>
      <c r="D688" s="9" t="s">
        <v>96</v>
      </c>
      <c r="E688" s="9" t="s">
        <v>51</v>
      </c>
      <c r="F688" s="9" t="s">
        <v>52</v>
      </c>
      <c r="G688" s="9" t="s">
        <v>69</v>
      </c>
      <c r="H688" s="9"/>
      <c r="I688" s="9"/>
      <c r="J688" s="9"/>
      <c r="K688" s="9"/>
      <c r="L688" s="9" t="s">
        <v>3</v>
      </c>
      <c r="M688" s="9" t="s">
        <v>58</v>
      </c>
      <c r="N688" s="9" t="s">
        <v>66</v>
      </c>
    </row>
    <row r="689" spans="1:14" ht="28" x14ac:dyDescent="0.15">
      <c r="A689" s="9" t="s">
        <v>1472</v>
      </c>
      <c r="B689" s="9" t="s">
        <v>1447</v>
      </c>
      <c r="C689" s="9" t="s">
        <v>93</v>
      </c>
      <c r="D689" s="9" t="s">
        <v>96</v>
      </c>
      <c r="E689" s="9" t="s">
        <v>51</v>
      </c>
      <c r="F689" s="9" t="s">
        <v>52</v>
      </c>
      <c r="G689" s="9" t="s">
        <v>69</v>
      </c>
      <c r="H689" s="9"/>
      <c r="I689" s="9"/>
      <c r="J689" s="9"/>
      <c r="K689" s="9"/>
      <c r="L689" s="9" t="s">
        <v>3</v>
      </c>
      <c r="M689" s="9" t="s">
        <v>58</v>
      </c>
      <c r="N689" s="9" t="s">
        <v>66</v>
      </c>
    </row>
    <row r="690" spans="1:14" ht="28" x14ac:dyDescent="0.15">
      <c r="A690" s="9" t="s">
        <v>1473</v>
      </c>
      <c r="B690" s="9" t="s">
        <v>1447</v>
      </c>
      <c r="C690" s="9" t="s">
        <v>93</v>
      </c>
      <c r="D690" s="9" t="s">
        <v>96</v>
      </c>
      <c r="E690" s="9" t="s">
        <v>51</v>
      </c>
      <c r="F690" s="9" t="s">
        <v>52</v>
      </c>
      <c r="G690" s="9" t="s">
        <v>69</v>
      </c>
      <c r="H690" s="9"/>
      <c r="I690" s="9"/>
      <c r="J690" s="9"/>
      <c r="K690" s="9"/>
      <c r="L690" s="9" t="s">
        <v>3</v>
      </c>
      <c r="M690" s="9" t="s">
        <v>58</v>
      </c>
      <c r="N690" s="9" t="s">
        <v>66</v>
      </c>
    </row>
    <row r="691" spans="1:14" ht="28" x14ac:dyDescent="0.15">
      <c r="A691" s="9" t="s">
        <v>1474</v>
      </c>
      <c r="B691" s="9" t="s">
        <v>1447</v>
      </c>
      <c r="C691" s="9" t="s">
        <v>93</v>
      </c>
      <c r="D691" s="9" t="s">
        <v>96</v>
      </c>
      <c r="E691" s="9" t="s">
        <v>51</v>
      </c>
      <c r="F691" s="9" t="s">
        <v>52</v>
      </c>
      <c r="G691" s="9" t="s">
        <v>69</v>
      </c>
      <c r="H691" s="9"/>
      <c r="I691" s="9"/>
      <c r="J691" s="9"/>
      <c r="K691" s="9"/>
      <c r="L691" s="9" t="s">
        <v>3</v>
      </c>
      <c r="M691" s="9" t="s">
        <v>58</v>
      </c>
      <c r="N691" s="9" t="s">
        <v>66</v>
      </c>
    </row>
    <row r="692" spans="1:14" ht="28" x14ac:dyDescent="0.15">
      <c r="A692" s="9" t="s">
        <v>1475</v>
      </c>
      <c r="B692" s="9" t="s">
        <v>1447</v>
      </c>
      <c r="C692" s="9" t="s">
        <v>93</v>
      </c>
      <c r="D692" s="9" t="s">
        <v>96</v>
      </c>
      <c r="E692" s="9" t="s">
        <v>51</v>
      </c>
      <c r="F692" s="9" t="s">
        <v>52</v>
      </c>
      <c r="G692" s="9" t="s">
        <v>69</v>
      </c>
      <c r="H692" s="9"/>
      <c r="I692" s="9"/>
      <c r="J692" s="9"/>
      <c r="K692" s="9"/>
      <c r="L692" s="9" t="s">
        <v>3</v>
      </c>
      <c r="M692" s="9" t="s">
        <v>58</v>
      </c>
      <c r="N692" s="9" t="s">
        <v>66</v>
      </c>
    </row>
    <row r="693" spans="1:14" ht="28" x14ac:dyDescent="0.15">
      <c r="A693" s="9" t="s">
        <v>1476</v>
      </c>
      <c r="B693" s="9" t="s">
        <v>1447</v>
      </c>
      <c r="C693" s="9" t="s">
        <v>93</v>
      </c>
      <c r="D693" s="9" t="s">
        <v>96</v>
      </c>
      <c r="E693" s="9" t="s">
        <v>51</v>
      </c>
      <c r="F693" s="9" t="s">
        <v>52</v>
      </c>
      <c r="G693" s="9" t="s">
        <v>69</v>
      </c>
      <c r="H693" s="9"/>
      <c r="I693" s="9"/>
      <c r="J693" s="9"/>
      <c r="K693" s="9"/>
      <c r="L693" s="9" t="s">
        <v>3</v>
      </c>
      <c r="M693" s="9" t="s">
        <v>58</v>
      </c>
      <c r="N693" s="9" t="s">
        <v>66</v>
      </c>
    </row>
    <row r="694" spans="1:14" ht="28" x14ac:dyDescent="0.15">
      <c r="A694" s="9" t="s">
        <v>1477</v>
      </c>
      <c r="B694" s="9" t="s">
        <v>1447</v>
      </c>
      <c r="C694" s="9" t="s">
        <v>93</v>
      </c>
      <c r="D694" s="9" t="s">
        <v>96</v>
      </c>
      <c r="E694" s="9" t="s">
        <v>51</v>
      </c>
      <c r="F694" s="9" t="s">
        <v>52</v>
      </c>
      <c r="G694" s="9" t="s">
        <v>69</v>
      </c>
      <c r="H694" s="9"/>
      <c r="I694" s="9"/>
      <c r="J694" s="9"/>
      <c r="K694" s="9"/>
      <c r="L694" s="9" t="s">
        <v>3</v>
      </c>
      <c r="M694" s="9" t="s">
        <v>58</v>
      </c>
      <c r="N694" s="9" t="s">
        <v>66</v>
      </c>
    </row>
    <row r="695" spans="1:14" ht="28" x14ac:dyDescent="0.15">
      <c r="A695" s="9" t="s">
        <v>1478</v>
      </c>
      <c r="B695" s="9" t="s">
        <v>1447</v>
      </c>
      <c r="C695" s="9" t="s">
        <v>93</v>
      </c>
      <c r="D695" s="9" t="s">
        <v>96</v>
      </c>
      <c r="E695" s="9" t="s">
        <v>51</v>
      </c>
      <c r="F695" s="9" t="s">
        <v>52</v>
      </c>
      <c r="G695" s="9" t="s">
        <v>69</v>
      </c>
      <c r="H695" s="9"/>
      <c r="I695" s="9"/>
      <c r="J695" s="9"/>
      <c r="K695" s="9"/>
      <c r="L695" s="9" t="s">
        <v>3</v>
      </c>
      <c r="M695" s="9" t="s">
        <v>58</v>
      </c>
      <c r="N695" s="9" t="s">
        <v>66</v>
      </c>
    </row>
    <row r="696" spans="1:14" ht="28" x14ac:dyDescent="0.15">
      <c r="A696" s="9" t="s">
        <v>1479</v>
      </c>
      <c r="B696" s="9" t="s">
        <v>1447</v>
      </c>
      <c r="C696" s="9" t="s">
        <v>93</v>
      </c>
      <c r="D696" s="9" t="s">
        <v>96</v>
      </c>
      <c r="E696" s="9" t="s">
        <v>51</v>
      </c>
      <c r="F696" s="9" t="s">
        <v>52</v>
      </c>
      <c r="G696" s="9" t="s">
        <v>69</v>
      </c>
      <c r="H696" s="9"/>
      <c r="I696" s="9"/>
      <c r="J696" s="9"/>
      <c r="K696" s="9"/>
      <c r="L696" s="9" t="s">
        <v>3</v>
      </c>
      <c r="M696" s="9" t="s">
        <v>58</v>
      </c>
      <c r="N696" s="9" t="s">
        <v>66</v>
      </c>
    </row>
    <row r="697" spans="1:14" ht="28" x14ac:dyDescent="0.15">
      <c r="A697" s="9" t="s">
        <v>1480</v>
      </c>
      <c r="B697" s="9" t="s">
        <v>1447</v>
      </c>
      <c r="C697" s="9" t="s">
        <v>93</v>
      </c>
      <c r="D697" s="9" t="s">
        <v>110</v>
      </c>
      <c r="E697" s="9" t="s">
        <v>51</v>
      </c>
      <c r="F697" s="9" t="s">
        <v>52</v>
      </c>
      <c r="G697" s="9" t="s">
        <v>69</v>
      </c>
      <c r="H697" s="9"/>
      <c r="I697" s="9"/>
      <c r="J697" s="9"/>
      <c r="K697" s="9"/>
      <c r="L697" s="9" t="s">
        <v>3</v>
      </c>
      <c r="M697" s="9" t="s">
        <v>58</v>
      </c>
      <c r="N697" s="9" t="s">
        <v>66</v>
      </c>
    </row>
    <row r="698" spans="1:14" ht="28" x14ac:dyDescent="0.15">
      <c r="A698" s="9" t="s">
        <v>1481</v>
      </c>
      <c r="B698" s="9" t="s">
        <v>1447</v>
      </c>
      <c r="C698" s="9" t="s">
        <v>93</v>
      </c>
      <c r="D698" s="9" t="s">
        <v>110</v>
      </c>
      <c r="E698" s="9" t="s">
        <v>51</v>
      </c>
      <c r="F698" s="9" t="s">
        <v>52</v>
      </c>
      <c r="G698" s="9" t="s">
        <v>69</v>
      </c>
      <c r="H698" s="9"/>
      <c r="I698" s="9"/>
      <c r="J698" s="9"/>
      <c r="K698" s="9"/>
      <c r="L698" s="9" t="s">
        <v>3</v>
      </c>
      <c r="M698" s="9" t="s">
        <v>58</v>
      </c>
      <c r="N698" s="9" t="s">
        <v>66</v>
      </c>
    </row>
    <row r="699" spans="1:14" ht="28" x14ac:dyDescent="0.15">
      <c r="A699" s="9" t="s">
        <v>1482</v>
      </c>
      <c r="B699" s="9" t="s">
        <v>1447</v>
      </c>
      <c r="C699" s="9" t="s">
        <v>93</v>
      </c>
      <c r="D699" s="9" t="s">
        <v>110</v>
      </c>
      <c r="E699" s="9" t="s">
        <v>51</v>
      </c>
      <c r="F699" s="9" t="s">
        <v>52</v>
      </c>
      <c r="G699" s="9" t="s">
        <v>69</v>
      </c>
      <c r="H699" s="9"/>
      <c r="I699" s="9"/>
      <c r="J699" s="9"/>
      <c r="K699" s="9"/>
      <c r="L699" s="9" t="s">
        <v>3</v>
      </c>
      <c r="M699" s="9" t="s">
        <v>58</v>
      </c>
      <c r="N699" s="9" t="s">
        <v>66</v>
      </c>
    </row>
    <row r="700" spans="1:14" ht="28" x14ac:dyDescent="0.15">
      <c r="A700" s="9" t="s">
        <v>1483</v>
      </c>
      <c r="B700" s="9" t="s">
        <v>1447</v>
      </c>
      <c r="C700" s="9" t="s">
        <v>93</v>
      </c>
      <c r="D700" s="9" t="s">
        <v>110</v>
      </c>
      <c r="E700" s="9" t="s">
        <v>51</v>
      </c>
      <c r="F700" s="9" t="s">
        <v>52</v>
      </c>
      <c r="G700" s="9" t="s">
        <v>69</v>
      </c>
      <c r="H700" s="9"/>
      <c r="I700" s="9"/>
      <c r="J700" s="9"/>
      <c r="K700" s="9"/>
      <c r="L700" s="9" t="s">
        <v>3</v>
      </c>
      <c r="M700" s="9" t="s">
        <v>58</v>
      </c>
      <c r="N700" s="9" t="s">
        <v>66</v>
      </c>
    </row>
    <row r="701" spans="1:14" ht="28" x14ac:dyDescent="0.15">
      <c r="A701" s="9" t="s">
        <v>1484</v>
      </c>
      <c r="B701" s="9" t="s">
        <v>1447</v>
      </c>
      <c r="C701" s="9" t="s">
        <v>93</v>
      </c>
      <c r="D701" s="9" t="s">
        <v>110</v>
      </c>
      <c r="E701" s="9" t="s">
        <v>51</v>
      </c>
      <c r="F701" s="9" t="s">
        <v>52</v>
      </c>
      <c r="G701" s="9" t="s">
        <v>69</v>
      </c>
      <c r="H701" s="9"/>
      <c r="I701" s="9"/>
      <c r="J701" s="9"/>
      <c r="K701" s="9"/>
      <c r="L701" s="9" t="s">
        <v>3</v>
      </c>
      <c r="M701" s="9" t="s">
        <v>58</v>
      </c>
      <c r="N701" s="9" t="s">
        <v>66</v>
      </c>
    </row>
    <row r="702" spans="1:14" ht="28" x14ac:dyDescent="0.15">
      <c r="A702" s="9" t="s">
        <v>1485</v>
      </c>
      <c r="B702" s="9" t="s">
        <v>1447</v>
      </c>
      <c r="C702" s="9" t="s">
        <v>93</v>
      </c>
      <c r="D702" s="9" t="s">
        <v>110</v>
      </c>
      <c r="E702" s="9" t="s">
        <v>51</v>
      </c>
      <c r="F702" s="9" t="s">
        <v>52</v>
      </c>
      <c r="G702" s="9" t="s">
        <v>69</v>
      </c>
      <c r="H702" s="9"/>
      <c r="I702" s="9"/>
      <c r="J702" s="9"/>
      <c r="K702" s="9"/>
      <c r="L702" s="9" t="s">
        <v>3</v>
      </c>
      <c r="M702" s="9" t="s">
        <v>58</v>
      </c>
      <c r="N702" s="9" t="s">
        <v>66</v>
      </c>
    </row>
    <row r="703" spans="1:14" ht="28" x14ac:dyDescent="0.15">
      <c r="A703" s="9" t="s">
        <v>1486</v>
      </c>
      <c r="B703" s="9" t="s">
        <v>1447</v>
      </c>
      <c r="C703" s="9" t="s">
        <v>93</v>
      </c>
      <c r="D703" s="9" t="s">
        <v>110</v>
      </c>
      <c r="E703" s="9" t="s">
        <v>51</v>
      </c>
      <c r="F703" s="9" t="s">
        <v>52</v>
      </c>
      <c r="G703" s="9" t="s">
        <v>69</v>
      </c>
      <c r="H703" s="9"/>
      <c r="I703" s="9"/>
      <c r="J703" s="9"/>
      <c r="K703" s="9"/>
      <c r="L703" s="9" t="s">
        <v>3</v>
      </c>
      <c r="M703" s="9" t="s">
        <v>58</v>
      </c>
      <c r="N703" s="9" t="s">
        <v>66</v>
      </c>
    </row>
    <row r="704" spans="1:14" ht="28" x14ac:dyDescent="0.15">
      <c r="A704" s="9" t="s">
        <v>1487</v>
      </c>
      <c r="B704" s="9" t="s">
        <v>1447</v>
      </c>
      <c r="C704" s="9" t="s">
        <v>93</v>
      </c>
      <c r="D704" s="9" t="s">
        <v>110</v>
      </c>
      <c r="E704" s="9" t="s">
        <v>51</v>
      </c>
      <c r="F704" s="9" t="s">
        <v>52</v>
      </c>
      <c r="G704" s="9" t="s">
        <v>69</v>
      </c>
      <c r="H704" s="9"/>
      <c r="I704" s="9"/>
      <c r="J704" s="9"/>
      <c r="K704" s="9"/>
      <c r="L704" s="9" t="s">
        <v>3</v>
      </c>
      <c r="M704" s="9" t="s">
        <v>58</v>
      </c>
      <c r="N704" s="9" t="s">
        <v>66</v>
      </c>
    </row>
    <row r="705" spans="1:14" ht="28" x14ac:dyDescent="0.15">
      <c r="A705" s="9" t="s">
        <v>1488</v>
      </c>
      <c r="B705" s="9" t="s">
        <v>1447</v>
      </c>
      <c r="C705" s="9" t="s">
        <v>93</v>
      </c>
      <c r="D705" s="9" t="s">
        <v>110</v>
      </c>
      <c r="E705" s="9" t="s">
        <v>51</v>
      </c>
      <c r="F705" s="9" t="s">
        <v>52</v>
      </c>
      <c r="G705" s="9" t="s">
        <v>69</v>
      </c>
      <c r="H705" s="9"/>
      <c r="I705" s="9"/>
      <c r="J705" s="9"/>
      <c r="K705" s="9"/>
      <c r="L705" s="9" t="s">
        <v>3</v>
      </c>
      <c r="M705" s="9" t="s">
        <v>58</v>
      </c>
      <c r="N705" s="9" t="s">
        <v>66</v>
      </c>
    </row>
    <row r="706" spans="1:14" ht="28" x14ac:dyDescent="0.15">
      <c r="A706" s="9" t="s">
        <v>1489</v>
      </c>
      <c r="B706" s="9" t="s">
        <v>1447</v>
      </c>
      <c r="C706" s="9" t="s">
        <v>93</v>
      </c>
      <c r="D706" s="9" t="s">
        <v>110</v>
      </c>
      <c r="E706" s="9" t="s">
        <v>51</v>
      </c>
      <c r="F706" s="9" t="s">
        <v>52</v>
      </c>
      <c r="G706" s="9" t="s">
        <v>69</v>
      </c>
      <c r="H706" s="9"/>
      <c r="I706" s="9"/>
      <c r="J706" s="9"/>
      <c r="K706" s="9"/>
      <c r="L706" s="9" t="s">
        <v>3</v>
      </c>
      <c r="M706" s="9" t="s">
        <v>58</v>
      </c>
      <c r="N706" s="9" t="s">
        <v>66</v>
      </c>
    </row>
    <row r="707" spans="1:14" ht="28" x14ac:dyDescent="0.15">
      <c r="A707" s="9" t="s">
        <v>1490</v>
      </c>
      <c r="B707" s="9" t="s">
        <v>1447</v>
      </c>
      <c r="C707" s="9"/>
      <c r="D707" s="9"/>
      <c r="E707" s="9" t="s">
        <v>51</v>
      </c>
      <c r="F707" s="9" t="s">
        <v>52</v>
      </c>
      <c r="G707" s="9" t="s">
        <v>69</v>
      </c>
      <c r="H707" s="9"/>
      <c r="I707" s="9"/>
      <c r="J707" s="9"/>
      <c r="K707" s="9"/>
      <c r="L707" s="9" t="s">
        <v>3</v>
      </c>
      <c r="M707" s="9" t="s">
        <v>58</v>
      </c>
      <c r="N707" s="9" t="s">
        <v>66</v>
      </c>
    </row>
    <row r="708" spans="1:14" ht="28" x14ac:dyDescent="0.15">
      <c r="A708" s="9" t="s">
        <v>1491</v>
      </c>
      <c r="B708" s="9" t="s">
        <v>1447</v>
      </c>
      <c r="C708" s="9" t="s">
        <v>49</v>
      </c>
      <c r="D708" s="9"/>
      <c r="E708" s="9" t="s">
        <v>51</v>
      </c>
      <c r="F708" s="9" t="s">
        <v>52</v>
      </c>
      <c r="G708" s="9" t="s">
        <v>69</v>
      </c>
      <c r="H708" s="9"/>
      <c r="I708" s="9"/>
      <c r="J708" s="9"/>
      <c r="K708" s="9"/>
      <c r="L708" s="9" t="s">
        <v>3</v>
      </c>
      <c r="M708" s="9" t="s">
        <v>58</v>
      </c>
      <c r="N708" s="9" t="s">
        <v>66</v>
      </c>
    </row>
    <row r="709" spans="1:14" ht="28" x14ac:dyDescent="0.15">
      <c r="A709" s="9" t="s">
        <v>1491</v>
      </c>
      <c r="B709" s="9" t="s">
        <v>1447</v>
      </c>
      <c r="C709" s="9"/>
      <c r="D709" s="9" t="s">
        <v>1492</v>
      </c>
      <c r="E709" s="9" t="s">
        <v>51</v>
      </c>
      <c r="F709" s="9" t="s">
        <v>52</v>
      </c>
      <c r="G709" s="9" t="s">
        <v>69</v>
      </c>
      <c r="H709" s="9"/>
      <c r="I709" s="9"/>
      <c r="J709" s="9"/>
      <c r="K709" s="9"/>
      <c r="L709" s="9" t="s">
        <v>3</v>
      </c>
      <c r="M709" s="9" t="s">
        <v>58</v>
      </c>
      <c r="N709" s="9" t="s">
        <v>66</v>
      </c>
    </row>
    <row r="710" spans="1:14" ht="28" x14ac:dyDescent="0.15">
      <c r="A710" s="9" t="s">
        <v>1493</v>
      </c>
      <c r="B710" s="9" t="s">
        <v>1447</v>
      </c>
      <c r="C710" s="9"/>
      <c r="D710" s="9"/>
      <c r="E710" s="9" t="s">
        <v>51</v>
      </c>
      <c r="F710" s="9" t="s">
        <v>52</v>
      </c>
      <c r="G710" s="9" t="s">
        <v>69</v>
      </c>
      <c r="H710" s="9"/>
      <c r="I710" s="9"/>
      <c r="J710" s="9"/>
      <c r="K710" s="9"/>
      <c r="L710" s="9" t="s">
        <v>3</v>
      </c>
      <c r="M710" s="9" t="s">
        <v>58</v>
      </c>
      <c r="N710" s="9" t="s">
        <v>66</v>
      </c>
    </row>
    <row r="711" spans="1:14" ht="28" x14ac:dyDescent="0.15">
      <c r="A711" s="9" t="s">
        <v>1491</v>
      </c>
      <c r="B711" s="9" t="s">
        <v>1447</v>
      </c>
      <c r="C711" s="9"/>
      <c r="D711" s="9"/>
      <c r="E711" s="9" t="s">
        <v>51</v>
      </c>
      <c r="F711" s="9" t="s">
        <v>52</v>
      </c>
      <c r="G711" s="9" t="s">
        <v>69</v>
      </c>
      <c r="H711" s="9"/>
      <c r="I711" s="9"/>
      <c r="J711" s="9"/>
      <c r="K711" s="9"/>
      <c r="L711" s="9" t="s">
        <v>3</v>
      </c>
      <c r="M711" s="9" t="s">
        <v>58</v>
      </c>
      <c r="N711" s="9" t="s">
        <v>66</v>
      </c>
    </row>
    <row r="712" spans="1:14" ht="28" x14ac:dyDescent="0.15">
      <c r="A712" s="9" t="s">
        <v>1491</v>
      </c>
      <c r="B712" s="9" t="s">
        <v>1447</v>
      </c>
      <c r="C712" s="9"/>
      <c r="D712" s="9"/>
      <c r="E712" s="9" t="s">
        <v>51</v>
      </c>
      <c r="F712" s="9" t="s">
        <v>52</v>
      </c>
      <c r="G712" s="9" t="s">
        <v>69</v>
      </c>
      <c r="H712" s="9"/>
      <c r="I712" s="9"/>
      <c r="J712" s="9"/>
      <c r="K712" s="9"/>
      <c r="L712" s="9" t="s">
        <v>3</v>
      </c>
      <c r="M712" s="9" t="s">
        <v>58</v>
      </c>
      <c r="N712" s="9" t="s">
        <v>66</v>
      </c>
    </row>
    <row r="713" spans="1:14" ht="28" x14ac:dyDescent="0.15">
      <c r="A713" s="9" t="s">
        <v>1491</v>
      </c>
      <c r="B713" s="9" t="s">
        <v>1447</v>
      </c>
      <c r="C713" s="9"/>
      <c r="D713" s="9"/>
      <c r="E713" s="9" t="s">
        <v>51</v>
      </c>
      <c r="F713" s="9" t="s">
        <v>52</v>
      </c>
      <c r="G713" s="9" t="s">
        <v>69</v>
      </c>
      <c r="H713" s="9"/>
      <c r="I713" s="9"/>
      <c r="J713" s="9"/>
      <c r="K713" s="9"/>
      <c r="L713" s="9" t="s">
        <v>3</v>
      </c>
      <c r="M713" s="9" t="s">
        <v>58</v>
      </c>
      <c r="N713" s="9" t="s">
        <v>66</v>
      </c>
    </row>
    <row r="714" spans="1:14" ht="28" x14ac:dyDescent="0.15">
      <c r="A714" s="9" t="s">
        <v>1491</v>
      </c>
      <c r="B714" s="9" t="s">
        <v>1447</v>
      </c>
      <c r="C714" s="9"/>
      <c r="D714" s="9"/>
      <c r="E714" s="9" t="s">
        <v>51</v>
      </c>
      <c r="F714" s="9" t="s">
        <v>52</v>
      </c>
      <c r="G714" s="9" t="s">
        <v>69</v>
      </c>
      <c r="H714" s="9"/>
      <c r="I714" s="9"/>
      <c r="J714" s="9"/>
      <c r="K714" s="9"/>
      <c r="L714" s="9" t="s">
        <v>3</v>
      </c>
      <c r="M714" s="9" t="s">
        <v>58</v>
      </c>
      <c r="N714" s="9" t="s">
        <v>66</v>
      </c>
    </row>
    <row r="715" spans="1:14" ht="28" x14ac:dyDescent="0.15">
      <c r="A715" s="9" t="s">
        <v>1491</v>
      </c>
      <c r="B715" s="9" t="s">
        <v>1447</v>
      </c>
      <c r="C715" s="9"/>
      <c r="D715" s="9"/>
      <c r="E715" s="9" t="s">
        <v>51</v>
      </c>
      <c r="F715" s="9" t="s">
        <v>52</v>
      </c>
      <c r="G715" s="9" t="s">
        <v>69</v>
      </c>
      <c r="H715" s="9"/>
      <c r="I715" s="9"/>
      <c r="J715" s="9"/>
      <c r="K715" s="9"/>
      <c r="L715" s="9" t="s">
        <v>3</v>
      </c>
      <c r="M715" s="9" t="s">
        <v>58</v>
      </c>
      <c r="N715" s="9" t="s">
        <v>66</v>
      </c>
    </row>
    <row r="716" spans="1:14" ht="28" x14ac:dyDescent="0.15">
      <c r="A716" s="9" t="s">
        <v>1491</v>
      </c>
      <c r="B716" s="9" t="s">
        <v>1447</v>
      </c>
      <c r="C716" s="9"/>
      <c r="D716" s="9"/>
      <c r="E716" s="9" t="s">
        <v>51</v>
      </c>
      <c r="F716" s="9" t="s">
        <v>52</v>
      </c>
      <c r="G716" s="9" t="s">
        <v>69</v>
      </c>
      <c r="H716" s="9"/>
      <c r="I716" s="9"/>
      <c r="J716" s="9"/>
      <c r="K716" s="9"/>
      <c r="L716" s="9" t="s">
        <v>3</v>
      </c>
      <c r="M716" s="9" t="s">
        <v>58</v>
      </c>
      <c r="N716" s="9" t="s">
        <v>66</v>
      </c>
    </row>
    <row r="717" spans="1:14" ht="28" x14ac:dyDescent="0.15">
      <c r="A717" s="9" t="s">
        <v>1491</v>
      </c>
      <c r="B717" s="9" t="s">
        <v>1447</v>
      </c>
      <c r="C717" s="9"/>
      <c r="D717" s="9"/>
      <c r="E717" s="9" t="s">
        <v>51</v>
      </c>
      <c r="F717" s="9" t="s">
        <v>52</v>
      </c>
      <c r="G717" s="9" t="s">
        <v>69</v>
      </c>
      <c r="H717" s="9"/>
      <c r="I717" s="9"/>
      <c r="J717" s="9"/>
      <c r="K717" s="9"/>
      <c r="L717" s="9" t="s">
        <v>3</v>
      </c>
      <c r="M717" s="9" t="s">
        <v>58</v>
      </c>
      <c r="N717" s="9" t="s">
        <v>66</v>
      </c>
    </row>
    <row r="718" spans="1:14" ht="28" x14ac:dyDescent="0.15">
      <c r="A718" s="9" t="s">
        <v>1491</v>
      </c>
      <c r="B718" s="9" t="s">
        <v>1447</v>
      </c>
      <c r="C718" s="9"/>
      <c r="D718" s="9"/>
      <c r="E718" s="9" t="s">
        <v>51</v>
      </c>
      <c r="F718" s="9" t="s">
        <v>52</v>
      </c>
      <c r="G718" s="9" t="s">
        <v>69</v>
      </c>
      <c r="H718" s="9"/>
      <c r="I718" s="9"/>
      <c r="J718" s="9"/>
      <c r="K718" s="9"/>
      <c r="L718" s="9" t="s">
        <v>3</v>
      </c>
      <c r="M718" s="9" t="s">
        <v>58</v>
      </c>
      <c r="N718" s="9" t="s">
        <v>66</v>
      </c>
    </row>
    <row r="719" spans="1:14" ht="28" x14ac:dyDescent="0.15">
      <c r="A719" s="9" t="s">
        <v>1491</v>
      </c>
      <c r="B719" s="9" t="s">
        <v>1447</v>
      </c>
      <c r="C719" s="9"/>
      <c r="D719" s="9"/>
      <c r="E719" s="9" t="s">
        <v>51</v>
      </c>
      <c r="F719" s="9" t="s">
        <v>52</v>
      </c>
      <c r="G719" s="9" t="s">
        <v>69</v>
      </c>
      <c r="H719" s="9"/>
      <c r="I719" s="9"/>
      <c r="J719" s="9"/>
      <c r="K719" s="9"/>
      <c r="L719" s="9" t="s">
        <v>3</v>
      </c>
      <c r="M719" s="9" t="s">
        <v>58</v>
      </c>
      <c r="N719" s="9" t="s">
        <v>66</v>
      </c>
    </row>
    <row r="720" spans="1:14" ht="28" x14ac:dyDescent="0.15">
      <c r="A720" s="9" t="s">
        <v>1491</v>
      </c>
      <c r="B720" s="9" t="s">
        <v>1447</v>
      </c>
      <c r="C720" s="9"/>
      <c r="D720" s="9"/>
      <c r="E720" s="9" t="s">
        <v>51</v>
      </c>
      <c r="F720" s="9" t="s">
        <v>52</v>
      </c>
      <c r="G720" s="9" t="s">
        <v>69</v>
      </c>
      <c r="H720" s="9"/>
      <c r="I720" s="9"/>
      <c r="J720" s="9"/>
      <c r="K720" s="9"/>
      <c r="L720" s="9" t="s">
        <v>3</v>
      </c>
      <c r="M720" s="9" t="s">
        <v>58</v>
      </c>
      <c r="N720" s="9" t="s">
        <v>66</v>
      </c>
    </row>
    <row r="721" spans="1:14" ht="28" x14ac:dyDescent="0.15">
      <c r="A721" s="9" t="s">
        <v>1491</v>
      </c>
      <c r="B721" s="9" t="s">
        <v>1447</v>
      </c>
      <c r="C721" s="9"/>
      <c r="D721" s="9"/>
      <c r="E721" s="9" t="s">
        <v>51</v>
      </c>
      <c r="F721" s="9" t="s">
        <v>52</v>
      </c>
      <c r="G721" s="9" t="s">
        <v>69</v>
      </c>
      <c r="H721" s="9"/>
      <c r="I721" s="9"/>
      <c r="J721" s="9"/>
      <c r="K721" s="9"/>
      <c r="L721" s="9" t="s">
        <v>3</v>
      </c>
      <c r="M721" s="9" t="s">
        <v>58</v>
      </c>
      <c r="N721" s="9" t="s">
        <v>66</v>
      </c>
    </row>
    <row r="722" spans="1:14" ht="28" x14ac:dyDescent="0.15">
      <c r="A722" s="9" t="s">
        <v>1491</v>
      </c>
      <c r="B722" s="9" t="s">
        <v>1447</v>
      </c>
      <c r="C722" s="9"/>
      <c r="D722" s="9"/>
      <c r="E722" s="9" t="s">
        <v>51</v>
      </c>
      <c r="F722" s="9" t="s">
        <v>52</v>
      </c>
      <c r="G722" s="9" t="s">
        <v>69</v>
      </c>
      <c r="H722" s="9"/>
      <c r="I722" s="9"/>
      <c r="J722" s="9"/>
      <c r="K722" s="9"/>
      <c r="L722" s="9" t="s">
        <v>3</v>
      </c>
      <c r="M722" s="9" t="s">
        <v>58</v>
      </c>
      <c r="N722" s="9" t="s">
        <v>66</v>
      </c>
    </row>
    <row r="723" spans="1:14" ht="28" x14ac:dyDescent="0.15">
      <c r="A723" s="9" t="s">
        <v>1490</v>
      </c>
      <c r="B723" s="9" t="s">
        <v>1447</v>
      </c>
      <c r="C723" s="9"/>
      <c r="D723" s="9"/>
      <c r="E723" s="9" t="s">
        <v>51</v>
      </c>
      <c r="F723" s="9" t="s">
        <v>52</v>
      </c>
      <c r="G723" s="9" t="s">
        <v>69</v>
      </c>
      <c r="H723" s="9"/>
      <c r="I723" s="9"/>
      <c r="J723" s="9"/>
      <c r="K723" s="9"/>
      <c r="L723" s="9" t="s">
        <v>3</v>
      </c>
      <c r="M723" s="9" t="s">
        <v>58</v>
      </c>
      <c r="N723" s="9" t="s">
        <v>66</v>
      </c>
    </row>
    <row r="724" spans="1:14" ht="28" x14ac:dyDescent="0.15">
      <c r="A724" s="9" t="s">
        <v>1491</v>
      </c>
      <c r="B724" s="9" t="s">
        <v>1447</v>
      </c>
      <c r="C724" s="9" t="s">
        <v>49</v>
      </c>
      <c r="D724" s="9"/>
      <c r="E724" s="9" t="s">
        <v>51</v>
      </c>
      <c r="F724" s="9" t="s">
        <v>52</v>
      </c>
      <c r="G724" s="9" t="s">
        <v>69</v>
      </c>
      <c r="H724" s="9"/>
      <c r="I724" s="9"/>
      <c r="J724" s="9"/>
      <c r="K724" s="9"/>
      <c r="L724" s="9" t="s">
        <v>3</v>
      </c>
      <c r="M724" s="9" t="s">
        <v>58</v>
      </c>
      <c r="N724" s="9" t="s">
        <v>66</v>
      </c>
    </row>
    <row r="725" spans="1:14" ht="28" x14ac:dyDescent="0.15">
      <c r="A725" s="9" t="s">
        <v>1491</v>
      </c>
      <c r="B725" s="9" t="s">
        <v>1447</v>
      </c>
      <c r="C725" s="9"/>
      <c r="D725" s="9" t="s">
        <v>1492</v>
      </c>
      <c r="E725" s="9" t="s">
        <v>51</v>
      </c>
      <c r="F725" s="9" t="s">
        <v>52</v>
      </c>
      <c r="G725" s="9" t="s">
        <v>69</v>
      </c>
      <c r="H725" s="9"/>
      <c r="I725" s="9"/>
      <c r="J725" s="9"/>
      <c r="K725" s="9"/>
      <c r="L725" s="9" t="s">
        <v>3</v>
      </c>
      <c r="M725" s="9" t="s">
        <v>58</v>
      </c>
      <c r="N725" s="9" t="s">
        <v>66</v>
      </c>
    </row>
    <row r="726" spans="1:14" ht="28" x14ac:dyDescent="0.15">
      <c r="A726" s="9" t="s">
        <v>1494</v>
      </c>
      <c r="B726" s="9" t="s">
        <v>1447</v>
      </c>
      <c r="C726" s="9"/>
      <c r="D726" s="9"/>
      <c r="E726" s="9" t="s">
        <v>51</v>
      </c>
      <c r="F726" s="9" t="s">
        <v>52</v>
      </c>
      <c r="G726" s="9" t="s">
        <v>69</v>
      </c>
      <c r="H726" s="9"/>
      <c r="I726" s="9"/>
      <c r="J726" s="9"/>
      <c r="K726" s="9"/>
      <c r="L726" s="9" t="s">
        <v>3</v>
      </c>
      <c r="M726" s="9" t="s">
        <v>58</v>
      </c>
      <c r="N726" s="9" t="s">
        <v>66</v>
      </c>
    </row>
    <row r="727" spans="1:14" ht="28" x14ac:dyDescent="0.15">
      <c r="A727" s="9" t="s">
        <v>1491</v>
      </c>
      <c r="B727" s="9" t="s">
        <v>1447</v>
      </c>
      <c r="C727" s="9"/>
      <c r="D727" s="9"/>
      <c r="E727" s="9" t="s">
        <v>51</v>
      </c>
      <c r="F727" s="9" t="s">
        <v>52</v>
      </c>
      <c r="G727" s="9" t="s">
        <v>69</v>
      </c>
      <c r="H727" s="9"/>
      <c r="I727" s="9"/>
      <c r="J727" s="9"/>
      <c r="K727" s="9"/>
      <c r="L727" s="9" t="s">
        <v>3</v>
      </c>
      <c r="M727" s="9" t="s">
        <v>58</v>
      </c>
      <c r="N727" s="9" t="s">
        <v>66</v>
      </c>
    </row>
    <row r="728" spans="1:14" ht="28" x14ac:dyDescent="0.15">
      <c r="A728" s="9" t="s">
        <v>1491</v>
      </c>
      <c r="B728" s="9" t="s">
        <v>1447</v>
      </c>
      <c r="C728" s="9"/>
      <c r="D728" s="9"/>
      <c r="E728" s="9" t="s">
        <v>51</v>
      </c>
      <c r="F728" s="9" t="s">
        <v>52</v>
      </c>
      <c r="G728" s="9" t="s">
        <v>69</v>
      </c>
      <c r="H728" s="9"/>
      <c r="I728" s="9"/>
      <c r="J728" s="9"/>
      <c r="K728" s="9"/>
      <c r="L728" s="9" t="s">
        <v>3</v>
      </c>
      <c r="M728" s="9" t="s">
        <v>58</v>
      </c>
      <c r="N728" s="9" t="s">
        <v>66</v>
      </c>
    </row>
    <row r="729" spans="1:14" ht="28" x14ac:dyDescent="0.15">
      <c r="A729" s="9" t="s">
        <v>1491</v>
      </c>
      <c r="B729" s="9" t="s">
        <v>1447</v>
      </c>
      <c r="C729" s="9"/>
      <c r="D729" s="9"/>
      <c r="E729" s="9" t="s">
        <v>51</v>
      </c>
      <c r="F729" s="9" t="s">
        <v>52</v>
      </c>
      <c r="G729" s="9" t="s">
        <v>69</v>
      </c>
      <c r="H729" s="9"/>
      <c r="I729" s="9"/>
      <c r="J729" s="9"/>
      <c r="K729" s="9"/>
      <c r="L729" s="9" t="s">
        <v>3</v>
      </c>
      <c r="M729" s="9" t="s">
        <v>58</v>
      </c>
      <c r="N729" s="9" t="s">
        <v>66</v>
      </c>
    </row>
    <row r="730" spans="1:14" ht="28" x14ac:dyDescent="0.15">
      <c r="A730" s="9" t="s">
        <v>1491</v>
      </c>
      <c r="B730" s="9" t="s">
        <v>1447</v>
      </c>
      <c r="C730" s="9"/>
      <c r="D730" s="9"/>
      <c r="E730" s="9" t="s">
        <v>51</v>
      </c>
      <c r="F730" s="9" t="s">
        <v>52</v>
      </c>
      <c r="G730" s="9" t="s">
        <v>69</v>
      </c>
      <c r="H730" s="9"/>
      <c r="I730" s="9"/>
      <c r="J730" s="9"/>
      <c r="K730" s="9"/>
      <c r="L730" s="9" t="s">
        <v>3</v>
      </c>
      <c r="M730" s="9" t="s">
        <v>58</v>
      </c>
      <c r="N730" s="9" t="s">
        <v>66</v>
      </c>
    </row>
    <row r="731" spans="1:14" ht="28" x14ac:dyDescent="0.15">
      <c r="A731" s="9" t="s">
        <v>1491</v>
      </c>
      <c r="B731" s="9" t="s">
        <v>1447</v>
      </c>
      <c r="C731" s="9"/>
      <c r="D731" s="9"/>
      <c r="E731" s="9" t="s">
        <v>51</v>
      </c>
      <c r="F731" s="9" t="s">
        <v>52</v>
      </c>
      <c r="G731" s="9" t="s">
        <v>69</v>
      </c>
      <c r="H731" s="9"/>
      <c r="I731" s="9"/>
      <c r="J731" s="9"/>
      <c r="K731" s="9"/>
      <c r="L731" s="9" t="s">
        <v>3</v>
      </c>
      <c r="M731" s="9" t="s">
        <v>58</v>
      </c>
      <c r="N731" s="9" t="s">
        <v>66</v>
      </c>
    </row>
    <row r="732" spans="1:14" ht="28" x14ac:dyDescent="0.15">
      <c r="A732" s="9" t="s">
        <v>1491</v>
      </c>
      <c r="B732" s="9" t="s">
        <v>1447</v>
      </c>
      <c r="C732" s="9"/>
      <c r="D732" s="9"/>
      <c r="E732" s="9" t="s">
        <v>51</v>
      </c>
      <c r="F732" s="9" t="s">
        <v>52</v>
      </c>
      <c r="G732" s="9" t="s">
        <v>69</v>
      </c>
      <c r="H732" s="9"/>
      <c r="I732" s="9"/>
      <c r="J732" s="9"/>
      <c r="K732" s="9"/>
      <c r="L732" s="9" t="s">
        <v>3</v>
      </c>
      <c r="M732" s="9" t="s">
        <v>58</v>
      </c>
      <c r="N732" s="9" t="s">
        <v>66</v>
      </c>
    </row>
    <row r="733" spans="1:14" ht="28" x14ac:dyDescent="0.15">
      <c r="A733" s="9" t="s">
        <v>1491</v>
      </c>
      <c r="B733" s="9" t="s">
        <v>1447</v>
      </c>
      <c r="C733" s="9"/>
      <c r="D733" s="9"/>
      <c r="E733" s="9" t="s">
        <v>51</v>
      </c>
      <c r="F733" s="9" t="s">
        <v>52</v>
      </c>
      <c r="G733" s="9" t="s">
        <v>69</v>
      </c>
      <c r="H733" s="9"/>
      <c r="I733" s="9"/>
      <c r="J733" s="9"/>
      <c r="K733" s="9"/>
      <c r="L733" s="9" t="s">
        <v>3</v>
      </c>
      <c r="M733" s="9" t="s">
        <v>58</v>
      </c>
      <c r="N733" s="9" t="s">
        <v>66</v>
      </c>
    </row>
    <row r="734" spans="1:14" ht="28" x14ac:dyDescent="0.15">
      <c r="A734" s="9" t="s">
        <v>1491</v>
      </c>
      <c r="B734" s="9" t="s">
        <v>1447</v>
      </c>
      <c r="C734" s="9"/>
      <c r="D734" s="9"/>
      <c r="E734" s="9" t="s">
        <v>51</v>
      </c>
      <c r="F734" s="9" t="s">
        <v>52</v>
      </c>
      <c r="G734" s="9" t="s">
        <v>69</v>
      </c>
      <c r="H734" s="9"/>
      <c r="I734" s="9"/>
      <c r="J734" s="9"/>
      <c r="K734" s="9"/>
      <c r="L734" s="9" t="s">
        <v>3</v>
      </c>
      <c r="M734" s="9" t="s">
        <v>58</v>
      </c>
      <c r="N734" s="9" t="s">
        <v>66</v>
      </c>
    </row>
    <row r="735" spans="1:14" ht="28" x14ac:dyDescent="0.15">
      <c r="A735" s="9" t="s">
        <v>1491</v>
      </c>
      <c r="B735" s="9" t="s">
        <v>1447</v>
      </c>
      <c r="C735" s="9"/>
      <c r="D735" s="9"/>
      <c r="E735" s="9" t="s">
        <v>51</v>
      </c>
      <c r="F735" s="9" t="s">
        <v>52</v>
      </c>
      <c r="G735" s="9" t="s">
        <v>69</v>
      </c>
      <c r="H735" s="9"/>
      <c r="I735" s="9"/>
      <c r="J735" s="9"/>
      <c r="K735" s="9"/>
      <c r="L735" s="9" t="s">
        <v>3</v>
      </c>
      <c r="M735" s="9" t="s">
        <v>58</v>
      </c>
      <c r="N735" s="9" t="s">
        <v>66</v>
      </c>
    </row>
    <row r="736" spans="1:14" ht="28" x14ac:dyDescent="0.15">
      <c r="A736" s="9" t="s">
        <v>1491</v>
      </c>
      <c r="B736" s="9" t="s">
        <v>1447</v>
      </c>
      <c r="C736" s="9"/>
      <c r="D736" s="9"/>
      <c r="E736" s="9" t="s">
        <v>51</v>
      </c>
      <c r="F736" s="9" t="s">
        <v>52</v>
      </c>
      <c r="G736" s="9" t="s">
        <v>69</v>
      </c>
      <c r="H736" s="9"/>
      <c r="I736" s="9"/>
      <c r="J736" s="9"/>
      <c r="K736" s="9"/>
      <c r="L736" s="9" t="s">
        <v>3</v>
      </c>
      <c r="M736" s="9" t="s">
        <v>58</v>
      </c>
      <c r="N736" s="9" t="s">
        <v>66</v>
      </c>
    </row>
    <row r="737" spans="1:14" ht="28" x14ac:dyDescent="0.15">
      <c r="A737" s="9" t="s">
        <v>1491</v>
      </c>
      <c r="B737" s="9" t="s">
        <v>1447</v>
      </c>
      <c r="C737" s="9"/>
      <c r="D737" s="9"/>
      <c r="E737" s="9" t="s">
        <v>51</v>
      </c>
      <c r="F737" s="9" t="s">
        <v>52</v>
      </c>
      <c r="G737" s="9" t="s">
        <v>69</v>
      </c>
      <c r="H737" s="9"/>
      <c r="I737" s="9"/>
      <c r="J737" s="9"/>
      <c r="K737" s="9"/>
      <c r="L737" s="9" t="s">
        <v>3</v>
      </c>
      <c r="M737" s="9" t="s">
        <v>58</v>
      </c>
      <c r="N737" s="9" t="s">
        <v>66</v>
      </c>
    </row>
    <row r="738" spans="1:14" ht="28" x14ac:dyDescent="0.15">
      <c r="A738" s="9" t="s">
        <v>1491</v>
      </c>
      <c r="B738" s="9" t="s">
        <v>1447</v>
      </c>
      <c r="C738" s="9"/>
      <c r="D738" s="9"/>
      <c r="E738" s="9" t="s">
        <v>51</v>
      </c>
      <c r="F738" s="9" t="s">
        <v>52</v>
      </c>
      <c r="G738" s="9" t="s">
        <v>69</v>
      </c>
      <c r="H738" s="9"/>
      <c r="I738" s="9"/>
      <c r="J738" s="9"/>
      <c r="K738" s="9"/>
      <c r="L738" s="9" t="s">
        <v>3</v>
      </c>
      <c r="M738" s="9" t="s">
        <v>58</v>
      </c>
      <c r="N738" s="9" t="s">
        <v>66</v>
      </c>
    </row>
    <row r="739" spans="1:14" ht="28" x14ac:dyDescent="0.15">
      <c r="A739" s="9" t="s">
        <v>1490</v>
      </c>
      <c r="B739" s="9" t="s">
        <v>1447</v>
      </c>
      <c r="C739" s="9"/>
      <c r="D739" s="9"/>
      <c r="E739" s="9" t="s">
        <v>51</v>
      </c>
      <c r="F739" s="9" t="s">
        <v>52</v>
      </c>
      <c r="G739" s="9" t="s">
        <v>69</v>
      </c>
      <c r="H739" s="9"/>
      <c r="I739" s="9"/>
      <c r="J739" s="9"/>
      <c r="K739" s="9"/>
      <c r="L739" s="9" t="s">
        <v>3</v>
      </c>
      <c r="M739" s="9" t="s">
        <v>58</v>
      </c>
      <c r="N739" s="9" t="s">
        <v>66</v>
      </c>
    </row>
    <row r="740" spans="1:14" ht="28" x14ac:dyDescent="0.15">
      <c r="A740" s="9" t="s">
        <v>1491</v>
      </c>
      <c r="B740" s="9" t="s">
        <v>1447</v>
      </c>
      <c r="C740" s="9" t="s">
        <v>49</v>
      </c>
      <c r="D740" s="9"/>
      <c r="E740" s="9" t="s">
        <v>51</v>
      </c>
      <c r="F740" s="9" t="s">
        <v>52</v>
      </c>
      <c r="G740" s="9" t="s">
        <v>69</v>
      </c>
      <c r="H740" s="9"/>
      <c r="I740" s="9"/>
      <c r="J740" s="9"/>
      <c r="K740" s="9"/>
      <c r="L740" s="9" t="s">
        <v>3</v>
      </c>
      <c r="M740" s="9" t="s">
        <v>58</v>
      </c>
      <c r="N740" s="9" t="s">
        <v>66</v>
      </c>
    </row>
    <row r="741" spans="1:14" ht="28" x14ac:dyDescent="0.15">
      <c r="A741" s="9" t="s">
        <v>1491</v>
      </c>
      <c r="B741" s="9" t="s">
        <v>1447</v>
      </c>
      <c r="C741" s="9"/>
      <c r="D741" s="9" t="s">
        <v>1492</v>
      </c>
      <c r="E741" s="9" t="s">
        <v>51</v>
      </c>
      <c r="F741" s="9" t="s">
        <v>52</v>
      </c>
      <c r="G741" s="9" t="s">
        <v>69</v>
      </c>
      <c r="H741" s="9"/>
      <c r="I741" s="9"/>
      <c r="J741" s="9"/>
      <c r="K741" s="9"/>
      <c r="L741" s="9" t="s">
        <v>3</v>
      </c>
      <c r="M741" s="9" t="s">
        <v>58</v>
      </c>
      <c r="N741" s="9" t="s">
        <v>66</v>
      </c>
    </row>
    <row r="742" spans="1:14" ht="28" x14ac:dyDescent="0.15">
      <c r="A742" s="9" t="s">
        <v>1495</v>
      </c>
      <c r="B742" s="9" t="s">
        <v>1447</v>
      </c>
      <c r="C742" s="9"/>
      <c r="D742" s="9"/>
      <c r="E742" s="9" t="s">
        <v>51</v>
      </c>
      <c r="F742" s="9" t="s">
        <v>52</v>
      </c>
      <c r="G742" s="9" t="s">
        <v>69</v>
      </c>
      <c r="H742" s="9"/>
      <c r="I742" s="9"/>
      <c r="J742" s="9"/>
      <c r="K742" s="9"/>
      <c r="L742" s="9" t="s">
        <v>3</v>
      </c>
      <c r="M742" s="9" t="s">
        <v>58</v>
      </c>
      <c r="N742" s="9" t="s">
        <v>66</v>
      </c>
    </row>
    <row r="743" spans="1:14" ht="28" x14ac:dyDescent="0.15">
      <c r="A743" s="9" t="s">
        <v>1491</v>
      </c>
      <c r="B743" s="9" t="s">
        <v>1447</v>
      </c>
      <c r="C743" s="9"/>
      <c r="D743" s="9"/>
      <c r="E743" s="9" t="s">
        <v>51</v>
      </c>
      <c r="F743" s="9" t="s">
        <v>52</v>
      </c>
      <c r="G743" s="9" t="s">
        <v>69</v>
      </c>
      <c r="H743" s="9"/>
      <c r="I743" s="9"/>
      <c r="J743" s="9"/>
      <c r="K743" s="9"/>
      <c r="L743" s="9" t="s">
        <v>3</v>
      </c>
      <c r="M743" s="9" t="s">
        <v>58</v>
      </c>
      <c r="N743" s="9" t="s">
        <v>66</v>
      </c>
    </row>
    <row r="744" spans="1:14" ht="28" x14ac:dyDescent="0.15">
      <c r="A744" s="9" t="s">
        <v>1491</v>
      </c>
      <c r="B744" s="9" t="s">
        <v>1447</v>
      </c>
      <c r="C744" s="9"/>
      <c r="D744" s="9"/>
      <c r="E744" s="9" t="s">
        <v>51</v>
      </c>
      <c r="F744" s="9" t="s">
        <v>52</v>
      </c>
      <c r="G744" s="9" t="s">
        <v>69</v>
      </c>
      <c r="H744" s="9"/>
      <c r="I744" s="9"/>
      <c r="J744" s="9"/>
      <c r="K744" s="9"/>
      <c r="L744" s="9" t="s">
        <v>3</v>
      </c>
      <c r="M744" s="9" t="s">
        <v>58</v>
      </c>
      <c r="N744" s="9" t="s">
        <v>66</v>
      </c>
    </row>
    <row r="745" spans="1:14" ht="28" x14ac:dyDescent="0.15">
      <c r="A745" s="9" t="s">
        <v>1491</v>
      </c>
      <c r="B745" s="9" t="s">
        <v>1447</v>
      </c>
      <c r="C745" s="9"/>
      <c r="D745" s="9"/>
      <c r="E745" s="9" t="s">
        <v>51</v>
      </c>
      <c r="F745" s="9" t="s">
        <v>52</v>
      </c>
      <c r="G745" s="9" t="s">
        <v>69</v>
      </c>
      <c r="H745" s="9"/>
      <c r="I745" s="9"/>
      <c r="J745" s="9"/>
      <c r="K745" s="9"/>
      <c r="L745" s="9" t="s">
        <v>3</v>
      </c>
      <c r="M745" s="9" t="s">
        <v>58</v>
      </c>
      <c r="N745" s="9" t="s">
        <v>66</v>
      </c>
    </row>
    <row r="746" spans="1:14" ht="28" x14ac:dyDescent="0.15">
      <c r="A746" s="9" t="s">
        <v>1491</v>
      </c>
      <c r="B746" s="9" t="s">
        <v>1447</v>
      </c>
      <c r="C746" s="9"/>
      <c r="D746" s="9"/>
      <c r="E746" s="9" t="s">
        <v>51</v>
      </c>
      <c r="F746" s="9" t="s">
        <v>52</v>
      </c>
      <c r="G746" s="9" t="s">
        <v>69</v>
      </c>
      <c r="H746" s="9"/>
      <c r="I746" s="9"/>
      <c r="J746" s="9"/>
      <c r="K746" s="9"/>
      <c r="L746" s="9" t="s">
        <v>3</v>
      </c>
      <c r="M746" s="9" t="s">
        <v>58</v>
      </c>
      <c r="N746" s="9" t="s">
        <v>66</v>
      </c>
    </row>
    <row r="747" spans="1:14" ht="28" x14ac:dyDescent="0.15">
      <c r="A747" s="9" t="s">
        <v>1491</v>
      </c>
      <c r="B747" s="9" t="s">
        <v>1447</v>
      </c>
      <c r="C747" s="9"/>
      <c r="D747" s="9"/>
      <c r="E747" s="9" t="s">
        <v>51</v>
      </c>
      <c r="F747" s="9" t="s">
        <v>52</v>
      </c>
      <c r="G747" s="9" t="s">
        <v>69</v>
      </c>
      <c r="H747" s="9"/>
      <c r="I747" s="9"/>
      <c r="J747" s="9"/>
      <c r="K747" s="9"/>
      <c r="L747" s="9" t="s">
        <v>3</v>
      </c>
      <c r="M747" s="9" t="s">
        <v>58</v>
      </c>
      <c r="N747" s="9" t="s">
        <v>66</v>
      </c>
    </row>
    <row r="748" spans="1:14" ht="28" x14ac:dyDescent="0.15">
      <c r="A748" s="9" t="s">
        <v>1491</v>
      </c>
      <c r="B748" s="9" t="s">
        <v>1447</v>
      </c>
      <c r="C748" s="9"/>
      <c r="D748" s="9"/>
      <c r="E748" s="9" t="s">
        <v>51</v>
      </c>
      <c r="F748" s="9" t="s">
        <v>52</v>
      </c>
      <c r="G748" s="9" t="s">
        <v>69</v>
      </c>
      <c r="H748" s="9"/>
      <c r="I748" s="9"/>
      <c r="J748" s="9"/>
      <c r="K748" s="9"/>
      <c r="L748" s="9" t="s">
        <v>3</v>
      </c>
      <c r="M748" s="9" t="s">
        <v>58</v>
      </c>
      <c r="N748" s="9" t="s">
        <v>66</v>
      </c>
    </row>
    <row r="749" spans="1:14" ht="28" x14ac:dyDescent="0.15">
      <c r="A749" s="9" t="s">
        <v>1491</v>
      </c>
      <c r="B749" s="9" t="s">
        <v>1447</v>
      </c>
      <c r="C749" s="9"/>
      <c r="D749" s="9"/>
      <c r="E749" s="9" t="s">
        <v>51</v>
      </c>
      <c r="F749" s="9" t="s">
        <v>52</v>
      </c>
      <c r="G749" s="9" t="s">
        <v>69</v>
      </c>
      <c r="H749" s="9"/>
      <c r="I749" s="9"/>
      <c r="J749" s="9"/>
      <c r="K749" s="9"/>
      <c r="L749" s="9" t="s">
        <v>3</v>
      </c>
      <c r="M749" s="9" t="s">
        <v>58</v>
      </c>
      <c r="N749" s="9" t="s">
        <v>66</v>
      </c>
    </row>
    <row r="750" spans="1:14" ht="28" x14ac:dyDescent="0.15">
      <c r="A750" s="9" t="s">
        <v>1491</v>
      </c>
      <c r="B750" s="9" t="s">
        <v>1447</v>
      </c>
      <c r="C750" s="9"/>
      <c r="D750" s="9"/>
      <c r="E750" s="9" t="s">
        <v>51</v>
      </c>
      <c r="F750" s="9" t="s">
        <v>52</v>
      </c>
      <c r="G750" s="9" t="s">
        <v>69</v>
      </c>
      <c r="H750" s="9"/>
      <c r="I750" s="9"/>
      <c r="J750" s="9"/>
      <c r="K750" s="9"/>
      <c r="L750" s="9" t="s">
        <v>3</v>
      </c>
      <c r="M750" s="9" t="s">
        <v>58</v>
      </c>
      <c r="N750" s="9" t="s">
        <v>66</v>
      </c>
    </row>
    <row r="751" spans="1:14" ht="28" x14ac:dyDescent="0.15">
      <c r="A751" s="9" t="s">
        <v>1491</v>
      </c>
      <c r="B751" s="9" t="s">
        <v>1447</v>
      </c>
      <c r="C751" s="9"/>
      <c r="D751" s="9"/>
      <c r="E751" s="9" t="s">
        <v>51</v>
      </c>
      <c r="F751" s="9" t="s">
        <v>52</v>
      </c>
      <c r="G751" s="9" t="s">
        <v>69</v>
      </c>
      <c r="H751" s="9"/>
      <c r="I751" s="9"/>
      <c r="J751" s="9"/>
      <c r="K751" s="9"/>
      <c r="L751" s="9" t="s">
        <v>3</v>
      </c>
      <c r="M751" s="9" t="s">
        <v>58</v>
      </c>
      <c r="N751" s="9" t="s">
        <v>66</v>
      </c>
    </row>
    <row r="752" spans="1:14" ht="28" x14ac:dyDescent="0.15">
      <c r="A752" s="9" t="s">
        <v>1491</v>
      </c>
      <c r="B752" s="9" t="s">
        <v>1447</v>
      </c>
      <c r="C752" s="9"/>
      <c r="D752" s="9"/>
      <c r="E752" s="9" t="s">
        <v>51</v>
      </c>
      <c r="F752" s="9" t="s">
        <v>52</v>
      </c>
      <c r="G752" s="9" t="s">
        <v>69</v>
      </c>
      <c r="H752" s="9"/>
      <c r="I752" s="9"/>
      <c r="J752" s="9"/>
      <c r="K752" s="9"/>
      <c r="L752" s="9" t="s">
        <v>3</v>
      </c>
      <c r="M752" s="9" t="s">
        <v>58</v>
      </c>
      <c r="N752" s="9" t="s">
        <v>66</v>
      </c>
    </row>
    <row r="753" spans="1:14" ht="28" x14ac:dyDescent="0.15">
      <c r="A753" s="9" t="s">
        <v>1491</v>
      </c>
      <c r="B753" s="9" t="s">
        <v>1447</v>
      </c>
      <c r="C753" s="9"/>
      <c r="D753" s="9"/>
      <c r="E753" s="9" t="s">
        <v>51</v>
      </c>
      <c r="F753" s="9" t="s">
        <v>52</v>
      </c>
      <c r="G753" s="9" t="s">
        <v>69</v>
      </c>
      <c r="H753" s="9"/>
      <c r="I753" s="9"/>
      <c r="J753" s="9"/>
      <c r="K753" s="9"/>
      <c r="L753" s="9" t="s">
        <v>3</v>
      </c>
      <c r="M753" s="9" t="s">
        <v>58</v>
      </c>
      <c r="N753" s="9" t="s">
        <v>66</v>
      </c>
    </row>
    <row r="754" spans="1:14" ht="28" x14ac:dyDescent="0.15">
      <c r="A754" s="9" t="s">
        <v>1491</v>
      </c>
      <c r="B754" s="9" t="s">
        <v>1447</v>
      </c>
      <c r="C754" s="9"/>
      <c r="D754" s="9"/>
      <c r="E754" s="9" t="s">
        <v>51</v>
      </c>
      <c r="F754" s="9" t="s">
        <v>52</v>
      </c>
      <c r="G754" s="9" t="s">
        <v>69</v>
      </c>
      <c r="H754" s="9"/>
      <c r="I754" s="9"/>
      <c r="J754" s="9"/>
      <c r="K754" s="9"/>
      <c r="L754" s="9" t="s">
        <v>3</v>
      </c>
      <c r="M754" s="9" t="s">
        <v>58</v>
      </c>
      <c r="N754" s="9" t="s">
        <v>66</v>
      </c>
    </row>
    <row r="755" spans="1:14" ht="28" x14ac:dyDescent="0.15">
      <c r="A755" s="9" t="s">
        <v>1496</v>
      </c>
      <c r="B755" s="9" t="s">
        <v>1447</v>
      </c>
      <c r="C755" s="9"/>
      <c r="D755" s="9"/>
      <c r="E755" s="9" t="s">
        <v>51</v>
      </c>
      <c r="F755" s="9" t="s">
        <v>52</v>
      </c>
      <c r="G755" s="9" t="s">
        <v>69</v>
      </c>
      <c r="H755" s="9"/>
      <c r="I755" s="9"/>
      <c r="J755" s="9"/>
      <c r="K755" s="9"/>
      <c r="L755" s="9" t="s">
        <v>3</v>
      </c>
      <c r="M755" s="9" t="s">
        <v>58</v>
      </c>
      <c r="N755" s="9" t="s">
        <v>66</v>
      </c>
    </row>
    <row r="756" spans="1:14" ht="28" x14ac:dyDescent="0.15">
      <c r="A756" s="9" t="s">
        <v>1491</v>
      </c>
      <c r="B756" s="9" t="s">
        <v>1447</v>
      </c>
      <c r="C756" s="9" t="s">
        <v>49</v>
      </c>
      <c r="D756" s="9"/>
      <c r="E756" s="9" t="s">
        <v>51</v>
      </c>
      <c r="F756" s="9" t="s">
        <v>52</v>
      </c>
      <c r="G756" s="9" t="s">
        <v>69</v>
      </c>
      <c r="H756" s="9"/>
      <c r="I756" s="9"/>
      <c r="J756" s="9"/>
      <c r="K756" s="9"/>
      <c r="L756" s="9" t="s">
        <v>3</v>
      </c>
      <c r="M756" s="9" t="s">
        <v>58</v>
      </c>
      <c r="N756" s="9" t="s">
        <v>66</v>
      </c>
    </row>
    <row r="757" spans="1:14" ht="28" x14ac:dyDescent="0.15">
      <c r="A757" s="9" t="s">
        <v>1491</v>
      </c>
      <c r="B757" s="9" t="s">
        <v>1447</v>
      </c>
      <c r="C757" s="9"/>
      <c r="D757" s="9" t="s">
        <v>61</v>
      </c>
      <c r="E757" s="9" t="s">
        <v>51</v>
      </c>
      <c r="F757" s="9" t="s">
        <v>52</v>
      </c>
      <c r="G757" s="9" t="s">
        <v>69</v>
      </c>
      <c r="H757" s="9"/>
      <c r="I757" s="9"/>
      <c r="J757" s="9"/>
      <c r="K757" s="9"/>
      <c r="L757" s="9" t="s">
        <v>3</v>
      </c>
      <c r="M757" s="9" t="s">
        <v>58</v>
      </c>
      <c r="N757" s="9" t="s">
        <v>66</v>
      </c>
    </row>
    <row r="758" spans="1:14" ht="28" x14ac:dyDescent="0.15">
      <c r="A758" s="9" t="s">
        <v>1497</v>
      </c>
      <c r="B758" s="9" t="s">
        <v>1447</v>
      </c>
      <c r="C758" s="9"/>
      <c r="D758" s="9"/>
      <c r="E758" s="9" t="s">
        <v>51</v>
      </c>
      <c r="F758" s="9" t="s">
        <v>52</v>
      </c>
      <c r="G758" s="9" t="s">
        <v>69</v>
      </c>
      <c r="H758" s="9"/>
      <c r="I758" s="9"/>
      <c r="J758" s="9"/>
      <c r="K758" s="9"/>
      <c r="L758" s="9" t="s">
        <v>3</v>
      </c>
      <c r="M758" s="9" t="s">
        <v>58</v>
      </c>
      <c r="N758" s="9" t="s">
        <v>66</v>
      </c>
    </row>
    <row r="759" spans="1:14" ht="28" x14ac:dyDescent="0.15">
      <c r="A759" s="9" t="s">
        <v>1491</v>
      </c>
      <c r="B759" s="9" t="s">
        <v>1447</v>
      </c>
      <c r="C759" s="9"/>
      <c r="D759" s="9"/>
      <c r="E759" s="9" t="s">
        <v>51</v>
      </c>
      <c r="F759" s="9" t="s">
        <v>52</v>
      </c>
      <c r="G759" s="9" t="s">
        <v>69</v>
      </c>
      <c r="H759" s="9"/>
      <c r="I759" s="9"/>
      <c r="J759" s="9"/>
      <c r="K759" s="9"/>
      <c r="L759" s="9" t="s">
        <v>3</v>
      </c>
      <c r="M759" s="9" t="s">
        <v>58</v>
      </c>
      <c r="N759" s="9" t="s">
        <v>66</v>
      </c>
    </row>
    <row r="760" spans="1:14" ht="28" x14ac:dyDescent="0.15">
      <c r="A760" s="9" t="s">
        <v>1491</v>
      </c>
      <c r="B760" s="9" t="s">
        <v>1447</v>
      </c>
      <c r="C760" s="9"/>
      <c r="D760" s="9"/>
      <c r="E760" s="9" t="s">
        <v>51</v>
      </c>
      <c r="F760" s="9" t="s">
        <v>52</v>
      </c>
      <c r="G760" s="9" t="s">
        <v>69</v>
      </c>
      <c r="H760" s="9"/>
      <c r="I760" s="9"/>
      <c r="J760" s="9"/>
      <c r="K760" s="9"/>
      <c r="L760" s="9" t="s">
        <v>3</v>
      </c>
      <c r="M760" s="9" t="s">
        <v>58</v>
      </c>
      <c r="N760" s="9" t="s">
        <v>66</v>
      </c>
    </row>
    <row r="761" spans="1:14" ht="28" x14ac:dyDescent="0.15">
      <c r="A761" s="9" t="s">
        <v>1491</v>
      </c>
      <c r="B761" s="9" t="s">
        <v>1447</v>
      </c>
      <c r="C761" s="9"/>
      <c r="D761" s="9"/>
      <c r="E761" s="9" t="s">
        <v>51</v>
      </c>
      <c r="F761" s="9" t="s">
        <v>52</v>
      </c>
      <c r="G761" s="9" t="s">
        <v>69</v>
      </c>
      <c r="H761" s="9"/>
      <c r="I761" s="9"/>
      <c r="J761" s="9"/>
      <c r="K761" s="9"/>
      <c r="L761" s="9" t="s">
        <v>3</v>
      </c>
      <c r="M761" s="9" t="s">
        <v>58</v>
      </c>
      <c r="N761" s="9" t="s">
        <v>66</v>
      </c>
    </row>
    <row r="762" spans="1:14" ht="28" x14ac:dyDescent="0.15">
      <c r="A762" s="9" t="s">
        <v>1491</v>
      </c>
      <c r="B762" s="9" t="s">
        <v>1447</v>
      </c>
      <c r="C762" s="9"/>
      <c r="D762" s="9"/>
      <c r="E762" s="9" t="s">
        <v>51</v>
      </c>
      <c r="F762" s="9" t="s">
        <v>52</v>
      </c>
      <c r="G762" s="9" t="s">
        <v>69</v>
      </c>
      <c r="H762" s="9"/>
      <c r="I762" s="9"/>
      <c r="J762" s="9"/>
      <c r="K762" s="9"/>
      <c r="L762" s="9" t="s">
        <v>3</v>
      </c>
      <c r="M762" s="9" t="s">
        <v>58</v>
      </c>
      <c r="N762" s="9" t="s">
        <v>66</v>
      </c>
    </row>
    <row r="763" spans="1:14" ht="28" x14ac:dyDescent="0.15">
      <c r="A763" s="9" t="s">
        <v>1491</v>
      </c>
      <c r="B763" s="9" t="s">
        <v>1447</v>
      </c>
      <c r="C763" s="9"/>
      <c r="D763" s="9"/>
      <c r="E763" s="9" t="s">
        <v>51</v>
      </c>
      <c r="F763" s="9" t="s">
        <v>52</v>
      </c>
      <c r="G763" s="9" t="s">
        <v>69</v>
      </c>
      <c r="H763" s="9"/>
      <c r="I763" s="9"/>
      <c r="J763" s="9"/>
      <c r="K763" s="9"/>
      <c r="L763" s="9" t="s">
        <v>3</v>
      </c>
      <c r="M763" s="9" t="s">
        <v>58</v>
      </c>
      <c r="N763" s="9" t="s">
        <v>66</v>
      </c>
    </row>
    <row r="764" spans="1:14" ht="28" x14ac:dyDescent="0.15">
      <c r="A764" s="9" t="s">
        <v>1491</v>
      </c>
      <c r="B764" s="9" t="s">
        <v>1447</v>
      </c>
      <c r="C764" s="9"/>
      <c r="D764" s="9"/>
      <c r="E764" s="9" t="s">
        <v>51</v>
      </c>
      <c r="F764" s="9" t="s">
        <v>52</v>
      </c>
      <c r="G764" s="9" t="s">
        <v>69</v>
      </c>
      <c r="H764" s="9"/>
      <c r="I764" s="9"/>
      <c r="J764" s="9"/>
      <c r="K764" s="9"/>
      <c r="L764" s="9" t="s">
        <v>3</v>
      </c>
      <c r="M764" s="9" t="s">
        <v>58</v>
      </c>
      <c r="N764" s="9" t="s">
        <v>66</v>
      </c>
    </row>
    <row r="765" spans="1:14" ht="28" x14ac:dyDescent="0.15">
      <c r="A765" s="9" t="s">
        <v>1491</v>
      </c>
      <c r="B765" s="9" t="s">
        <v>1447</v>
      </c>
      <c r="C765" s="9"/>
      <c r="D765" s="9"/>
      <c r="E765" s="9" t="s">
        <v>51</v>
      </c>
      <c r="F765" s="9" t="s">
        <v>52</v>
      </c>
      <c r="G765" s="9" t="s">
        <v>69</v>
      </c>
      <c r="H765" s="9"/>
      <c r="I765" s="9"/>
      <c r="J765" s="9"/>
      <c r="K765" s="9"/>
      <c r="L765" s="9" t="s">
        <v>3</v>
      </c>
      <c r="M765" s="9" t="s">
        <v>58</v>
      </c>
      <c r="N765" s="9" t="s">
        <v>66</v>
      </c>
    </row>
    <row r="766" spans="1:14" ht="28" x14ac:dyDescent="0.15">
      <c r="A766" s="9" t="s">
        <v>1491</v>
      </c>
      <c r="B766" s="9" t="s">
        <v>1447</v>
      </c>
      <c r="C766" s="9"/>
      <c r="D766" s="9"/>
      <c r="E766" s="9" t="s">
        <v>51</v>
      </c>
      <c r="F766" s="9" t="s">
        <v>52</v>
      </c>
      <c r="G766" s="9" t="s">
        <v>69</v>
      </c>
      <c r="H766" s="9"/>
      <c r="I766" s="9"/>
      <c r="J766" s="9"/>
      <c r="K766" s="9"/>
      <c r="L766" s="9" t="s">
        <v>3</v>
      </c>
      <c r="M766" s="9" t="s">
        <v>58</v>
      </c>
      <c r="N766" s="9" t="s">
        <v>66</v>
      </c>
    </row>
    <row r="767" spans="1:14" ht="28" x14ac:dyDescent="0.15">
      <c r="A767" s="9" t="s">
        <v>1491</v>
      </c>
      <c r="B767" s="9" t="s">
        <v>1447</v>
      </c>
      <c r="C767" s="9"/>
      <c r="D767" s="9"/>
      <c r="E767" s="9" t="s">
        <v>51</v>
      </c>
      <c r="F767" s="9" t="s">
        <v>52</v>
      </c>
      <c r="G767" s="9" t="s">
        <v>69</v>
      </c>
      <c r="H767" s="9"/>
      <c r="I767" s="9"/>
      <c r="J767" s="9"/>
      <c r="K767" s="9"/>
      <c r="L767" s="9" t="s">
        <v>3</v>
      </c>
      <c r="M767" s="9" t="s">
        <v>58</v>
      </c>
      <c r="N767" s="9" t="s">
        <v>66</v>
      </c>
    </row>
    <row r="768" spans="1:14" ht="28" x14ac:dyDescent="0.15">
      <c r="A768" s="9" t="s">
        <v>1491</v>
      </c>
      <c r="B768" s="9" t="s">
        <v>1447</v>
      </c>
      <c r="C768" s="9"/>
      <c r="D768" s="9"/>
      <c r="E768" s="9" t="s">
        <v>51</v>
      </c>
      <c r="F768" s="9" t="s">
        <v>52</v>
      </c>
      <c r="G768" s="9" t="s">
        <v>69</v>
      </c>
      <c r="H768" s="9"/>
      <c r="I768" s="9"/>
      <c r="J768" s="9"/>
      <c r="K768" s="9"/>
      <c r="L768" s="9" t="s">
        <v>3</v>
      </c>
      <c r="M768" s="9" t="s">
        <v>58</v>
      </c>
      <c r="N768" s="9" t="s">
        <v>66</v>
      </c>
    </row>
    <row r="769" spans="1:14" ht="28" x14ac:dyDescent="0.15">
      <c r="A769" s="9" t="s">
        <v>1491</v>
      </c>
      <c r="B769" s="9" t="s">
        <v>1447</v>
      </c>
      <c r="C769" s="9"/>
      <c r="D769" s="9"/>
      <c r="E769" s="9" t="s">
        <v>51</v>
      </c>
      <c r="F769" s="9" t="s">
        <v>52</v>
      </c>
      <c r="G769" s="9" t="s">
        <v>69</v>
      </c>
      <c r="H769" s="9"/>
      <c r="I769" s="9"/>
      <c r="J769" s="9"/>
      <c r="K769" s="9"/>
      <c r="L769" s="9" t="s">
        <v>3</v>
      </c>
      <c r="M769" s="9" t="s">
        <v>58</v>
      </c>
      <c r="N769" s="9" t="s">
        <v>66</v>
      </c>
    </row>
    <row r="770" spans="1:14" ht="28" x14ac:dyDescent="0.15">
      <c r="A770" s="9" t="s">
        <v>1491</v>
      </c>
      <c r="B770" s="9" t="s">
        <v>1447</v>
      </c>
      <c r="C770" s="9"/>
      <c r="D770" s="9"/>
      <c r="E770" s="9" t="s">
        <v>51</v>
      </c>
      <c r="F770" s="9" t="s">
        <v>52</v>
      </c>
      <c r="G770" s="9" t="s">
        <v>69</v>
      </c>
      <c r="H770" s="9"/>
      <c r="I770" s="9"/>
      <c r="J770" s="9"/>
      <c r="K770" s="9"/>
      <c r="L770" s="9" t="s">
        <v>3</v>
      </c>
      <c r="M770" s="9" t="s">
        <v>58</v>
      </c>
      <c r="N770" s="9" t="s">
        <v>66</v>
      </c>
    </row>
    <row r="771" spans="1:14" ht="28" x14ac:dyDescent="0.15">
      <c r="A771" s="9" t="s">
        <v>1496</v>
      </c>
      <c r="B771" s="9" t="s">
        <v>1447</v>
      </c>
      <c r="C771" s="9"/>
      <c r="D771" s="9"/>
      <c r="E771" s="9" t="s">
        <v>51</v>
      </c>
      <c r="F771" s="9" t="s">
        <v>52</v>
      </c>
      <c r="G771" s="9" t="s">
        <v>69</v>
      </c>
      <c r="H771" s="9"/>
      <c r="I771" s="9"/>
      <c r="J771" s="9"/>
      <c r="K771" s="9"/>
      <c r="L771" s="9" t="s">
        <v>3</v>
      </c>
      <c r="M771" s="9" t="s">
        <v>58</v>
      </c>
      <c r="N771" s="9" t="s">
        <v>66</v>
      </c>
    </row>
    <row r="772" spans="1:14" ht="28" x14ac:dyDescent="0.15">
      <c r="A772" s="9" t="s">
        <v>1491</v>
      </c>
      <c r="B772" s="9" t="s">
        <v>1447</v>
      </c>
      <c r="C772" s="9" t="s">
        <v>49</v>
      </c>
      <c r="D772" s="9"/>
      <c r="E772" s="9" t="s">
        <v>51</v>
      </c>
      <c r="F772" s="9" t="s">
        <v>52</v>
      </c>
      <c r="G772" s="9" t="s">
        <v>69</v>
      </c>
      <c r="H772" s="9"/>
      <c r="I772" s="9"/>
      <c r="J772" s="9"/>
      <c r="K772" s="9"/>
      <c r="L772" s="9" t="s">
        <v>3</v>
      </c>
      <c r="M772" s="9" t="s">
        <v>58</v>
      </c>
      <c r="N772" s="9" t="s">
        <v>66</v>
      </c>
    </row>
    <row r="773" spans="1:14" ht="28" x14ac:dyDescent="0.15">
      <c r="A773" s="9" t="s">
        <v>1491</v>
      </c>
      <c r="B773" s="9" t="s">
        <v>1447</v>
      </c>
      <c r="C773" s="9"/>
      <c r="D773" s="9" t="s">
        <v>61</v>
      </c>
      <c r="E773" s="9" t="s">
        <v>51</v>
      </c>
      <c r="F773" s="9" t="s">
        <v>52</v>
      </c>
      <c r="G773" s="9" t="s">
        <v>69</v>
      </c>
      <c r="H773" s="9"/>
      <c r="I773" s="9"/>
      <c r="J773" s="9"/>
      <c r="K773" s="9"/>
      <c r="L773" s="9" t="s">
        <v>3</v>
      </c>
      <c r="M773" s="9" t="s">
        <v>58</v>
      </c>
      <c r="N773" s="9" t="s">
        <v>66</v>
      </c>
    </row>
    <row r="774" spans="1:14" ht="28" x14ac:dyDescent="0.15">
      <c r="A774" s="9" t="s">
        <v>1498</v>
      </c>
      <c r="B774" s="9" t="s">
        <v>1447</v>
      </c>
      <c r="C774" s="9"/>
      <c r="D774" s="9"/>
      <c r="E774" s="9" t="s">
        <v>51</v>
      </c>
      <c r="F774" s="9" t="s">
        <v>52</v>
      </c>
      <c r="G774" s="9" t="s">
        <v>69</v>
      </c>
      <c r="H774" s="9"/>
      <c r="I774" s="9"/>
      <c r="J774" s="9"/>
      <c r="K774" s="9"/>
      <c r="L774" s="9" t="s">
        <v>3</v>
      </c>
      <c r="M774" s="9" t="s">
        <v>58</v>
      </c>
      <c r="N774" s="9" t="s">
        <v>66</v>
      </c>
    </row>
    <row r="775" spans="1:14" ht="28" x14ac:dyDescent="0.15">
      <c r="A775" s="9" t="s">
        <v>1491</v>
      </c>
      <c r="B775" s="9" t="s">
        <v>1447</v>
      </c>
      <c r="C775" s="9"/>
      <c r="D775" s="9"/>
      <c r="E775" s="9" t="s">
        <v>51</v>
      </c>
      <c r="F775" s="9" t="s">
        <v>52</v>
      </c>
      <c r="G775" s="9" t="s">
        <v>69</v>
      </c>
      <c r="H775" s="9"/>
      <c r="I775" s="9"/>
      <c r="J775" s="9"/>
      <c r="K775" s="9"/>
      <c r="L775" s="9" t="s">
        <v>3</v>
      </c>
      <c r="M775" s="9" t="s">
        <v>58</v>
      </c>
      <c r="N775" s="9" t="s">
        <v>66</v>
      </c>
    </row>
    <row r="776" spans="1:14" ht="28" x14ac:dyDescent="0.15">
      <c r="A776" s="9" t="s">
        <v>1491</v>
      </c>
      <c r="B776" s="9" t="s">
        <v>1447</v>
      </c>
      <c r="C776" s="9"/>
      <c r="D776" s="9"/>
      <c r="E776" s="9" t="s">
        <v>51</v>
      </c>
      <c r="F776" s="9" t="s">
        <v>52</v>
      </c>
      <c r="G776" s="9" t="s">
        <v>69</v>
      </c>
      <c r="H776" s="9"/>
      <c r="I776" s="9"/>
      <c r="J776" s="9"/>
      <c r="K776" s="9"/>
      <c r="L776" s="9" t="s">
        <v>3</v>
      </c>
      <c r="M776" s="9" t="s">
        <v>58</v>
      </c>
      <c r="N776" s="9" t="s">
        <v>66</v>
      </c>
    </row>
    <row r="777" spans="1:14" ht="28" x14ac:dyDescent="0.15">
      <c r="A777" s="9" t="s">
        <v>1491</v>
      </c>
      <c r="B777" s="9" t="s">
        <v>1447</v>
      </c>
      <c r="C777" s="9"/>
      <c r="D777" s="9"/>
      <c r="E777" s="9" t="s">
        <v>51</v>
      </c>
      <c r="F777" s="9" t="s">
        <v>52</v>
      </c>
      <c r="G777" s="9" t="s">
        <v>69</v>
      </c>
      <c r="H777" s="9"/>
      <c r="I777" s="9"/>
      <c r="J777" s="9"/>
      <c r="K777" s="9"/>
      <c r="L777" s="9" t="s">
        <v>3</v>
      </c>
      <c r="M777" s="9" t="s">
        <v>58</v>
      </c>
      <c r="N777" s="9" t="s">
        <v>66</v>
      </c>
    </row>
    <row r="778" spans="1:14" ht="28" x14ac:dyDescent="0.15">
      <c r="A778" s="9" t="s">
        <v>1491</v>
      </c>
      <c r="B778" s="9" t="s">
        <v>1447</v>
      </c>
      <c r="C778" s="9"/>
      <c r="D778" s="9"/>
      <c r="E778" s="9" t="s">
        <v>51</v>
      </c>
      <c r="F778" s="9" t="s">
        <v>52</v>
      </c>
      <c r="G778" s="9" t="s">
        <v>69</v>
      </c>
      <c r="H778" s="9"/>
      <c r="I778" s="9"/>
      <c r="J778" s="9"/>
      <c r="K778" s="9"/>
      <c r="L778" s="9" t="s">
        <v>3</v>
      </c>
      <c r="M778" s="9" t="s">
        <v>58</v>
      </c>
      <c r="N778" s="9" t="s">
        <v>66</v>
      </c>
    </row>
    <row r="779" spans="1:14" ht="28" x14ac:dyDescent="0.15">
      <c r="A779" s="9" t="s">
        <v>1491</v>
      </c>
      <c r="B779" s="9" t="s">
        <v>1447</v>
      </c>
      <c r="C779" s="9"/>
      <c r="D779" s="9"/>
      <c r="E779" s="9" t="s">
        <v>51</v>
      </c>
      <c r="F779" s="9" t="s">
        <v>52</v>
      </c>
      <c r="G779" s="9" t="s">
        <v>69</v>
      </c>
      <c r="H779" s="9"/>
      <c r="I779" s="9"/>
      <c r="J779" s="9"/>
      <c r="K779" s="9"/>
      <c r="L779" s="9" t="s">
        <v>3</v>
      </c>
      <c r="M779" s="9" t="s">
        <v>58</v>
      </c>
      <c r="N779" s="9" t="s">
        <v>66</v>
      </c>
    </row>
    <row r="780" spans="1:14" ht="28" x14ac:dyDescent="0.15">
      <c r="A780" s="9" t="s">
        <v>1491</v>
      </c>
      <c r="B780" s="9" t="s">
        <v>1447</v>
      </c>
      <c r="C780" s="9"/>
      <c r="D780" s="9"/>
      <c r="E780" s="9" t="s">
        <v>51</v>
      </c>
      <c r="F780" s="9" t="s">
        <v>52</v>
      </c>
      <c r="G780" s="9" t="s">
        <v>69</v>
      </c>
      <c r="H780" s="9"/>
      <c r="I780" s="9"/>
      <c r="J780" s="9"/>
      <c r="K780" s="9"/>
      <c r="L780" s="9" t="s">
        <v>3</v>
      </c>
      <c r="M780" s="9" t="s">
        <v>58</v>
      </c>
      <c r="N780" s="9" t="s">
        <v>66</v>
      </c>
    </row>
    <row r="781" spans="1:14" ht="28" x14ac:dyDescent="0.15">
      <c r="A781" s="9" t="s">
        <v>1491</v>
      </c>
      <c r="B781" s="9" t="s">
        <v>1447</v>
      </c>
      <c r="C781" s="9"/>
      <c r="D781" s="9"/>
      <c r="E781" s="9" t="s">
        <v>51</v>
      </c>
      <c r="F781" s="9" t="s">
        <v>52</v>
      </c>
      <c r="G781" s="9" t="s">
        <v>69</v>
      </c>
      <c r="H781" s="9"/>
      <c r="I781" s="9"/>
      <c r="J781" s="9"/>
      <c r="K781" s="9"/>
      <c r="L781" s="9" t="s">
        <v>3</v>
      </c>
      <c r="M781" s="9" t="s">
        <v>58</v>
      </c>
      <c r="N781" s="9" t="s">
        <v>66</v>
      </c>
    </row>
    <row r="782" spans="1:14" ht="28" x14ac:dyDescent="0.15">
      <c r="A782" s="9" t="s">
        <v>1491</v>
      </c>
      <c r="B782" s="9" t="s">
        <v>1447</v>
      </c>
      <c r="C782" s="9"/>
      <c r="D782" s="9"/>
      <c r="E782" s="9" t="s">
        <v>51</v>
      </c>
      <c r="F782" s="9" t="s">
        <v>52</v>
      </c>
      <c r="G782" s="9" t="s">
        <v>69</v>
      </c>
      <c r="H782" s="9"/>
      <c r="I782" s="9"/>
      <c r="J782" s="9"/>
      <c r="K782" s="9"/>
      <c r="L782" s="9" t="s">
        <v>3</v>
      </c>
      <c r="M782" s="9" t="s">
        <v>58</v>
      </c>
      <c r="N782" s="9" t="s">
        <v>66</v>
      </c>
    </row>
    <row r="783" spans="1:14" ht="28" x14ac:dyDescent="0.15">
      <c r="A783" s="9" t="s">
        <v>1491</v>
      </c>
      <c r="B783" s="9" t="s">
        <v>1447</v>
      </c>
      <c r="C783" s="9"/>
      <c r="D783" s="9"/>
      <c r="E783" s="9" t="s">
        <v>51</v>
      </c>
      <c r="F783" s="9" t="s">
        <v>52</v>
      </c>
      <c r="G783" s="9" t="s">
        <v>69</v>
      </c>
      <c r="H783" s="9"/>
      <c r="I783" s="9"/>
      <c r="J783" s="9"/>
      <c r="K783" s="9"/>
      <c r="L783" s="9" t="s">
        <v>3</v>
      </c>
      <c r="M783" s="9" t="s">
        <v>58</v>
      </c>
      <c r="N783" s="9" t="s">
        <v>66</v>
      </c>
    </row>
    <row r="784" spans="1:14" ht="28" x14ac:dyDescent="0.15">
      <c r="A784" s="9" t="s">
        <v>1491</v>
      </c>
      <c r="B784" s="9" t="s">
        <v>1447</v>
      </c>
      <c r="C784" s="9"/>
      <c r="D784" s="9"/>
      <c r="E784" s="9" t="s">
        <v>51</v>
      </c>
      <c r="F784" s="9" t="s">
        <v>52</v>
      </c>
      <c r="G784" s="9" t="s">
        <v>69</v>
      </c>
      <c r="H784" s="9"/>
      <c r="I784" s="9"/>
      <c r="J784" s="9"/>
      <c r="K784" s="9"/>
      <c r="L784" s="9" t="s">
        <v>3</v>
      </c>
      <c r="M784" s="9" t="s">
        <v>58</v>
      </c>
      <c r="N784" s="9" t="s">
        <v>66</v>
      </c>
    </row>
    <row r="785" spans="1:14" ht="28" x14ac:dyDescent="0.15">
      <c r="A785" s="9" t="s">
        <v>1491</v>
      </c>
      <c r="B785" s="9" t="s">
        <v>1447</v>
      </c>
      <c r="C785" s="9"/>
      <c r="D785" s="9"/>
      <c r="E785" s="9" t="s">
        <v>51</v>
      </c>
      <c r="F785" s="9" t="s">
        <v>52</v>
      </c>
      <c r="G785" s="9" t="s">
        <v>69</v>
      </c>
      <c r="H785" s="9"/>
      <c r="I785" s="9"/>
      <c r="J785" s="9"/>
      <c r="K785" s="9"/>
      <c r="L785" s="9" t="s">
        <v>3</v>
      </c>
      <c r="M785" s="9" t="s">
        <v>58</v>
      </c>
      <c r="N785" s="9" t="s">
        <v>66</v>
      </c>
    </row>
    <row r="786" spans="1:14" ht="28" x14ac:dyDescent="0.15">
      <c r="A786" s="9" t="s">
        <v>1491</v>
      </c>
      <c r="B786" s="9" t="s">
        <v>1447</v>
      </c>
      <c r="C786" s="9"/>
      <c r="D786" s="9"/>
      <c r="E786" s="9" t="s">
        <v>51</v>
      </c>
      <c r="F786" s="9" t="s">
        <v>52</v>
      </c>
      <c r="G786" s="9" t="s">
        <v>69</v>
      </c>
      <c r="H786" s="9"/>
      <c r="I786" s="9"/>
      <c r="J786" s="9"/>
      <c r="K786" s="9"/>
      <c r="L786" s="9" t="s">
        <v>3</v>
      </c>
      <c r="M786" s="9" t="s">
        <v>58</v>
      </c>
      <c r="N786" s="9" t="s">
        <v>66</v>
      </c>
    </row>
    <row r="787" spans="1:14" ht="28" x14ac:dyDescent="0.15">
      <c r="A787" s="9" t="s">
        <v>1499</v>
      </c>
      <c r="B787" s="9" t="s">
        <v>1447</v>
      </c>
      <c r="C787" s="9"/>
      <c r="D787" s="9"/>
      <c r="E787" s="9" t="s">
        <v>51</v>
      </c>
      <c r="F787" s="9" t="s">
        <v>52</v>
      </c>
      <c r="G787" s="9" t="s">
        <v>69</v>
      </c>
      <c r="H787" s="9"/>
      <c r="I787" s="9"/>
      <c r="J787" s="9"/>
      <c r="K787" s="9"/>
      <c r="L787" s="9" t="s">
        <v>3</v>
      </c>
      <c r="M787" s="9" t="s">
        <v>58</v>
      </c>
      <c r="N787" s="9" t="s">
        <v>66</v>
      </c>
    </row>
    <row r="788" spans="1:14" ht="28" x14ac:dyDescent="0.15">
      <c r="A788" s="9" t="s">
        <v>1491</v>
      </c>
      <c r="B788" s="9" t="s">
        <v>1447</v>
      </c>
      <c r="C788" s="9" t="s">
        <v>183</v>
      </c>
      <c r="D788" s="9"/>
      <c r="E788" s="9" t="s">
        <v>51</v>
      </c>
      <c r="F788" s="9" t="s">
        <v>52</v>
      </c>
      <c r="G788" s="9" t="s">
        <v>69</v>
      </c>
      <c r="H788" s="9"/>
      <c r="I788" s="9"/>
      <c r="J788" s="9"/>
      <c r="K788" s="9"/>
      <c r="L788" s="9" t="s">
        <v>3</v>
      </c>
      <c r="M788" s="9" t="s">
        <v>58</v>
      </c>
      <c r="N788" s="9" t="s">
        <v>66</v>
      </c>
    </row>
    <row r="789" spans="1:14" ht="28" x14ac:dyDescent="0.15">
      <c r="A789" s="9" t="s">
        <v>1491</v>
      </c>
      <c r="B789" s="9" t="s">
        <v>1447</v>
      </c>
      <c r="C789" s="9"/>
      <c r="D789" s="9" t="s">
        <v>188</v>
      </c>
      <c r="E789" s="9" t="s">
        <v>51</v>
      </c>
      <c r="F789" s="9" t="s">
        <v>52</v>
      </c>
      <c r="G789" s="9" t="s">
        <v>69</v>
      </c>
      <c r="H789" s="9"/>
      <c r="I789" s="9"/>
      <c r="J789" s="9"/>
      <c r="K789" s="9"/>
      <c r="L789" s="9" t="s">
        <v>3</v>
      </c>
      <c r="M789" s="9" t="s">
        <v>58</v>
      </c>
      <c r="N789" s="9" t="s">
        <v>66</v>
      </c>
    </row>
    <row r="790" spans="1:14" ht="28" x14ac:dyDescent="0.15">
      <c r="A790" s="9" t="s">
        <v>1500</v>
      </c>
      <c r="B790" s="9" t="s">
        <v>1447</v>
      </c>
      <c r="C790" s="9"/>
      <c r="D790" s="9"/>
      <c r="E790" s="9" t="s">
        <v>51</v>
      </c>
      <c r="F790" s="9" t="s">
        <v>52</v>
      </c>
      <c r="G790" s="9" t="s">
        <v>69</v>
      </c>
      <c r="H790" s="9"/>
      <c r="I790" s="9"/>
      <c r="J790" s="9"/>
      <c r="K790" s="9"/>
      <c r="L790" s="9" t="s">
        <v>3</v>
      </c>
      <c r="M790" s="9" t="s">
        <v>58</v>
      </c>
      <c r="N790" s="9" t="s">
        <v>66</v>
      </c>
    </row>
    <row r="791" spans="1:14" ht="28" x14ac:dyDescent="0.15">
      <c r="A791" s="9" t="s">
        <v>1491</v>
      </c>
      <c r="B791" s="9" t="s">
        <v>1447</v>
      </c>
      <c r="C791" s="9"/>
      <c r="D791" s="9"/>
      <c r="E791" s="9" t="s">
        <v>51</v>
      </c>
      <c r="F791" s="9" t="s">
        <v>52</v>
      </c>
      <c r="G791" s="9" t="s">
        <v>69</v>
      </c>
      <c r="H791" s="9"/>
      <c r="I791" s="9"/>
      <c r="J791" s="9"/>
      <c r="K791" s="9"/>
      <c r="L791" s="9" t="s">
        <v>3</v>
      </c>
      <c r="M791" s="9" t="s">
        <v>58</v>
      </c>
      <c r="N791" s="9" t="s">
        <v>66</v>
      </c>
    </row>
    <row r="792" spans="1:14" ht="28" x14ac:dyDescent="0.15">
      <c r="A792" s="9" t="s">
        <v>1491</v>
      </c>
      <c r="B792" s="9" t="s">
        <v>1447</v>
      </c>
      <c r="C792" s="9"/>
      <c r="D792" s="9"/>
      <c r="E792" s="9" t="s">
        <v>51</v>
      </c>
      <c r="F792" s="9" t="s">
        <v>52</v>
      </c>
      <c r="G792" s="9" t="s">
        <v>69</v>
      </c>
      <c r="H792" s="9"/>
      <c r="I792" s="9"/>
      <c r="J792" s="9"/>
      <c r="K792" s="9"/>
      <c r="L792" s="9" t="s">
        <v>3</v>
      </c>
      <c r="M792" s="9" t="s">
        <v>58</v>
      </c>
      <c r="N792" s="9" t="s">
        <v>66</v>
      </c>
    </row>
    <row r="793" spans="1:14" ht="28" x14ac:dyDescent="0.15">
      <c r="A793" s="9" t="s">
        <v>1491</v>
      </c>
      <c r="B793" s="9" t="s">
        <v>1447</v>
      </c>
      <c r="C793" s="9"/>
      <c r="D793" s="9"/>
      <c r="E793" s="9" t="s">
        <v>51</v>
      </c>
      <c r="F793" s="9" t="s">
        <v>52</v>
      </c>
      <c r="G793" s="9" t="s">
        <v>69</v>
      </c>
      <c r="H793" s="9"/>
      <c r="I793" s="9"/>
      <c r="J793" s="9"/>
      <c r="K793" s="9"/>
      <c r="L793" s="9" t="s">
        <v>3</v>
      </c>
      <c r="M793" s="9" t="s">
        <v>58</v>
      </c>
      <c r="N793" s="9" t="s">
        <v>66</v>
      </c>
    </row>
    <row r="794" spans="1:14" ht="28" x14ac:dyDescent="0.15">
      <c r="A794" s="9" t="s">
        <v>1491</v>
      </c>
      <c r="B794" s="9" t="s">
        <v>1447</v>
      </c>
      <c r="C794" s="9"/>
      <c r="D794" s="9"/>
      <c r="E794" s="9" t="s">
        <v>51</v>
      </c>
      <c r="F794" s="9" t="s">
        <v>52</v>
      </c>
      <c r="G794" s="9" t="s">
        <v>69</v>
      </c>
      <c r="H794" s="9"/>
      <c r="I794" s="9"/>
      <c r="J794" s="9"/>
      <c r="K794" s="9"/>
      <c r="L794" s="9" t="s">
        <v>3</v>
      </c>
      <c r="M794" s="9" t="s">
        <v>58</v>
      </c>
      <c r="N794" s="9" t="s">
        <v>66</v>
      </c>
    </row>
    <row r="795" spans="1:14" ht="28" x14ac:dyDescent="0.15">
      <c r="A795" s="9" t="s">
        <v>1491</v>
      </c>
      <c r="B795" s="9" t="s">
        <v>1447</v>
      </c>
      <c r="C795" s="9"/>
      <c r="D795" s="9"/>
      <c r="E795" s="9" t="s">
        <v>51</v>
      </c>
      <c r="F795" s="9" t="s">
        <v>52</v>
      </c>
      <c r="G795" s="9" t="s">
        <v>69</v>
      </c>
      <c r="H795" s="9"/>
      <c r="I795" s="9"/>
      <c r="J795" s="9"/>
      <c r="K795" s="9"/>
      <c r="L795" s="9" t="s">
        <v>3</v>
      </c>
      <c r="M795" s="9" t="s">
        <v>58</v>
      </c>
      <c r="N795" s="9" t="s">
        <v>66</v>
      </c>
    </row>
    <row r="796" spans="1:14" ht="28" x14ac:dyDescent="0.15">
      <c r="A796" s="9" t="s">
        <v>1491</v>
      </c>
      <c r="B796" s="9" t="s">
        <v>1447</v>
      </c>
      <c r="C796" s="9"/>
      <c r="D796" s="9"/>
      <c r="E796" s="9" t="s">
        <v>51</v>
      </c>
      <c r="F796" s="9" t="s">
        <v>52</v>
      </c>
      <c r="G796" s="9" t="s">
        <v>69</v>
      </c>
      <c r="H796" s="9"/>
      <c r="I796" s="9"/>
      <c r="J796" s="9"/>
      <c r="K796" s="9"/>
      <c r="L796" s="9" t="s">
        <v>3</v>
      </c>
      <c r="M796" s="9" t="s">
        <v>58</v>
      </c>
      <c r="N796" s="9" t="s">
        <v>66</v>
      </c>
    </row>
    <row r="797" spans="1:14" ht="28" x14ac:dyDescent="0.15">
      <c r="A797" s="9" t="s">
        <v>1491</v>
      </c>
      <c r="B797" s="9" t="s">
        <v>1447</v>
      </c>
      <c r="C797" s="9"/>
      <c r="D797" s="9"/>
      <c r="E797" s="9" t="s">
        <v>51</v>
      </c>
      <c r="F797" s="9" t="s">
        <v>52</v>
      </c>
      <c r="G797" s="9" t="s">
        <v>69</v>
      </c>
      <c r="H797" s="9"/>
      <c r="I797" s="9"/>
      <c r="J797" s="9"/>
      <c r="K797" s="9"/>
      <c r="L797" s="9" t="s">
        <v>3</v>
      </c>
      <c r="M797" s="9" t="s">
        <v>58</v>
      </c>
      <c r="N797" s="9" t="s">
        <v>66</v>
      </c>
    </row>
    <row r="798" spans="1:14" ht="28" x14ac:dyDescent="0.15">
      <c r="A798" s="9" t="s">
        <v>1491</v>
      </c>
      <c r="B798" s="9" t="s">
        <v>1447</v>
      </c>
      <c r="C798" s="9"/>
      <c r="D798" s="9"/>
      <c r="E798" s="9" t="s">
        <v>51</v>
      </c>
      <c r="F798" s="9" t="s">
        <v>52</v>
      </c>
      <c r="G798" s="9" t="s">
        <v>69</v>
      </c>
      <c r="H798" s="9"/>
      <c r="I798" s="9"/>
      <c r="J798" s="9"/>
      <c r="K798" s="9"/>
      <c r="L798" s="9" t="s">
        <v>3</v>
      </c>
      <c r="M798" s="9" t="s">
        <v>58</v>
      </c>
      <c r="N798" s="9" t="s">
        <v>66</v>
      </c>
    </row>
    <row r="799" spans="1:14" ht="28" x14ac:dyDescent="0.15">
      <c r="A799" s="9" t="s">
        <v>1491</v>
      </c>
      <c r="B799" s="9" t="s">
        <v>1447</v>
      </c>
      <c r="C799" s="9"/>
      <c r="D799" s="9"/>
      <c r="E799" s="9" t="s">
        <v>51</v>
      </c>
      <c r="F799" s="9" t="s">
        <v>52</v>
      </c>
      <c r="G799" s="9" t="s">
        <v>69</v>
      </c>
      <c r="H799" s="9"/>
      <c r="I799" s="9"/>
      <c r="J799" s="9"/>
      <c r="K799" s="9"/>
      <c r="L799" s="9" t="s">
        <v>3</v>
      </c>
      <c r="M799" s="9" t="s">
        <v>58</v>
      </c>
      <c r="N799" s="9" t="s">
        <v>66</v>
      </c>
    </row>
    <row r="800" spans="1:14" ht="28" x14ac:dyDescent="0.15">
      <c r="A800" s="9" t="s">
        <v>1491</v>
      </c>
      <c r="B800" s="9" t="s">
        <v>1447</v>
      </c>
      <c r="C800" s="9"/>
      <c r="D800" s="9"/>
      <c r="E800" s="9" t="s">
        <v>51</v>
      </c>
      <c r="F800" s="9" t="s">
        <v>52</v>
      </c>
      <c r="G800" s="9" t="s">
        <v>69</v>
      </c>
      <c r="H800" s="9"/>
      <c r="I800" s="9"/>
      <c r="J800" s="9"/>
      <c r="K800" s="9"/>
      <c r="L800" s="9" t="s">
        <v>3</v>
      </c>
      <c r="M800" s="9" t="s">
        <v>58</v>
      </c>
      <c r="N800" s="9" t="s">
        <v>66</v>
      </c>
    </row>
    <row r="801" spans="1:14" ht="28" x14ac:dyDescent="0.15">
      <c r="A801" s="9" t="s">
        <v>1491</v>
      </c>
      <c r="B801" s="9" t="s">
        <v>1447</v>
      </c>
      <c r="C801" s="9"/>
      <c r="D801" s="9"/>
      <c r="E801" s="9" t="s">
        <v>51</v>
      </c>
      <c r="F801" s="9" t="s">
        <v>52</v>
      </c>
      <c r="G801" s="9" t="s">
        <v>69</v>
      </c>
      <c r="H801" s="9"/>
      <c r="I801" s="9"/>
      <c r="J801" s="9"/>
      <c r="K801" s="9"/>
      <c r="L801" s="9" t="s">
        <v>3</v>
      </c>
      <c r="M801" s="9" t="s">
        <v>58</v>
      </c>
      <c r="N801" s="9" t="s">
        <v>66</v>
      </c>
    </row>
    <row r="802" spans="1:14" ht="28" x14ac:dyDescent="0.15">
      <c r="A802" s="9" t="s">
        <v>1491</v>
      </c>
      <c r="B802" s="9" t="s">
        <v>1447</v>
      </c>
      <c r="C802" s="9"/>
      <c r="D802" s="9"/>
      <c r="E802" s="9" t="s">
        <v>51</v>
      </c>
      <c r="F802" s="9" t="s">
        <v>52</v>
      </c>
      <c r="G802" s="9" t="s">
        <v>69</v>
      </c>
      <c r="H802" s="9"/>
      <c r="I802" s="9"/>
      <c r="J802" s="9"/>
      <c r="K802" s="9"/>
      <c r="L802" s="9" t="s">
        <v>3</v>
      </c>
      <c r="M802" s="9" t="s">
        <v>58</v>
      </c>
      <c r="N802" s="9" t="s">
        <v>66</v>
      </c>
    </row>
    <row r="803" spans="1:14" ht="28" x14ac:dyDescent="0.15">
      <c r="A803" s="9" t="s">
        <v>1499</v>
      </c>
      <c r="B803" s="9" t="s">
        <v>1447</v>
      </c>
      <c r="C803" s="9"/>
      <c r="D803" s="9"/>
      <c r="E803" s="9" t="s">
        <v>51</v>
      </c>
      <c r="F803" s="9" t="s">
        <v>52</v>
      </c>
      <c r="G803" s="9" t="s">
        <v>69</v>
      </c>
      <c r="H803" s="9"/>
      <c r="I803" s="9"/>
      <c r="J803" s="9"/>
      <c r="K803" s="9"/>
      <c r="L803" s="9" t="s">
        <v>3</v>
      </c>
      <c r="M803" s="9" t="s">
        <v>58</v>
      </c>
      <c r="N803" s="9" t="s">
        <v>66</v>
      </c>
    </row>
    <row r="804" spans="1:14" ht="28" x14ac:dyDescent="0.15">
      <c r="A804" s="9" t="s">
        <v>1491</v>
      </c>
      <c r="B804" s="9" t="s">
        <v>1447</v>
      </c>
      <c r="C804" s="9" t="s">
        <v>183</v>
      </c>
      <c r="D804" s="9"/>
      <c r="E804" s="9" t="s">
        <v>51</v>
      </c>
      <c r="F804" s="9" t="s">
        <v>52</v>
      </c>
      <c r="G804" s="9" t="s">
        <v>69</v>
      </c>
      <c r="H804" s="9"/>
      <c r="I804" s="9"/>
      <c r="J804" s="9"/>
      <c r="K804" s="9"/>
      <c r="L804" s="9" t="s">
        <v>3</v>
      </c>
      <c r="M804" s="9" t="s">
        <v>58</v>
      </c>
      <c r="N804" s="9" t="s">
        <v>66</v>
      </c>
    </row>
    <row r="805" spans="1:14" ht="28" x14ac:dyDescent="0.15">
      <c r="A805" s="9" t="s">
        <v>1491</v>
      </c>
      <c r="B805" s="9" t="s">
        <v>1447</v>
      </c>
      <c r="C805" s="9"/>
      <c r="D805" s="9" t="s">
        <v>188</v>
      </c>
      <c r="E805" s="9" t="s">
        <v>51</v>
      </c>
      <c r="F805" s="9" t="s">
        <v>52</v>
      </c>
      <c r="G805" s="9" t="s">
        <v>69</v>
      </c>
      <c r="H805" s="9"/>
      <c r="I805" s="9"/>
      <c r="J805" s="9"/>
      <c r="K805" s="9"/>
      <c r="L805" s="9" t="s">
        <v>3</v>
      </c>
      <c r="M805" s="9" t="s">
        <v>58</v>
      </c>
      <c r="N805" s="9" t="s">
        <v>66</v>
      </c>
    </row>
    <row r="806" spans="1:14" ht="28" x14ac:dyDescent="0.15">
      <c r="A806" s="9" t="s">
        <v>1501</v>
      </c>
      <c r="B806" s="9" t="s">
        <v>1447</v>
      </c>
      <c r="C806" s="9"/>
      <c r="D806" s="9"/>
      <c r="E806" s="9" t="s">
        <v>51</v>
      </c>
      <c r="F806" s="9" t="s">
        <v>52</v>
      </c>
      <c r="G806" s="9" t="s">
        <v>69</v>
      </c>
      <c r="H806" s="9"/>
      <c r="I806" s="9"/>
      <c r="J806" s="9"/>
      <c r="K806" s="9"/>
      <c r="L806" s="9" t="s">
        <v>3</v>
      </c>
      <c r="M806" s="9" t="s">
        <v>58</v>
      </c>
      <c r="N806" s="9" t="s">
        <v>66</v>
      </c>
    </row>
    <row r="807" spans="1:14" ht="28" x14ac:dyDescent="0.15">
      <c r="A807" s="9" t="s">
        <v>1491</v>
      </c>
      <c r="B807" s="9" t="s">
        <v>1447</v>
      </c>
      <c r="C807" s="9"/>
      <c r="D807" s="9"/>
      <c r="E807" s="9" t="s">
        <v>51</v>
      </c>
      <c r="F807" s="9" t="s">
        <v>52</v>
      </c>
      <c r="G807" s="9" t="s">
        <v>69</v>
      </c>
      <c r="H807" s="9"/>
      <c r="I807" s="9"/>
      <c r="J807" s="9"/>
      <c r="K807" s="9"/>
      <c r="L807" s="9" t="s">
        <v>3</v>
      </c>
      <c r="M807" s="9" t="s">
        <v>58</v>
      </c>
      <c r="N807" s="9" t="s">
        <v>66</v>
      </c>
    </row>
    <row r="808" spans="1:14" ht="28" x14ac:dyDescent="0.15">
      <c r="A808" s="9" t="s">
        <v>1491</v>
      </c>
      <c r="B808" s="9" t="s">
        <v>1447</v>
      </c>
      <c r="C808" s="9"/>
      <c r="D808" s="9"/>
      <c r="E808" s="9" t="s">
        <v>51</v>
      </c>
      <c r="F808" s="9" t="s">
        <v>52</v>
      </c>
      <c r="G808" s="9" t="s">
        <v>69</v>
      </c>
      <c r="H808" s="9"/>
      <c r="I808" s="9"/>
      <c r="J808" s="9"/>
      <c r="K808" s="9"/>
      <c r="L808" s="9" t="s">
        <v>3</v>
      </c>
      <c r="M808" s="9" t="s">
        <v>58</v>
      </c>
      <c r="N808" s="9" t="s">
        <v>66</v>
      </c>
    </row>
    <row r="809" spans="1:14" ht="28" x14ac:dyDescent="0.15">
      <c r="A809" s="9" t="s">
        <v>1491</v>
      </c>
      <c r="B809" s="9" t="s">
        <v>1447</v>
      </c>
      <c r="C809" s="9"/>
      <c r="D809" s="9"/>
      <c r="E809" s="9" t="s">
        <v>51</v>
      </c>
      <c r="F809" s="9" t="s">
        <v>52</v>
      </c>
      <c r="G809" s="9" t="s">
        <v>69</v>
      </c>
      <c r="H809" s="9"/>
      <c r="I809" s="9"/>
      <c r="J809" s="9"/>
      <c r="K809" s="9"/>
      <c r="L809" s="9" t="s">
        <v>3</v>
      </c>
      <c r="M809" s="9" t="s">
        <v>58</v>
      </c>
      <c r="N809" s="9" t="s">
        <v>66</v>
      </c>
    </row>
    <row r="810" spans="1:14" ht="28" x14ac:dyDescent="0.15">
      <c r="A810" s="9" t="s">
        <v>1491</v>
      </c>
      <c r="B810" s="9" t="s">
        <v>1447</v>
      </c>
      <c r="C810" s="9"/>
      <c r="D810" s="9"/>
      <c r="E810" s="9" t="s">
        <v>51</v>
      </c>
      <c r="F810" s="9" t="s">
        <v>52</v>
      </c>
      <c r="G810" s="9" t="s">
        <v>69</v>
      </c>
      <c r="H810" s="9"/>
      <c r="I810" s="9"/>
      <c r="J810" s="9"/>
      <c r="K810" s="9"/>
      <c r="L810" s="9" t="s">
        <v>3</v>
      </c>
      <c r="M810" s="9" t="s">
        <v>58</v>
      </c>
      <c r="N810" s="9" t="s">
        <v>66</v>
      </c>
    </row>
    <row r="811" spans="1:14" ht="28" x14ac:dyDescent="0.15">
      <c r="A811" s="9" t="s">
        <v>1491</v>
      </c>
      <c r="B811" s="9" t="s">
        <v>1447</v>
      </c>
      <c r="C811" s="9"/>
      <c r="D811" s="9"/>
      <c r="E811" s="9" t="s">
        <v>51</v>
      </c>
      <c r="F811" s="9" t="s">
        <v>52</v>
      </c>
      <c r="G811" s="9" t="s">
        <v>69</v>
      </c>
      <c r="H811" s="9"/>
      <c r="I811" s="9"/>
      <c r="J811" s="9"/>
      <c r="K811" s="9"/>
      <c r="L811" s="9" t="s">
        <v>3</v>
      </c>
      <c r="M811" s="9" t="s">
        <v>58</v>
      </c>
      <c r="N811" s="9" t="s">
        <v>66</v>
      </c>
    </row>
    <row r="812" spans="1:14" ht="28" x14ac:dyDescent="0.15">
      <c r="A812" s="9" t="s">
        <v>1491</v>
      </c>
      <c r="B812" s="9" t="s">
        <v>1447</v>
      </c>
      <c r="C812" s="9"/>
      <c r="D812" s="9"/>
      <c r="E812" s="9" t="s">
        <v>51</v>
      </c>
      <c r="F812" s="9" t="s">
        <v>52</v>
      </c>
      <c r="G812" s="9" t="s">
        <v>69</v>
      </c>
      <c r="H812" s="9"/>
      <c r="I812" s="9"/>
      <c r="J812" s="9"/>
      <c r="K812" s="9"/>
      <c r="L812" s="9" t="s">
        <v>3</v>
      </c>
      <c r="M812" s="9" t="s">
        <v>58</v>
      </c>
      <c r="N812" s="9" t="s">
        <v>66</v>
      </c>
    </row>
    <row r="813" spans="1:14" ht="28" x14ac:dyDescent="0.15">
      <c r="A813" s="9" t="s">
        <v>1491</v>
      </c>
      <c r="B813" s="9" t="s">
        <v>1447</v>
      </c>
      <c r="C813" s="9"/>
      <c r="D813" s="9"/>
      <c r="E813" s="9" t="s">
        <v>51</v>
      </c>
      <c r="F813" s="9" t="s">
        <v>52</v>
      </c>
      <c r="G813" s="9" t="s">
        <v>69</v>
      </c>
      <c r="H813" s="9"/>
      <c r="I813" s="9"/>
      <c r="J813" s="9"/>
      <c r="K813" s="9"/>
      <c r="L813" s="9" t="s">
        <v>3</v>
      </c>
      <c r="M813" s="9" t="s">
        <v>58</v>
      </c>
      <c r="N813" s="9" t="s">
        <v>66</v>
      </c>
    </row>
    <row r="814" spans="1:14" ht="28" x14ac:dyDescent="0.15">
      <c r="A814" s="9" t="s">
        <v>1491</v>
      </c>
      <c r="B814" s="9" t="s">
        <v>1447</v>
      </c>
      <c r="C814" s="9"/>
      <c r="D814" s="9"/>
      <c r="E814" s="9" t="s">
        <v>51</v>
      </c>
      <c r="F814" s="9" t="s">
        <v>52</v>
      </c>
      <c r="G814" s="9" t="s">
        <v>69</v>
      </c>
      <c r="H814" s="9"/>
      <c r="I814" s="9"/>
      <c r="J814" s="9"/>
      <c r="K814" s="9"/>
      <c r="L814" s="9" t="s">
        <v>3</v>
      </c>
      <c r="M814" s="9" t="s">
        <v>58</v>
      </c>
      <c r="N814" s="9" t="s">
        <v>66</v>
      </c>
    </row>
    <row r="815" spans="1:14" ht="28" x14ac:dyDescent="0.15">
      <c r="A815" s="9" t="s">
        <v>1491</v>
      </c>
      <c r="B815" s="9" t="s">
        <v>1447</v>
      </c>
      <c r="C815" s="9"/>
      <c r="D815" s="9"/>
      <c r="E815" s="9" t="s">
        <v>51</v>
      </c>
      <c r="F815" s="9" t="s">
        <v>52</v>
      </c>
      <c r="G815" s="9" t="s">
        <v>69</v>
      </c>
      <c r="H815" s="9"/>
      <c r="I815" s="9"/>
      <c r="J815" s="9"/>
      <c r="K815" s="9"/>
      <c r="L815" s="9" t="s">
        <v>3</v>
      </c>
      <c r="M815" s="9" t="s">
        <v>58</v>
      </c>
      <c r="N815" s="9" t="s">
        <v>66</v>
      </c>
    </row>
    <row r="816" spans="1:14" ht="28" x14ac:dyDescent="0.15">
      <c r="A816" s="9" t="s">
        <v>1491</v>
      </c>
      <c r="B816" s="9" t="s">
        <v>1447</v>
      </c>
      <c r="C816" s="9"/>
      <c r="D816" s="9"/>
      <c r="E816" s="9" t="s">
        <v>51</v>
      </c>
      <c r="F816" s="9" t="s">
        <v>52</v>
      </c>
      <c r="G816" s="9" t="s">
        <v>69</v>
      </c>
      <c r="H816" s="9"/>
      <c r="I816" s="9"/>
      <c r="J816" s="9"/>
      <c r="K816" s="9"/>
      <c r="L816" s="9" t="s">
        <v>3</v>
      </c>
      <c r="M816" s="9" t="s">
        <v>58</v>
      </c>
      <c r="N816" s="9" t="s">
        <v>66</v>
      </c>
    </row>
    <row r="817" spans="1:14" ht="28" x14ac:dyDescent="0.15">
      <c r="A817" s="9" t="s">
        <v>1491</v>
      </c>
      <c r="B817" s="9" t="s">
        <v>1447</v>
      </c>
      <c r="C817" s="9"/>
      <c r="D817" s="9"/>
      <c r="E817" s="9" t="s">
        <v>51</v>
      </c>
      <c r="F817" s="9" t="s">
        <v>52</v>
      </c>
      <c r="G817" s="9" t="s">
        <v>69</v>
      </c>
      <c r="H817" s="9"/>
      <c r="I817" s="9"/>
      <c r="J817" s="9"/>
      <c r="K817" s="9"/>
      <c r="L817" s="9" t="s">
        <v>3</v>
      </c>
      <c r="M817" s="9" t="s">
        <v>58</v>
      </c>
      <c r="N817" s="9" t="s">
        <v>66</v>
      </c>
    </row>
    <row r="818" spans="1:14" ht="28" x14ac:dyDescent="0.15">
      <c r="A818" s="9" t="s">
        <v>1491</v>
      </c>
      <c r="B818" s="9" t="s">
        <v>1447</v>
      </c>
      <c r="C818" s="9"/>
      <c r="D818" s="9"/>
      <c r="E818" s="9" t="s">
        <v>51</v>
      </c>
      <c r="F818" s="9" t="s">
        <v>52</v>
      </c>
      <c r="G818" s="9" t="s">
        <v>69</v>
      </c>
      <c r="H818" s="9"/>
      <c r="I818" s="9"/>
      <c r="J818" s="9"/>
      <c r="K818" s="9"/>
      <c r="L818" s="9" t="s">
        <v>3</v>
      </c>
      <c r="M818" s="9" t="s">
        <v>58</v>
      </c>
      <c r="N818" s="9" t="s">
        <v>66</v>
      </c>
    </row>
    <row r="819" spans="1:14" ht="28" x14ac:dyDescent="0.15">
      <c r="A819" s="9" t="s">
        <v>1502</v>
      </c>
      <c r="B819" s="9" t="s">
        <v>1447</v>
      </c>
      <c r="C819" s="9"/>
      <c r="D819" s="9"/>
      <c r="E819" s="9" t="s">
        <v>51</v>
      </c>
      <c r="F819" s="9" t="s">
        <v>52</v>
      </c>
      <c r="G819" s="9" t="s">
        <v>69</v>
      </c>
      <c r="H819" s="9"/>
      <c r="I819" s="9"/>
      <c r="J819" s="9"/>
      <c r="K819" s="9"/>
      <c r="L819" s="9" t="s">
        <v>3</v>
      </c>
      <c r="M819" s="9" t="s">
        <v>58</v>
      </c>
      <c r="N819" s="9" t="s">
        <v>66</v>
      </c>
    </row>
    <row r="820" spans="1:14" ht="28" x14ac:dyDescent="0.15">
      <c r="A820" s="9" t="s">
        <v>1491</v>
      </c>
      <c r="B820" s="9" t="s">
        <v>1447</v>
      </c>
      <c r="C820" s="9" t="s">
        <v>93</v>
      </c>
      <c r="D820" s="9"/>
      <c r="E820" s="9" t="s">
        <v>51</v>
      </c>
      <c r="F820" s="9" t="s">
        <v>52</v>
      </c>
      <c r="G820" s="9" t="s">
        <v>69</v>
      </c>
      <c r="H820" s="9"/>
      <c r="I820" s="9"/>
      <c r="J820" s="9"/>
      <c r="K820" s="9"/>
      <c r="L820" s="9" t="s">
        <v>3</v>
      </c>
      <c r="M820" s="9" t="s">
        <v>58</v>
      </c>
      <c r="N820" s="9" t="s">
        <v>66</v>
      </c>
    </row>
    <row r="821" spans="1:14" ht="28" x14ac:dyDescent="0.15">
      <c r="A821" s="9" t="s">
        <v>1491</v>
      </c>
      <c r="B821" s="9" t="s">
        <v>1447</v>
      </c>
      <c r="C821" s="9"/>
      <c r="D821" s="9" t="s">
        <v>1503</v>
      </c>
      <c r="E821" s="9" t="s">
        <v>51</v>
      </c>
      <c r="F821" s="9" t="s">
        <v>52</v>
      </c>
      <c r="G821" s="9" t="s">
        <v>69</v>
      </c>
      <c r="H821" s="9"/>
      <c r="I821" s="9"/>
      <c r="J821" s="9"/>
      <c r="K821" s="9"/>
      <c r="L821" s="9" t="s">
        <v>3</v>
      </c>
      <c r="M821" s="9" t="s">
        <v>58</v>
      </c>
      <c r="N821" s="9" t="s">
        <v>66</v>
      </c>
    </row>
    <row r="822" spans="1:14" ht="28" x14ac:dyDescent="0.15">
      <c r="A822" s="9" t="s">
        <v>1504</v>
      </c>
      <c r="B822" s="9" t="s">
        <v>1447</v>
      </c>
      <c r="C822" s="9"/>
      <c r="D822" s="9"/>
      <c r="E822" s="9" t="s">
        <v>51</v>
      </c>
      <c r="F822" s="9" t="s">
        <v>52</v>
      </c>
      <c r="G822" s="9" t="s">
        <v>69</v>
      </c>
      <c r="H822" s="9"/>
      <c r="I822" s="9"/>
      <c r="J822" s="9"/>
      <c r="K822" s="9"/>
      <c r="L822" s="9" t="s">
        <v>3</v>
      </c>
      <c r="M822" s="9" t="s">
        <v>58</v>
      </c>
      <c r="N822" s="9" t="s">
        <v>66</v>
      </c>
    </row>
    <row r="823" spans="1:14" ht="28" x14ac:dyDescent="0.15">
      <c r="A823" s="9" t="s">
        <v>1491</v>
      </c>
      <c r="B823" s="9" t="s">
        <v>1447</v>
      </c>
      <c r="C823" s="9"/>
      <c r="D823" s="9"/>
      <c r="E823" s="9" t="s">
        <v>51</v>
      </c>
      <c r="F823" s="9" t="s">
        <v>52</v>
      </c>
      <c r="G823" s="9" t="s">
        <v>69</v>
      </c>
      <c r="H823" s="9"/>
      <c r="I823" s="9"/>
      <c r="J823" s="9"/>
      <c r="K823" s="9"/>
      <c r="L823" s="9" t="s">
        <v>3</v>
      </c>
      <c r="M823" s="9" t="s">
        <v>58</v>
      </c>
      <c r="N823" s="9" t="s">
        <v>66</v>
      </c>
    </row>
    <row r="824" spans="1:14" ht="28" x14ac:dyDescent="0.15">
      <c r="A824" s="9" t="s">
        <v>1491</v>
      </c>
      <c r="B824" s="9" t="s">
        <v>1447</v>
      </c>
      <c r="C824" s="9"/>
      <c r="D824" s="9"/>
      <c r="E824" s="9" t="s">
        <v>51</v>
      </c>
      <c r="F824" s="9" t="s">
        <v>52</v>
      </c>
      <c r="G824" s="9" t="s">
        <v>69</v>
      </c>
      <c r="H824" s="9"/>
      <c r="I824" s="9"/>
      <c r="J824" s="9"/>
      <c r="K824" s="9"/>
      <c r="L824" s="9" t="s">
        <v>3</v>
      </c>
      <c r="M824" s="9" t="s">
        <v>58</v>
      </c>
      <c r="N824" s="9" t="s">
        <v>66</v>
      </c>
    </row>
    <row r="825" spans="1:14" ht="28" x14ac:dyDescent="0.15">
      <c r="A825" s="9" t="s">
        <v>1491</v>
      </c>
      <c r="B825" s="9" t="s">
        <v>1447</v>
      </c>
      <c r="C825" s="9"/>
      <c r="D825" s="9"/>
      <c r="E825" s="9" t="s">
        <v>51</v>
      </c>
      <c r="F825" s="9" t="s">
        <v>52</v>
      </c>
      <c r="G825" s="9" t="s">
        <v>69</v>
      </c>
      <c r="H825" s="9"/>
      <c r="I825" s="9"/>
      <c r="J825" s="9"/>
      <c r="K825" s="9"/>
      <c r="L825" s="9" t="s">
        <v>3</v>
      </c>
      <c r="M825" s="9" t="s">
        <v>58</v>
      </c>
      <c r="N825" s="9" t="s">
        <v>66</v>
      </c>
    </row>
    <row r="826" spans="1:14" ht="28" x14ac:dyDescent="0.15">
      <c r="A826" s="9" t="s">
        <v>1491</v>
      </c>
      <c r="B826" s="9" t="s">
        <v>1447</v>
      </c>
      <c r="C826" s="9"/>
      <c r="D826" s="9"/>
      <c r="E826" s="9" t="s">
        <v>51</v>
      </c>
      <c r="F826" s="9" t="s">
        <v>52</v>
      </c>
      <c r="G826" s="9" t="s">
        <v>69</v>
      </c>
      <c r="H826" s="9"/>
      <c r="I826" s="9"/>
      <c r="J826" s="9"/>
      <c r="K826" s="9"/>
      <c r="L826" s="9" t="s">
        <v>3</v>
      </c>
      <c r="M826" s="9" t="s">
        <v>58</v>
      </c>
      <c r="N826" s="9" t="s">
        <v>66</v>
      </c>
    </row>
    <row r="827" spans="1:14" ht="28" x14ac:dyDescent="0.15">
      <c r="A827" s="9" t="s">
        <v>1491</v>
      </c>
      <c r="B827" s="9" t="s">
        <v>1447</v>
      </c>
      <c r="C827" s="9"/>
      <c r="D827" s="9"/>
      <c r="E827" s="9" t="s">
        <v>51</v>
      </c>
      <c r="F827" s="9" t="s">
        <v>52</v>
      </c>
      <c r="G827" s="9" t="s">
        <v>69</v>
      </c>
      <c r="H827" s="9"/>
      <c r="I827" s="9"/>
      <c r="J827" s="9"/>
      <c r="K827" s="9"/>
      <c r="L827" s="9" t="s">
        <v>3</v>
      </c>
      <c r="M827" s="9" t="s">
        <v>58</v>
      </c>
      <c r="N827" s="9" t="s">
        <v>66</v>
      </c>
    </row>
    <row r="828" spans="1:14" ht="28" x14ac:dyDescent="0.15">
      <c r="A828" s="9" t="s">
        <v>1491</v>
      </c>
      <c r="B828" s="9" t="s">
        <v>1447</v>
      </c>
      <c r="C828" s="9"/>
      <c r="D828" s="9"/>
      <c r="E828" s="9" t="s">
        <v>51</v>
      </c>
      <c r="F828" s="9" t="s">
        <v>52</v>
      </c>
      <c r="G828" s="9" t="s">
        <v>69</v>
      </c>
      <c r="H828" s="9"/>
      <c r="I828" s="9"/>
      <c r="J828" s="9"/>
      <c r="K828" s="9"/>
      <c r="L828" s="9" t="s">
        <v>3</v>
      </c>
      <c r="M828" s="9" t="s">
        <v>58</v>
      </c>
      <c r="N828" s="9" t="s">
        <v>66</v>
      </c>
    </row>
    <row r="829" spans="1:14" ht="28" x14ac:dyDescent="0.15">
      <c r="A829" s="9" t="s">
        <v>1491</v>
      </c>
      <c r="B829" s="9" t="s">
        <v>1447</v>
      </c>
      <c r="C829" s="9"/>
      <c r="D829" s="9"/>
      <c r="E829" s="9" t="s">
        <v>51</v>
      </c>
      <c r="F829" s="9" t="s">
        <v>52</v>
      </c>
      <c r="G829" s="9" t="s">
        <v>69</v>
      </c>
      <c r="H829" s="9"/>
      <c r="I829" s="9"/>
      <c r="J829" s="9"/>
      <c r="K829" s="9"/>
      <c r="L829" s="9" t="s">
        <v>3</v>
      </c>
      <c r="M829" s="9" t="s">
        <v>58</v>
      </c>
      <c r="N829" s="9" t="s">
        <v>66</v>
      </c>
    </row>
    <row r="830" spans="1:14" ht="28" x14ac:dyDescent="0.15">
      <c r="A830" s="9" t="s">
        <v>1491</v>
      </c>
      <c r="B830" s="9" t="s">
        <v>1447</v>
      </c>
      <c r="C830" s="9"/>
      <c r="D830" s="9"/>
      <c r="E830" s="9" t="s">
        <v>51</v>
      </c>
      <c r="F830" s="9" t="s">
        <v>52</v>
      </c>
      <c r="G830" s="9" t="s">
        <v>69</v>
      </c>
      <c r="H830" s="9"/>
      <c r="I830" s="9"/>
      <c r="J830" s="9"/>
      <c r="K830" s="9"/>
      <c r="L830" s="9" t="s">
        <v>3</v>
      </c>
      <c r="M830" s="9" t="s">
        <v>58</v>
      </c>
      <c r="N830" s="9" t="s">
        <v>66</v>
      </c>
    </row>
    <row r="831" spans="1:14" ht="28" x14ac:dyDescent="0.15">
      <c r="A831" s="9" t="s">
        <v>1491</v>
      </c>
      <c r="B831" s="9" t="s">
        <v>1447</v>
      </c>
      <c r="C831" s="9"/>
      <c r="D831" s="9"/>
      <c r="E831" s="9" t="s">
        <v>51</v>
      </c>
      <c r="F831" s="9" t="s">
        <v>52</v>
      </c>
      <c r="G831" s="9" t="s">
        <v>69</v>
      </c>
      <c r="H831" s="9"/>
      <c r="I831" s="9"/>
      <c r="J831" s="9"/>
      <c r="K831" s="9"/>
      <c r="L831" s="9" t="s">
        <v>3</v>
      </c>
      <c r="M831" s="9" t="s">
        <v>58</v>
      </c>
      <c r="N831" s="9" t="s">
        <v>66</v>
      </c>
    </row>
    <row r="832" spans="1:14" ht="28" x14ac:dyDescent="0.15">
      <c r="A832" s="9" t="s">
        <v>1491</v>
      </c>
      <c r="B832" s="9" t="s">
        <v>1447</v>
      </c>
      <c r="C832" s="9"/>
      <c r="D832" s="9"/>
      <c r="E832" s="9" t="s">
        <v>51</v>
      </c>
      <c r="F832" s="9" t="s">
        <v>52</v>
      </c>
      <c r="G832" s="9" t="s">
        <v>69</v>
      </c>
      <c r="H832" s="9"/>
      <c r="I832" s="9"/>
      <c r="J832" s="9"/>
      <c r="K832" s="9"/>
      <c r="L832" s="9" t="s">
        <v>3</v>
      </c>
      <c r="M832" s="9" t="s">
        <v>58</v>
      </c>
      <c r="N832" s="9" t="s">
        <v>66</v>
      </c>
    </row>
    <row r="833" spans="1:14" ht="28" x14ac:dyDescent="0.15">
      <c r="A833" s="9" t="s">
        <v>1491</v>
      </c>
      <c r="B833" s="9" t="s">
        <v>1447</v>
      </c>
      <c r="C833" s="9"/>
      <c r="D833" s="9"/>
      <c r="E833" s="9" t="s">
        <v>51</v>
      </c>
      <c r="F833" s="9" t="s">
        <v>52</v>
      </c>
      <c r="G833" s="9" t="s">
        <v>69</v>
      </c>
      <c r="H833" s="9"/>
      <c r="I833" s="9"/>
      <c r="J833" s="9"/>
      <c r="K833" s="9"/>
      <c r="L833" s="9" t="s">
        <v>3</v>
      </c>
      <c r="M833" s="9" t="s">
        <v>58</v>
      </c>
      <c r="N833" s="9" t="s">
        <v>66</v>
      </c>
    </row>
    <row r="834" spans="1:14" ht="28" x14ac:dyDescent="0.15">
      <c r="A834" s="9" t="s">
        <v>1491</v>
      </c>
      <c r="B834" s="9" t="s">
        <v>1447</v>
      </c>
      <c r="C834" s="9"/>
      <c r="D834" s="9"/>
      <c r="E834" s="9" t="s">
        <v>51</v>
      </c>
      <c r="F834" s="9" t="s">
        <v>52</v>
      </c>
      <c r="G834" s="9" t="s">
        <v>69</v>
      </c>
      <c r="H834" s="9"/>
      <c r="I834" s="9"/>
      <c r="J834" s="9"/>
      <c r="K834" s="9"/>
      <c r="L834" s="9" t="s">
        <v>3</v>
      </c>
      <c r="M834" s="9" t="s">
        <v>58</v>
      </c>
      <c r="N834" s="9" t="s">
        <v>66</v>
      </c>
    </row>
    <row r="835" spans="1:14" ht="28" x14ac:dyDescent="0.15">
      <c r="A835" s="9" t="s">
        <v>1502</v>
      </c>
      <c r="B835" s="9" t="s">
        <v>1447</v>
      </c>
      <c r="C835" s="9"/>
      <c r="D835" s="9"/>
      <c r="E835" s="9" t="s">
        <v>51</v>
      </c>
      <c r="F835" s="9" t="s">
        <v>52</v>
      </c>
      <c r="G835" s="9" t="s">
        <v>69</v>
      </c>
      <c r="H835" s="9"/>
      <c r="I835" s="9"/>
      <c r="J835" s="9"/>
      <c r="K835" s="9"/>
      <c r="L835" s="9" t="s">
        <v>3</v>
      </c>
      <c r="M835" s="9" t="s">
        <v>58</v>
      </c>
      <c r="N835" s="9" t="s">
        <v>66</v>
      </c>
    </row>
    <row r="836" spans="1:14" ht="28" x14ac:dyDescent="0.15">
      <c r="A836" s="9" t="s">
        <v>1491</v>
      </c>
      <c r="B836" s="9" t="s">
        <v>1447</v>
      </c>
      <c r="C836" s="9" t="s">
        <v>93</v>
      </c>
      <c r="D836" s="9"/>
      <c r="E836" s="9" t="s">
        <v>51</v>
      </c>
      <c r="F836" s="9" t="s">
        <v>52</v>
      </c>
      <c r="G836" s="9" t="s">
        <v>69</v>
      </c>
      <c r="H836" s="9"/>
      <c r="I836" s="9"/>
      <c r="J836" s="9"/>
      <c r="K836" s="9"/>
      <c r="L836" s="9" t="s">
        <v>3</v>
      </c>
      <c r="M836" s="9" t="s">
        <v>58</v>
      </c>
      <c r="N836" s="9" t="s">
        <v>66</v>
      </c>
    </row>
    <row r="837" spans="1:14" ht="28" x14ac:dyDescent="0.15">
      <c r="A837" s="9" t="s">
        <v>1491</v>
      </c>
      <c r="B837" s="9" t="s">
        <v>1447</v>
      </c>
      <c r="C837" s="9"/>
      <c r="D837" s="9" t="s">
        <v>1503</v>
      </c>
      <c r="E837" s="9" t="s">
        <v>51</v>
      </c>
      <c r="F837" s="9" t="s">
        <v>52</v>
      </c>
      <c r="G837" s="9" t="s">
        <v>69</v>
      </c>
      <c r="H837" s="9"/>
      <c r="I837" s="9"/>
      <c r="J837" s="9"/>
      <c r="K837" s="9"/>
      <c r="L837" s="9" t="s">
        <v>3</v>
      </c>
      <c r="M837" s="9" t="s">
        <v>58</v>
      </c>
      <c r="N837" s="9" t="s">
        <v>66</v>
      </c>
    </row>
    <row r="838" spans="1:14" ht="28" x14ac:dyDescent="0.15">
      <c r="A838" s="9" t="s">
        <v>1505</v>
      </c>
      <c r="B838" s="9" t="s">
        <v>1447</v>
      </c>
      <c r="C838" s="9"/>
      <c r="D838" s="9"/>
      <c r="E838" s="9" t="s">
        <v>51</v>
      </c>
      <c r="F838" s="9" t="s">
        <v>52</v>
      </c>
      <c r="G838" s="9" t="s">
        <v>69</v>
      </c>
      <c r="H838" s="9"/>
      <c r="I838" s="9"/>
      <c r="J838" s="9"/>
      <c r="K838" s="9"/>
      <c r="L838" s="9" t="s">
        <v>3</v>
      </c>
      <c r="M838" s="9" t="s">
        <v>58</v>
      </c>
      <c r="N838" s="9" t="s">
        <v>66</v>
      </c>
    </row>
    <row r="839" spans="1:14" ht="28" x14ac:dyDescent="0.15">
      <c r="A839" s="9" t="s">
        <v>1491</v>
      </c>
      <c r="B839" s="9" t="s">
        <v>1447</v>
      </c>
      <c r="C839" s="9"/>
      <c r="D839" s="9"/>
      <c r="E839" s="9" t="s">
        <v>51</v>
      </c>
      <c r="F839" s="9" t="s">
        <v>52</v>
      </c>
      <c r="G839" s="9" t="s">
        <v>69</v>
      </c>
      <c r="H839" s="9"/>
      <c r="I839" s="9"/>
      <c r="J839" s="9"/>
      <c r="K839" s="9"/>
      <c r="L839" s="9" t="s">
        <v>3</v>
      </c>
      <c r="M839" s="9" t="s">
        <v>58</v>
      </c>
      <c r="N839" s="9" t="s">
        <v>66</v>
      </c>
    </row>
    <row r="840" spans="1:14" ht="28" x14ac:dyDescent="0.15">
      <c r="A840" s="9" t="s">
        <v>1491</v>
      </c>
      <c r="B840" s="9" t="s">
        <v>1447</v>
      </c>
      <c r="C840" s="9"/>
      <c r="D840" s="9"/>
      <c r="E840" s="9" t="s">
        <v>51</v>
      </c>
      <c r="F840" s="9" t="s">
        <v>52</v>
      </c>
      <c r="G840" s="9" t="s">
        <v>69</v>
      </c>
      <c r="H840" s="9"/>
      <c r="I840" s="9"/>
      <c r="J840" s="9"/>
      <c r="K840" s="9"/>
      <c r="L840" s="9" t="s">
        <v>3</v>
      </c>
      <c r="M840" s="9" t="s">
        <v>58</v>
      </c>
      <c r="N840" s="9" t="s">
        <v>66</v>
      </c>
    </row>
    <row r="841" spans="1:14" ht="28" x14ac:dyDescent="0.15">
      <c r="A841" s="9" t="s">
        <v>1491</v>
      </c>
      <c r="B841" s="9" t="s">
        <v>1447</v>
      </c>
      <c r="C841" s="9"/>
      <c r="D841" s="9"/>
      <c r="E841" s="9" t="s">
        <v>51</v>
      </c>
      <c r="F841" s="9" t="s">
        <v>52</v>
      </c>
      <c r="G841" s="9" t="s">
        <v>69</v>
      </c>
      <c r="H841" s="9"/>
      <c r="I841" s="9"/>
      <c r="J841" s="9"/>
      <c r="K841" s="9"/>
      <c r="L841" s="9" t="s">
        <v>3</v>
      </c>
      <c r="M841" s="9" t="s">
        <v>58</v>
      </c>
      <c r="N841" s="9" t="s">
        <v>66</v>
      </c>
    </row>
    <row r="842" spans="1:14" ht="28" x14ac:dyDescent="0.15">
      <c r="A842" s="9" t="s">
        <v>1491</v>
      </c>
      <c r="B842" s="9" t="s">
        <v>1447</v>
      </c>
      <c r="C842" s="9"/>
      <c r="D842" s="9"/>
      <c r="E842" s="9" t="s">
        <v>51</v>
      </c>
      <c r="F842" s="9" t="s">
        <v>52</v>
      </c>
      <c r="G842" s="9" t="s">
        <v>69</v>
      </c>
      <c r="H842" s="9"/>
      <c r="I842" s="9"/>
      <c r="J842" s="9"/>
      <c r="K842" s="9"/>
      <c r="L842" s="9" t="s">
        <v>3</v>
      </c>
      <c r="M842" s="9" t="s">
        <v>58</v>
      </c>
      <c r="N842" s="9" t="s">
        <v>66</v>
      </c>
    </row>
    <row r="843" spans="1:14" ht="28" x14ac:dyDescent="0.15">
      <c r="A843" s="9" t="s">
        <v>1491</v>
      </c>
      <c r="B843" s="9" t="s">
        <v>1447</v>
      </c>
      <c r="C843" s="9"/>
      <c r="D843" s="9"/>
      <c r="E843" s="9" t="s">
        <v>51</v>
      </c>
      <c r="F843" s="9" t="s">
        <v>52</v>
      </c>
      <c r="G843" s="9" t="s">
        <v>69</v>
      </c>
      <c r="H843" s="9"/>
      <c r="I843" s="9"/>
      <c r="J843" s="9"/>
      <c r="K843" s="9"/>
      <c r="L843" s="9" t="s">
        <v>3</v>
      </c>
      <c r="M843" s="9" t="s">
        <v>58</v>
      </c>
      <c r="N843" s="9" t="s">
        <v>66</v>
      </c>
    </row>
    <row r="844" spans="1:14" ht="28" x14ac:dyDescent="0.15">
      <c r="A844" s="9" t="s">
        <v>1491</v>
      </c>
      <c r="B844" s="9" t="s">
        <v>1447</v>
      </c>
      <c r="C844" s="9"/>
      <c r="D844" s="9"/>
      <c r="E844" s="9" t="s">
        <v>51</v>
      </c>
      <c r="F844" s="9" t="s">
        <v>52</v>
      </c>
      <c r="G844" s="9" t="s">
        <v>69</v>
      </c>
      <c r="H844" s="9"/>
      <c r="I844" s="9"/>
      <c r="J844" s="9"/>
      <c r="K844" s="9"/>
      <c r="L844" s="9" t="s">
        <v>3</v>
      </c>
      <c r="M844" s="9" t="s">
        <v>58</v>
      </c>
      <c r="N844" s="9" t="s">
        <v>66</v>
      </c>
    </row>
    <row r="845" spans="1:14" ht="28" x14ac:dyDescent="0.15">
      <c r="A845" s="9" t="s">
        <v>1491</v>
      </c>
      <c r="B845" s="9" t="s">
        <v>1447</v>
      </c>
      <c r="C845" s="9"/>
      <c r="D845" s="9"/>
      <c r="E845" s="9" t="s">
        <v>51</v>
      </c>
      <c r="F845" s="9" t="s">
        <v>52</v>
      </c>
      <c r="G845" s="9" t="s">
        <v>69</v>
      </c>
      <c r="H845" s="9"/>
      <c r="I845" s="9"/>
      <c r="J845" s="9"/>
      <c r="K845" s="9"/>
      <c r="L845" s="9" t="s">
        <v>3</v>
      </c>
      <c r="M845" s="9" t="s">
        <v>58</v>
      </c>
      <c r="N845" s="9" t="s">
        <v>66</v>
      </c>
    </row>
    <row r="846" spans="1:14" ht="28" x14ac:dyDescent="0.15">
      <c r="A846" s="9" t="s">
        <v>1491</v>
      </c>
      <c r="B846" s="9" t="s">
        <v>1447</v>
      </c>
      <c r="C846" s="9"/>
      <c r="D846" s="9"/>
      <c r="E846" s="9" t="s">
        <v>51</v>
      </c>
      <c r="F846" s="9" t="s">
        <v>52</v>
      </c>
      <c r="G846" s="9" t="s">
        <v>69</v>
      </c>
      <c r="H846" s="9"/>
      <c r="I846" s="9"/>
      <c r="J846" s="9"/>
      <c r="K846" s="9"/>
      <c r="L846" s="9" t="s">
        <v>3</v>
      </c>
      <c r="M846" s="9" t="s">
        <v>58</v>
      </c>
      <c r="N846" s="9" t="s">
        <v>66</v>
      </c>
    </row>
    <row r="847" spans="1:14" ht="28" x14ac:dyDescent="0.15">
      <c r="A847" s="9" t="s">
        <v>1491</v>
      </c>
      <c r="B847" s="9" t="s">
        <v>1447</v>
      </c>
      <c r="C847" s="9"/>
      <c r="D847" s="9"/>
      <c r="E847" s="9" t="s">
        <v>51</v>
      </c>
      <c r="F847" s="9" t="s">
        <v>52</v>
      </c>
      <c r="G847" s="9" t="s">
        <v>69</v>
      </c>
      <c r="H847" s="9"/>
      <c r="I847" s="9"/>
      <c r="J847" s="9"/>
      <c r="K847" s="9"/>
      <c r="L847" s="9" t="s">
        <v>3</v>
      </c>
      <c r="M847" s="9" t="s">
        <v>58</v>
      </c>
      <c r="N847" s="9" t="s">
        <v>66</v>
      </c>
    </row>
    <row r="848" spans="1:14" ht="28" x14ac:dyDescent="0.15">
      <c r="A848" s="9" t="s">
        <v>1491</v>
      </c>
      <c r="B848" s="9" t="s">
        <v>1447</v>
      </c>
      <c r="C848" s="9"/>
      <c r="D848" s="9"/>
      <c r="E848" s="9" t="s">
        <v>51</v>
      </c>
      <c r="F848" s="9" t="s">
        <v>52</v>
      </c>
      <c r="G848" s="9" t="s">
        <v>69</v>
      </c>
      <c r="H848" s="9"/>
      <c r="I848" s="9"/>
      <c r="J848" s="9"/>
      <c r="K848" s="9"/>
      <c r="L848" s="9" t="s">
        <v>3</v>
      </c>
      <c r="M848" s="9" t="s">
        <v>58</v>
      </c>
      <c r="N848" s="9" t="s">
        <v>66</v>
      </c>
    </row>
    <row r="849" spans="1:14" ht="28" x14ac:dyDescent="0.15">
      <c r="A849" s="9" t="s">
        <v>1491</v>
      </c>
      <c r="B849" s="9" t="s">
        <v>1447</v>
      </c>
      <c r="C849" s="9"/>
      <c r="D849" s="9"/>
      <c r="E849" s="9" t="s">
        <v>51</v>
      </c>
      <c r="F849" s="9" t="s">
        <v>52</v>
      </c>
      <c r="G849" s="9" t="s">
        <v>69</v>
      </c>
      <c r="H849" s="9"/>
      <c r="I849" s="9"/>
      <c r="J849" s="9"/>
      <c r="K849" s="9"/>
      <c r="L849" s="9" t="s">
        <v>3</v>
      </c>
      <c r="M849" s="9" t="s">
        <v>58</v>
      </c>
      <c r="N849" s="9" t="s">
        <v>66</v>
      </c>
    </row>
    <row r="850" spans="1:14" ht="28" x14ac:dyDescent="0.15">
      <c r="A850" s="9" t="s">
        <v>1491</v>
      </c>
      <c r="B850" s="9" t="s">
        <v>1447</v>
      </c>
      <c r="C850" s="9"/>
      <c r="D850" s="9"/>
      <c r="E850" s="9" t="s">
        <v>51</v>
      </c>
      <c r="F850" s="9" t="s">
        <v>52</v>
      </c>
      <c r="G850" s="9" t="s">
        <v>69</v>
      </c>
      <c r="H850" s="9"/>
      <c r="I850" s="9"/>
      <c r="J850" s="9"/>
      <c r="K850" s="9"/>
      <c r="L850" s="9" t="s">
        <v>3</v>
      </c>
      <c r="M850" s="9" t="s">
        <v>58</v>
      </c>
      <c r="N850" s="9" t="s">
        <v>66</v>
      </c>
    </row>
    <row r="851" spans="1:14" ht="28" x14ac:dyDescent="0.15">
      <c r="A851" s="9" t="s">
        <v>1502</v>
      </c>
      <c r="B851" s="9" t="s">
        <v>1447</v>
      </c>
      <c r="C851" s="9"/>
      <c r="D851" s="9"/>
      <c r="E851" s="9" t="s">
        <v>51</v>
      </c>
      <c r="F851" s="9" t="s">
        <v>52</v>
      </c>
      <c r="G851" s="9" t="s">
        <v>69</v>
      </c>
      <c r="H851" s="9"/>
      <c r="I851" s="9"/>
      <c r="J851" s="9"/>
      <c r="K851" s="9"/>
      <c r="L851" s="9" t="s">
        <v>3</v>
      </c>
      <c r="M851" s="9" t="s">
        <v>58</v>
      </c>
      <c r="N851" s="9" t="s">
        <v>66</v>
      </c>
    </row>
    <row r="852" spans="1:14" ht="28" x14ac:dyDescent="0.15">
      <c r="A852" s="9" t="s">
        <v>1491</v>
      </c>
      <c r="B852" s="9" t="s">
        <v>1447</v>
      </c>
      <c r="C852" s="9" t="s">
        <v>93</v>
      </c>
      <c r="D852" s="9"/>
      <c r="E852" s="9" t="s">
        <v>51</v>
      </c>
      <c r="F852" s="9" t="s">
        <v>52</v>
      </c>
      <c r="G852" s="9" t="s">
        <v>69</v>
      </c>
      <c r="H852" s="9"/>
      <c r="I852" s="9"/>
      <c r="J852" s="9"/>
      <c r="K852" s="9"/>
      <c r="L852" s="9" t="s">
        <v>3</v>
      </c>
      <c r="M852" s="9" t="s">
        <v>58</v>
      </c>
      <c r="N852" s="9" t="s">
        <v>66</v>
      </c>
    </row>
    <row r="853" spans="1:14" ht="28" x14ac:dyDescent="0.15">
      <c r="A853" s="9" t="s">
        <v>1491</v>
      </c>
      <c r="B853" s="9" t="s">
        <v>1447</v>
      </c>
      <c r="C853" s="9"/>
      <c r="D853" s="9" t="s">
        <v>1503</v>
      </c>
      <c r="E853" s="9" t="s">
        <v>51</v>
      </c>
      <c r="F853" s="9" t="s">
        <v>52</v>
      </c>
      <c r="G853" s="9" t="s">
        <v>69</v>
      </c>
      <c r="H853" s="9"/>
      <c r="I853" s="9"/>
      <c r="J853" s="9"/>
      <c r="K853" s="9"/>
      <c r="L853" s="9" t="s">
        <v>3</v>
      </c>
      <c r="M853" s="9" t="s">
        <v>58</v>
      </c>
      <c r="N853" s="9" t="s">
        <v>66</v>
      </c>
    </row>
    <row r="854" spans="1:14" ht="28" x14ac:dyDescent="0.15">
      <c r="A854" s="9" t="s">
        <v>1506</v>
      </c>
      <c r="B854" s="9" t="s">
        <v>1447</v>
      </c>
      <c r="C854" s="9"/>
      <c r="D854" s="9"/>
      <c r="E854" s="9" t="s">
        <v>51</v>
      </c>
      <c r="F854" s="9" t="s">
        <v>52</v>
      </c>
      <c r="G854" s="9" t="s">
        <v>69</v>
      </c>
      <c r="H854" s="9"/>
      <c r="I854" s="9"/>
      <c r="J854" s="9"/>
      <c r="K854" s="9"/>
      <c r="L854" s="9" t="s">
        <v>3</v>
      </c>
      <c r="M854" s="9" t="s">
        <v>58</v>
      </c>
      <c r="N854" s="9" t="s">
        <v>66</v>
      </c>
    </row>
    <row r="855" spans="1:14" ht="28" x14ac:dyDescent="0.15">
      <c r="A855" s="9" t="s">
        <v>1491</v>
      </c>
      <c r="B855" s="9" t="s">
        <v>1447</v>
      </c>
      <c r="C855" s="9"/>
      <c r="D855" s="9"/>
      <c r="E855" s="9" t="s">
        <v>51</v>
      </c>
      <c r="F855" s="9" t="s">
        <v>52</v>
      </c>
      <c r="G855" s="9" t="s">
        <v>69</v>
      </c>
      <c r="H855" s="9"/>
      <c r="I855" s="9"/>
      <c r="J855" s="9"/>
      <c r="K855" s="9"/>
      <c r="L855" s="9" t="s">
        <v>3</v>
      </c>
      <c r="M855" s="9" t="s">
        <v>58</v>
      </c>
      <c r="N855" s="9" t="s">
        <v>66</v>
      </c>
    </row>
    <row r="856" spans="1:14" ht="28" x14ac:dyDescent="0.15">
      <c r="A856" s="9" t="s">
        <v>1491</v>
      </c>
      <c r="B856" s="9" t="s">
        <v>1447</v>
      </c>
      <c r="C856" s="9"/>
      <c r="D856" s="9"/>
      <c r="E856" s="9" t="s">
        <v>51</v>
      </c>
      <c r="F856" s="9" t="s">
        <v>52</v>
      </c>
      <c r="G856" s="9" t="s">
        <v>69</v>
      </c>
      <c r="H856" s="9"/>
      <c r="I856" s="9"/>
      <c r="J856" s="9"/>
      <c r="K856" s="9"/>
      <c r="L856" s="9" t="s">
        <v>3</v>
      </c>
      <c r="M856" s="9" t="s">
        <v>58</v>
      </c>
      <c r="N856" s="9" t="s">
        <v>66</v>
      </c>
    </row>
    <row r="857" spans="1:14" ht="28" x14ac:dyDescent="0.15">
      <c r="A857" s="9" t="s">
        <v>1491</v>
      </c>
      <c r="B857" s="9" t="s">
        <v>1447</v>
      </c>
      <c r="C857" s="9"/>
      <c r="D857" s="9"/>
      <c r="E857" s="9" t="s">
        <v>51</v>
      </c>
      <c r="F857" s="9" t="s">
        <v>52</v>
      </c>
      <c r="G857" s="9" t="s">
        <v>69</v>
      </c>
      <c r="H857" s="9"/>
      <c r="I857" s="9"/>
      <c r="J857" s="9"/>
      <c r="K857" s="9"/>
      <c r="L857" s="9" t="s">
        <v>3</v>
      </c>
      <c r="M857" s="9" t="s">
        <v>58</v>
      </c>
      <c r="N857" s="9" t="s">
        <v>66</v>
      </c>
    </row>
    <row r="858" spans="1:14" ht="28" x14ac:dyDescent="0.15">
      <c r="A858" s="9" t="s">
        <v>1491</v>
      </c>
      <c r="B858" s="9" t="s">
        <v>1447</v>
      </c>
      <c r="C858" s="9"/>
      <c r="D858" s="9"/>
      <c r="E858" s="9" t="s">
        <v>51</v>
      </c>
      <c r="F858" s="9" t="s">
        <v>52</v>
      </c>
      <c r="G858" s="9" t="s">
        <v>69</v>
      </c>
      <c r="H858" s="9"/>
      <c r="I858" s="9"/>
      <c r="J858" s="9"/>
      <c r="K858" s="9"/>
      <c r="L858" s="9" t="s">
        <v>3</v>
      </c>
      <c r="M858" s="9" t="s">
        <v>58</v>
      </c>
      <c r="N858" s="9" t="s">
        <v>66</v>
      </c>
    </row>
    <row r="859" spans="1:14" ht="28" x14ac:dyDescent="0.15">
      <c r="A859" s="9" t="s">
        <v>1491</v>
      </c>
      <c r="B859" s="9" t="s">
        <v>1447</v>
      </c>
      <c r="C859" s="9"/>
      <c r="D859" s="9"/>
      <c r="E859" s="9" t="s">
        <v>51</v>
      </c>
      <c r="F859" s="9" t="s">
        <v>52</v>
      </c>
      <c r="G859" s="9" t="s">
        <v>69</v>
      </c>
      <c r="H859" s="9"/>
      <c r="I859" s="9"/>
      <c r="J859" s="9"/>
      <c r="K859" s="9"/>
      <c r="L859" s="9" t="s">
        <v>3</v>
      </c>
      <c r="M859" s="9" t="s">
        <v>58</v>
      </c>
      <c r="N859" s="9" t="s">
        <v>66</v>
      </c>
    </row>
    <row r="860" spans="1:14" ht="28" x14ac:dyDescent="0.15">
      <c r="A860" s="9" t="s">
        <v>1491</v>
      </c>
      <c r="B860" s="9" t="s">
        <v>1447</v>
      </c>
      <c r="C860" s="9"/>
      <c r="D860" s="9"/>
      <c r="E860" s="9" t="s">
        <v>51</v>
      </c>
      <c r="F860" s="9" t="s">
        <v>52</v>
      </c>
      <c r="G860" s="9" t="s">
        <v>69</v>
      </c>
      <c r="H860" s="9"/>
      <c r="I860" s="9"/>
      <c r="J860" s="9"/>
      <c r="K860" s="9"/>
      <c r="L860" s="9" t="s">
        <v>3</v>
      </c>
      <c r="M860" s="9" t="s">
        <v>58</v>
      </c>
      <c r="N860" s="9" t="s">
        <v>66</v>
      </c>
    </row>
    <row r="861" spans="1:14" ht="28" x14ac:dyDescent="0.15">
      <c r="A861" s="9" t="s">
        <v>1491</v>
      </c>
      <c r="B861" s="9" t="s">
        <v>1447</v>
      </c>
      <c r="C861" s="9"/>
      <c r="D861" s="9"/>
      <c r="E861" s="9" t="s">
        <v>51</v>
      </c>
      <c r="F861" s="9" t="s">
        <v>52</v>
      </c>
      <c r="G861" s="9" t="s">
        <v>69</v>
      </c>
      <c r="H861" s="9"/>
      <c r="I861" s="9"/>
      <c r="J861" s="9"/>
      <c r="K861" s="9"/>
      <c r="L861" s="9" t="s">
        <v>3</v>
      </c>
      <c r="M861" s="9" t="s">
        <v>58</v>
      </c>
      <c r="N861" s="9" t="s">
        <v>66</v>
      </c>
    </row>
    <row r="862" spans="1:14" ht="28" x14ac:dyDescent="0.15">
      <c r="A862" s="9" t="s">
        <v>1491</v>
      </c>
      <c r="B862" s="9" t="s">
        <v>1447</v>
      </c>
      <c r="C862" s="9"/>
      <c r="D862" s="9"/>
      <c r="E862" s="9" t="s">
        <v>51</v>
      </c>
      <c r="F862" s="9" t="s">
        <v>52</v>
      </c>
      <c r="G862" s="9" t="s">
        <v>69</v>
      </c>
      <c r="H862" s="9"/>
      <c r="I862" s="9"/>
      <c r="J862" s="9"/>
      <c r="K862" s="9"/>
      <c r="L862" s="9" t="s">
        <v>3</v>
      </c>
      <c r="M862" s="9" t="s">
        <v>58</v>
      </c>
      <c r="N862" s="9" t="s">
        <v>66</v>
      </c>
    </row>
    <row r="863" spans="1:14" ht="28" x14ac:dyDescent="0.15">
      <c r="A863" s="9" t="s">
        <v>1491</v>
      </c>
      <c r="B863" s="9" t="s">
        <v>1447</v>
      </c>
      <c r="C863" s="9"/>
      <c r="D863" s="9"/>
      <c r="E863" s="9" t="s">
        <v>51</v>
      </c>
      <c r="F863" s="9" t="s">
        <v>52</v>
      </c>
      <c r="G863" s="9" t="s">
        <v>69</v>
      </c>
      <c r="H863" s="9"/>
      <c r="I863" s="9"/>
      <c r="J863" s="9"/>
      <c r="K863" s="9"/>
      <c r="L863" s="9" t="s">
        <v>3</v>
      </c>
      <c r="M863" s="9" t="s">
        <v>58</v>
      </c>
      <c r="N863" s="9" t="s">
        <v>66</v>
      </c>
    </row>
    <row r="864" spans="1:14" ht="28" x14ac:dyDescent="0.15">
      <c r="A864" s="9" t="s">
        <v>1491</v>
      </c>
      <c r="B864" s="9" t="s">
        <v>1447</v>
      </c>
      <c r="C864" s="9"/>
      <c r="D864" s="9"/>
      <c r="E864" s="9" t="s">
        <v>51</v>
      </c>
      <c r="F864" s="9" t="s">
        <v>52</v>
      </c>
      <c r="G864" s="9" t="s">
        <v>69</v>
      </c>
      <c r="H864" s="9"/>
      <c r="I864" s="9"/>
      <c r="J864" s="9"/>
      <c r="K864" s="9"/>
      <c r="L864" s="9" t="s">
        <v>3</v>
      </c>
      <c r="M864" s="9" t="s">
        <v>58</v>
      </c>
      <c r="N864" s="9" t="s">
        <v>66</v>
      </c>
    </row>
    <row r="865" spans="1:14" ht="28" x14ac:dyDescent="0.15">
      <c r="A865" s="9" t="s">
        <v>1491</v>
      </c>
      <c r="B865" s="9" t="s">
        <v>1447</v>
      </c>
      <c r="C865" s="9"/>
      <c r="D865" s="9"/>
      <c r="E865" s="9" t="s">
        <v>51</v>
      </c>
      <c r="F865" s="9" t="s">
        <v>52</v>
      </c>
      <c r="G865" s="9" t="s">
        <v>69</v>
      </c>
      <c r="H865" s="9"/>
      <c r="I865" s="9"/>
      <c r="J865" s="9"/>
      <c r="K865" s="9"/>
      <c r="L865" s="9" t="s">
        <v>3</v>
      </c>
      <c r="M865" s="9" t="s">
        <v>58</v>
      </c>
      <c r="N865" s="9" t="s">
        <v>66</v>
      </c>
    </row>
    <row r="866" spans="1:14" ht="28" x14ac:dyDescent="0.15">
      <c r="A866" s="9" t="s">
        <v>1491</v>
      </c>
      <c r="B866" s="9" t="s">
        <v>1447</v>
      </c>
      <c r="C866" s="9"/>
      <c r="D866" s="9"/>
      <c r="E866" s="9" t="s">
        <v>51</v>
      </c>
      <c r="F866" s="9" t="s">
        <v>52</v>
      </c>
      <c r="G866" s="9" t="s">
        <v>69</v>
      </c>
      <c r="H866" s="9"/>
      <c r="I866" s="9"/>
      <c r="J866" s="9"/>
      <c r="K866" s="9"/>
      <c r="L866" s="9" t="s">
        <v>3</v>
      </c>
      <c r="M866" s="9" t="s">
        <v>58</v>
      </c>
      <c r="N866" s="9" t="s">
        <v>66</v>
      </c>
    </row>
    <row r="867" spans="1:14" ht="28" x14ac:dyDescent="0.15">
      <c r="A867" s="9" t="s">
        <v>1507</v>
      </c>
      <c r="B867" s="9" t="s">
        <v>1447</v>
      </c>
      <c r="C867" s="9"/>
      <c r="D867" s="9"/>
      <c r="E867" s="9" t="s">
        <v>51</v>
      </c>
      <c r="F867" s="9" t="s">
        <v>52</v>
      </c>
      <c r="G867" s="9" t="s">
        <v>69</v>
      </c>
      <c r="H867" s="9"/>
      <c r="I867" s="9"/>
      <c r="J867" s="9"/>
      <c r="K867" s="9"/>
      <c r="L867" s="9" t="s">
        <v>3</v>
      </c>
      <c r="M867" s="9" t="s">
        <v>58</v>
      </c>
      <c r="N867" s="9" t="s">
        <v>66</v>
      </c>
    </row>
    <row r="868" spans="1:14" ht="28" x14ac:dyDescent="0.15">
      <c r="A868" s="9" t="s">
        <v>1491</v>
      </c>
      <c r="B868" s="9" t="s">
        <v>1447</v>
      </c>
      <c r="C868" s="9" t="s">
        <v>93</v>
      </c>
      <c r="D868" s="9"/>
      <c r="E868" s="9" t="s">
        <v>51</v>
      </c>
      <c r="F868" s="9" t="s">
        <v>52</v>
      </c>
      <c r="G868" s="9" t="s">
        <v>69</v>
      </c>
      <c r="H868" s="9"/>
      <c r="I868" s="9"/>
      <c r="J868" s="9"/>
      <c r="K868" s="9"/>
      <c r="L868" s="9" t="s">
        <v>3</v>
      </c>
      <c r="M868" s="9" t="s">
        <v>58</v>
      </c>
      <c r="N868" s="9" t="s">
        <v>66</v>
      </c>
    </row>
    <row r="869" spans="1:14" ht="28" x14ac:dyDescent="0.15">
      <c r="A869" s="9" t="s">
        <v>1491</v>
      </c>
      <c r="B869" s="9" t="s">
        <v>1447</v>
      </c>
      <c r="C869" s="9"/>
      <c r="D869" s="9" t="s">
        <v>1508</v>
      </c>
      <c r="E869" s="9" t="s">
        <v>51</v>
      </c>
      <c r="F869" s="9" t="s">
        <v>52</v>
      </c>
      <c r="G869" s="9" t="s">
        <v>69</v>
      </c>
      <c r="H869" s="9"/>
      <c r="I869" s="9"/>
      <c r="J869" s="9"/>
      <c r="K869" s="9"/>
      <c r="L869" s="9" t="s">
        <v>3</v>
      </c>
      <c r="M869" s="9" t="s">
        <v>58</v>
      </c>
      <c r="N869" s="9" t="s">
        <v>66</v>
      </c>
    </row>
    <row r="870" spans="1:14" ht="28" x14ac:dyDescent="0.15">
      <c r="A870" s="9" t="s">
        <v>1509</v>
      </c>
      <c r="B870" s="9" t="s">
        <v>1447</v>
      </c>
      <c r="C870" s="9"/>
      <c r="D870" s="9"/>
      <c r="E870" s="9" t="s">
        <v>51</v>
      </c>
      <c r="F870" s="9" t="s">
        <v>52</v>
      </c>
      <c r="G870" s="9" t="s">
        <v>69</v>
      </c>
      <c r="H870" s="9"/>
      <c r="I870" s="9"/>
      <c r="J870" s="9"/>
      <c r="K870" s="9"/>
      <c r="L870" s="9" t="s">
        <v>3</v>
      </c>
      <c r="M870" s="9" t="s">
        <v>58</v>
      </c>
      <c r="N870" s="9" t="s">
        <v>66</v>
      </c>
    </row>
    <row r="871" spans="1:14" ht="28" x14ac:dyDescent="0.15">
      <c r="A871" s="9" t="s">
        <v>1491</v>
      </c>
      <c r="B871" s="9" t="s">
        <v>1447</v>
      </c>
      <c r="C871" s="9"/>
      <c r="D871" s="9"/>
      <c r="E871" s="9" t="s">
        <v>51</v>
      </c>
      <c r="F871" s="9" t="s">
        <v>52</v>
      </c>
      <c r="G871" s="9" t="s">
        <v>69</v>
      </c>
      <c r="H871" s="9"/>
      <c r="I871" s="9"/>
      <c r="J871" s="9"/>
      <c r="K871" s="9"/>
      <c r="L871" s="9" t="s">
        <v>3</v>
      </c>
      <c r="M871" s="9" t="s">
        <v>58</v>
      </c>
      <c r="N871" s="9" t="s">
        <v>66</v>
      </c>
    </row>
    <row r="872" spans="1:14" ht="28" x14ac:dyDescent="0.15">
      <c r="A872" s="9" t="s">
        <v>1491</v>
      </c>
      <c r="B872" s="9" t="s">
        <v>1447</v>
      </c>
      <c r="C872" s="9"/>
      <c r="D872" s="9"/>
      <c r="E872" s="9" t="s">
        <v>51</v>
      </c>
      <c r="F872" s="9" t="s">
        <v>52</v>
      </c>
      <c r="G872" s="9" t="s">
        <v>69</v>
      </c>
      <c r="H872" s="9"/>
      <c r="I872" s="9"/>
      <c r="J872" s="9"/>
      <c r="K872" s="9"/>
      <c r="L872" s="9" t="s">
        <v>3</v>
      </c>
      <c r="M872" s="9" t="s">
        <v>58</v>
      </c>
      <c r="N872" s="9" t="s">
        <v>66</v>
      </c>
    </row>
    <row r="873" spans="1:14" ht="28" x14ac:dyDescent="0.15">
      <c r="A873" s="9" t="s">
        <v>1491</v>
      </c>
      <c r="B873" s="9" t="s">
        <v>1447</v>
      </c>
      <c r="C873" s="9"/>
      <c r="D873" s="9"/>
      <c r="E873" s="9" t="s">
        <v>51</v>
      </c>
      <c r="F873" s="9" t="s">
        <v>52</v>
      </c>
      <c r="G873" s="9" t="s">
        <v>69</v>
      </c>
      <c r="H873" s="9"/>
      <c r="I873" s="9"/>
      <c r="J873" s="9"/>
      <c r="K873" s="9"/>
      <c r="L873" s="9" t="s">
        <v>3</v>
      </c>
      <c r="M873" s="9" t="s">
        <v>58</v>
      </c>
      <c r="N873" s="9" t="s">
        <v>66</v>
      </c>
    </row>
    <row r="874" spans="1:14" ht="28" x14ac:dyDescent="0.15">
      <c r="A874" s="9" t="s">
        <v>1491</v>
      </c>
      <c r="B874" s="9" t="s">
        <v>1447</v>
      </c>
      <c r="C874" s="9"/>
      <c r="D874" s="9"/>
      <c r="E874" s="9" t="s">
        <v>51</v>
      </c>
      <c r="F874" s="9" t="s">
        <v>52</v>
      </c>
      <c r="G874" s="9" t="s">
        <v>69</v>
      </c>
      <c r="H874" s="9"/>
      <c r="I874" s="9"/>
      <c r="J874" s="9"/>
      <c r="K874" s="9"/>
      <c r="L874" s="9" t="s">
        <v>3</v>
      </c>
      <c r="M874" s="9" t="s">
        <v>58</v>
      </c>
      <c r="N874" s="9" t="s">
        <v>66</v>
      </c>
    </row>
    <row r="875" spans="1:14" ht="28" x14ac:dyDescent="0.15">
      <c r="A875" s="9" t="s">
        <v>1491</v>
      </c>
      <c r="B875" s="9" t="s">
        <v>1447</v>
      </c>
      <c r="C875" s="9"/>
      <c r="D875" s="9"/>
      <c r="E875" s="9" t="s">
        <v>51</v>
      </c>
      <c r="F875" s="9" t="s">
        <v>52</v>
      </c>
      <c r="G875" s="9" t="s">
        <v>69</v>
      </c>
      <c r="H875" s="9"/>
      <c r="I875" s="9"/>
      <c r="J875" s="9"/>
      <c r="K875" s="9"/>
      <c r="L875" s="9" t="s">
        <v>3</v>
      </c>
      <c r="M875" s="9" t="s">
        <v>58</v>
      </c>
      <c r="N875" s="9" t="s">
        <v>66</v>
      </c>
    </row>
    <row r="876" spans="1:14" ht="28" x14ac:dyDescent="0.15">
      <c r="A876" s="9" t="s">
        <v>1491</v>
      </c>
      <c r="B876" s="9" t="s">
        <v>1447</v>
      </c>
      <c r="C876" s="9"/>
      <c r="D876" s="9"/>
      <c r="E876" s="9" t="s">
        <v>51</v>
      </c>
      <c r="F876" s="9" t="s">
        <v>52</v>
      </c>
      <c r="G876" s="9" t="s">
        <v>69</v>
      </c>
      <c r="H876" s="9"/>
      <c r="I876" s="9"/>
      <c r="J876" s="9"/>
      <c r="K876" s="9"/>
      <c r="L876" s="9" t="s">
        <v>3</v>
      </c>
      <c r="M876" s="9" t="s">
        <v>58</v>
      </c>
      <c r="N876" s="9" t="s">
        <v>66</v>
      </c>
    </row>
    <row r="877" spans="1:14" ht="28" x14ac:dyDescent="0.15">
      <c r="A877" s="9" t="s">
        <v>1491</v>
      </c>
      <c r="B877" s="9" t="s">
        <v>1447</v>
      </c>
      <c r="C877" s="9"/>
      <c r="D877" s="9"/>
      <c r="E877" s="9" t="s">
        <v>51</v>
      </c>
      <c r="F877" s="9" t="s">
        <v>52</v>
      </c>
      <c r="G877" s="9" t="s">
        <v>69</v>
      </c>
      <c r="H877" s="9"/>
      <c r="I877" s="9"/>
      <c r="J877" s="9"/>
      <c r="K877" s="9"/>
      <c r="L877" s="9" t="s">
        <v>3</v>
      </c>
      <c r="M877" s="9" t="s">
        <v>58</v>
      </c>
      <c r="N877" s="9" t="s">
        <v>66</v>
      </c>
    </row>
    <row r="878" spans="1:14" ht="28" x14ac:dyDescent="0.15">
      <c r="A878" s="9" t="s">
        <v>1491</v>
      </c>
      <c r="B878" s="9" t="s">
        <v>1447</v>
      </c>
      <c r="C878" s="9"/>
      <c r="D878" s="9"/>
      <c r="E878" s="9" t="s">
        <v>51</v>
      </c>
      <c r="F878" s="9" t="s">
        <v>52</v>
      </c>
      <c r="G878" s="9" t="s">
        <v>69</v>
      </c>
      <c r="H878" s="9"/>
      <c r="I878" s="9"/>
      <c r="J878" s="9"/>
      <c r="K878" s="9"/>
      <c r="L878" s="9" t="s">
        <v>3</v>
      </c>
      <c r="M878" s="9" t="s">
        <v>58</v>
      </c>
      <c r="N878" s="9" t="s">
        <v>66</v>
      </c>
    </row>
    <row r="879" spans="1:14" ht="28" x14ac:dyDescent="0.15">
      <c r="A879" s="9" t="s">
        <v>1491</v>
      </c>
      <c r="B879" s="9" t="s">
        <v>1447</v>
      </c>
      <c r="C879" s="9"/>
      <c r="D879" s="9"/>
      <c r="E879" s="9" t="s">
        <v>51</v>
      </c>
      <c r="F879" s="9" t="s">
        <v>52</v>
      </c>
      <c r="G879" s="9" t="s">
        <v>69</v>
      </c>
      <c r="H879" s="9"/>
      <c r="I879" s="9"/>
      <c r="J879" s="9"/>
      <c r="K879" s="9"/>
      <c r="L879" s="9" t="s">
        <v>3</v>
      </c>
      <c r="M879" s="9" t="s">
        <v>58</v>
      </c>
      <c r="N879" s="9" t="s">
        <v>66</v>
      </c>
    </row>
    <row r="880" spans="1:14" ht="28" x14ac:dyDescent="0.15">
      <c r="A880" s="9" t="s">
        <v>1491</v>
      </c>
      <c r="B880" s="9" t="s">
        <v>1447</v>
      </c>
      <c r="C880" s="9"/>
      <c r="D880" s="9"/>
      <c r="E880" s="9" t="s">
        <v>51</v>
      </c>
      <c r="F880" s="9" t="s">
        <v>52</v>
      </c>
      <c r="G880" s="9" t="s">
        <v>69</v>
      </c>
      <c r="H880" s="9"/>
      <c r="I880" s="9"/>
      <c r="J880" s="9"/>
      <c r="K880" s="9"/>
      <c r="L880" s="9" t="s">
        <v>3</v>
      </c>
      <c r="M880" s="9" t="s">
        <v>58</v>
      </c>
      <c r="N880" s="9" t="s">
        <v>66</v>
      </c>
    </row>
    <row r="881" spans="1:14" ht="28" x14ac:dyDescent="0.15">
      <c r="A881" s="9" t="s">
        <v>1491</v>
      </c>
      <c r="B881" s="9" t="s">
        <v>1447</v>
      </c>
      <c r="C881" s="9"/>
      <c r="D881" s="9"/>
      <c r="E881" s="9" t="s">
        <v>51</v>
      </c>
      <c r="F881" s="9" t="s">
        <v>52</v>
      </c>
      <c r="G881" s="9" t="s">
        <v>69</v>
      </c>
      <c r="H881" s="9"/>
      <c r="I881" s="9"/>
      <c r="J881" s="9"/>
      <c r="K881" s="9"/>
      <c r="L881" s="9" t="s">
        <v>3</v>
      </c>
      <c r="M881" s="9" t="s">
        <v>58</v>
      </c>
      <c r="N881" s="9" t="s">
        <v>66</v>
      </c>
    </row>
    <row r="882" spans="1:14" ht="28" x14ac:dyDescent="0.15">
      <c r="A882" s="9" t="s">
        <v>1491</v>
      </c>
      <c r="B882" s="9" t="s">
        <v>1447</v>
      </c>
      <c r="C882" s="9"/>
      <c r="D882" s="9"/>
      <c r="E882" s="9" t="s">
        <v>51</v>
      </c>
      <c r="F882" s="9" t="s">
        <v>52</v>
      </c>
      <c r="G882" s="9" t="s">
        <v>69</v>
      </c>
      <c r="H882" s="9"/>
      <c r="I882" s="9"/>
      <c r="J882" s="9"/>
      <c r="K882" s="9"/>
      <c r="L882" s="9" t="s">
        <v>3</v>
      </c>
      <c r="M882" s="9" t="s">
        <v>58</v>
      </c>
      <c r="N882" s="9" t="s">
        <v>66</v>
      </c>
    </row>
    <row r="883" spans="1:14" ht="28" x14ac:dyDescent="0.15">
      <c r="A883" s="9" t="s">
        <v>1507</v>
      </c>
      <c r="B883" s="9" t="s">
        <v>1447</v>
      </c>
      <c r="C883" s="9"/>
      <c r="D883" s="9"/>
      <c r="E883" s="9" t="s">
        <v>51</v>
      </c>
      <c r="F883" s="9" t="s">
        <v>52</v>
      </c>
      <c r="G883" s="9" t="s">
        <v>69</v>
      </c>
      <c r="H883" s="9"/>
      <c r="I883" s="9"/>
      <c r="J883" s="9"/>
      <c r="K883" s="9"/>
      <c r="L883" s="9" t="s">
        <v>3</v>
      </c>
      <c r="M883" s="9" t="s">
        <v>58</v>
      </c>
      <c r="N883" s="9" t="s">
        <v>66</v>
      </c>
    </row>
    <row r="884" spans="1:14" ht="28" x14ac:dyDescent="0.15">
      <c r="A884" s="9" t="s">
        <v>1491</v>
      </c>
      <c r="B884" s="9" t="s">
        <v>1447</v>
      </c>
      <c r="C884" s="9" t="s">
        <v>93</v>
      </c>
      <c r="D884" s="9"/>
      <c r="E884" s="9" t="s">
        <v>51</v>
      </c>
      <c r="F884" s="9" t="s">
        <v>52</v>
      </c>
      <c r="G884" s="9" t="s">
        <v>69</v>
      </c>
      <c r="H884" s="9"/>
      <c r="I884" s="9"/>
      <c r="J884" s="9"/>
      <c r="K884" s="9"/>
      <c r="L884" s="9" t="s">
        <v>3</v>
      </c>
      <c r="M884" s="9" t="s">
        <v>58</v>
      </c>
      <c r="N884" s="9" t="s">
        <v>66</v>
      </c>
    </row>
    <row r="885" spans="1:14" ht="28" x14ac:dyDescent="0.15">
      <c r="A885" s="9" t="s">
        <v>1491</v>
      </c>
      <c r="B885" s="9" t="s">
        <v>1447</v>
      </c>
      <c r="C885" s="9"/>
      <c r="D885" s="9" t="s">
        <v>1508</v>
      </c>
      <c r="E885" s="9" t="s">
        <v>51</v>
      </c>
      <c r="F885" s="9" t="s">
        <v>52</v>
      </c>
      <c r="G885" s="9" t="s">
        <v>69</v>
      </c>
      <c r="H885" s="9"/>
      <c r="I885" s="9"/>
      <c r="J885" s="9"/>
      <c r="K885" s="9"/>
      <c r="L885" s="9" t="s">
        <v>3</v>
      </c>
      <c r="M885" s="9" t="s">
        <v>58</v>
      </c>
      <c r="N885" s="9" t="s">
        <v>66</v>
      </c>
    </row>
    <row r="886" spans="1:14" ht="28" x14ac:dyDescent="0.15">
      <c r="A886" s="9" t="s">
        <v>1510</v>
      </c>
      <c r="B886" s="9" t="s">
        <v>1447</v>
      </c>
      <c r="C886" s="9"/>
      <c r="D886" s="9"/>
      <c r="E886" s="9" t="s">
        <v>51</v>
      </c>
      <c r="F886" s="9" t="s">
        <v>52</v>
      </c>
      <c r="G886" s="9" t="s">
        <v>69</v>
      </c>
      <c r="H886" s="9"/>
      <c r="I886" s="9"/>
      <c r="J886" s="9"/>
      <c r="K886" s="9"/>
      <c r="L886" s="9" t="s">
        <v>3</v>
      </c>
      <c r="M886" s="9" t="s">
        <v>58</v>
      </c>
      <c r="N886" s="9" t="s">
        <v>66</v>
      </c>
    </row>
    <row r="887" spans="1:14" ht="28" x14ac:dyDescent="0.15">
      <c r="A887" s="9" t="s">
        <v>1491</v>
      </c>
      <c r="B887" s="9" t="s">
        <v>1447</v>
      </c>
      <c r="C887" s="9"/>
      <c r="D887" s="9"/>
      <c r="E887" s="9" t="s">
        <v>51</v>
      </c>
      <c r="F887" s="9" t="s">
        <v>52</v>
      </c>
      <c r="G887" s="9" t="s">
        <v>69</v>
      </c>
      <c r="H887" s="9"/>
      <c r="I887" s="9"/>
      <c r="J887" s="9"/>
      <c r="K887" s="9"/>
      <c r="L887" s="9" t="s">
        <v>3</v>
      </c>
      <c r="M887" s="9" t="s">
        <v>58</v>
      </c>
      <c r="N887" s="9" t="s">
        <v>66</v>
      </c>
    </row>
    <row r="888" spans="1:14" ht="28" x14ac:dyDescent="0.15">
      <c r="A888" s="9" t="s">
        <v>1491</v>
      </c>
      <c r="B888" s="9" t="s">
        <v>1447</v>
      </c>
      <c r="C888" s="9"/>
      <c r="D888" s="9"/>
      <c r="E888" s="9" t="s">
        <v>51</v>
      </c>
      <c r="F888" s="9" t="s">
        <v>52</v>
      </c>
      <c r="G888" s="9" t="s">
        <v>69</v>
      </c>
      <c r="H888" s="9"/>
      <c r="I888" s="9"/>
      <c r="J888" s="9"/>
      <c r="K888" s="9"/>
      <c r="L888" s="9" t="s">
        <v>3</v>
      </c>
      <c r="M888" s="9" t="s">
        <v>58</v>
      </c>
      <c r="N888" s="9" t="s">
        <v>66</v>
      </c>
    </row>
    <row r="889" spans="1:14" ht="28" x14ac:dyDescent="0.15">
      <c r="A889" s="9" t="s">
        <v>1491</v>
      </c>
      <c r="B889" s="9" t="s">
        <v>1447</v>
      </c>
      <c r="C889" s="9"/>
      <c r="D889" s="9"/>
      <c r="E889" s="9" t="s">
        <v>51</v>
      </c>
      <c r="F889" s="9" t="s">
        <v>52</v>
      </c>
      <c r="G889" s="9" t="s">
        <v>69</v>
      </c>
      <c r="H889" s="9"/>
      <c r="I889" s="9"/>
      <c r="J889" s="9"/>
      <c r="K889" s="9"/>
      <c r="L889" s="9" t="s">
        <v>3</v>
      </c>
      <c r="M889" s="9" t="s">
        <v>58</v>
      </c>
      <c r="N889" s="9" t="s">
        <v>66</v>
      </c>
    </row>
    <row r="890" spans="1:14" ht="28" x14ac:dyDescent="0.15">
      <c r="A890" s="9" t="s">
        <v>1491</v>
      </c>
      <c r="B890" s="9" t="s">
        <v>1447</v>
      </c>
      <c r="C890" s="9"/>
      <c r="D890" s="9"/>
      <c r="E890" s="9" t="s">
        <v>51</v>
      </c>
      <c r="F890" s="9" t="s">
        <v>52</v>
      </c>
      <c r="G890" s="9" t="s">
        <v>69</v>
      </c>
      <c r="H890" s="9"/>
      <c r="I890" s="9"/>
      <c r="J890" s="9"/>
      <c r="K890" s="9"/>
      <c r="L890" s="9" t="s">
        <v>3</v>
      </c>
      <c r="M890" s="9" t="s">
        <v>58</v>
      </c>
      <c r="N890" s="9" t="s">
        <v>66</v>
      </c>
    </row>
    <row r="891" spans="1:14" ht="28" x14ac:dyDescent="0.15">
      <c r="A891" s="9" t="s">
        <v>1491</v>
      </c>
      <c r="B891" s="9" t="s">
        <v>1447</v>
      </c>
      <c r="C891" s="9"/>
      <c r="D891" s="9"/>
      <c r="E891" s="9" t="s">
        <v>51</v>
      </c>
      <c r="F891" s="9" t="s">
        <v>52</v>
      </c>
      <c r="G891" s="9" t="s">
        <v>69</v>
      </c>
      <c r="H891" s="9"/>
      <c r="I891" s="9"/>
      <c r="J891" s="9"/>
      <c r="K891" s="9"/>
      <c r="L891" s="9" t="s">
        <v>3</v>
      </c>
      <c r="M891" s="9" t="s">
        <v>58</v>
      </c>
      <c r="N891" s="9" t="s">
        <v>66</v>
      </c>
    </row>
    <row r="892" spans="1:14" ht="28" x14ac:dyDescent="0.15">
      <c r="A892" s="9" t="s">
        <v>1491</v>
      </c>
      <c r="B892" s="9" t="s">
        <v>1447</v>
      </c>
      <c r="C892" s="9"/>
      <c r="D892" s="9"/>
      <c r="E892" s="9" t="s">
        <v>51</v>
      </c>
      <c r="F892" s="9" t="s">
        <v>52</v>
      </c>
      <c r="G892" s="9" t="s">
        <v>69</v>
      </c>
      <c r="H892" s="9"/>
      <c r="I892" s="9"/>
      <c r="J892" s="9"/>
      <c r="K892" s="9"/>
      <c r="L892" s="9" t="s">
        <v>3</v>
      </c>
      <c r="M892" s="9" t="s">
        <v>58</v>
      </c>
      <c r="N892" s="9" t="s">
        <v>66</v>
      </c>
    </row>
    <row r="893" spans="1:14" ht="28" x14ac:dyDescent="0.15">
      <c r="A893" s="9" t="s">
        <v>1491</v>
      </c>
      <c r="B893" s="9" t="s">
        <v>1447</v>
      </c>
      <c r="C893" s="9"/>
      <c r="D893" s="9"/>
      <c r="E893" s="9" t="s">
        <v>51</v>
      </c>
      <c r="F893" s="9" t="s">
        <v>52</v>
      </c>
      <c r="G893" s="9" t="s">
        <v>69</v>
      </c>
      <c r="H893" s="9"/>
      <c r="I893" s="9"/>
      <c r="J893" s="9"/>
      <c r="K893" s="9"/>
      <c r="L893" s="9" t="s">
        <v>3</v>
      </c>
      <c r="M893" s="9" t="s">
        <v>58</v>
      </c>
      <c r="N893" s="9" t="s">
        <v>66</v>
      </c>
    </row>
    <row r="894" spans="1:14" ht="28" x14ac:dyDescent="0.15">
      <c r="A894" s="9" t="s">
        <v>1491</v>
      </c>
      <c r="B894" s="9" t="s">
        <v>1447</v>
      </c>
      <c r="C894" s="9"/>
      <c r="D894" s="9"/>
      <c r="E894" s="9" t="s">
        <v>51</v>
      </c>
      <c r="F894" s="9" t="s">
        <v>52</v>
      </c>
      <c r="G894" s="9" t="s">
        <v>69</v>
      </c>
      <c r="H894" s="9"/>
      <c r="I894" s="9"/>
      <c r="J894" s="9"/>
      <c r="K894" s="9"/>
      <c r="L894" s="9" t="s">
        <v>3</v>
      </c>
      <c r="M894" s="9" t="s">
        <v>58</v>
      </c>
      <c r="N894" s="9" t="s">
        <v>66</v>
      </c>
    </row>
    <row r="895" spans="1:14" ht="28" x14ac:dyDescent="0.15">
      <c r="A895" s="9" t="s">
        <v>1491</v>
      </c>
      <c r="B895" s="9" t="s">
        <v>1447</v>
      </c>
      <c r="C895" s="9"/>
      <c r="D895" s="9"/>
      <c r="E895" s="9" t="s">
        <v>51</v>
      </c>
      <c r="F895" s="9" t="s">
        <v>52</v>
      </c>
      <c r="G895" s="9" t="s">
        <v>69</v>
      </c>
      <c r="H895" s="9"/>
      <c r="I895" s="9"/>
      <c r="J895" s="9"/>
      <c r="K895" s="9"/>
      <c r="L895" s="9" t="s">
        <v>3</v>
      </c>
      <c r="M895" s="9" t="s">
        <v>58</v>
      </c>
      <c r="N895" s="9" t="s">
        <v>66</v>
      </c>
    </row>
    <row r="896" spans="1:14" ht="28" x14ac:dyDescent="0.15">
      <c r="A896" s="9" t="s">
        <v>1491</v>
      </c>
      <c r="B896" s="9" t="s">
        <v>1447</v>
      </c>
      <c r="C896" s="9"/>
      <c r="D896" s="9"/>
      <c r="E896" s="9" t="s">
        <v>51</v>
      </c>
      <c r="F896" s="9" t="s">
        <v>52</v>
      </c>
      <c r="G896" s="9" t="s">
        <v>69</v>
      </c>
      <c r="H896" s="9"/>
      <c r="I896" s="9"/>
      <c r="J896" s="9"/>
      <c r="K896" s="9"/>
      <c r="L896" s="9" t="s">
        <v>3</v>
      </c>
      <c r="M896" s="9" t="s">
        <v>58</v>
      </c>
      <c r="N896" s="9" t="s">
        <v>66</v>
      </c>
    </row>
    <row r="897" spans="1:14" ht="28" x14ac:dyDescent="0.15">
      <c r="A897" s="9" t="s">
        <v>1491</v>
      </c>
      <c r="B897" s="9" t="s">
        <v>1447</v>
      </c>
      <c r="C897" s="9"/>
      <c r="D897" s="9"/>
      <c r="E897" s="9" t="s">
        <v>51</v>
      </c>
      <c r="F897" s="9" t="s">
        <v>52</v>
      </c>
      <c r="G897" s="9" t="s">
        <v>69</v>
      </c>
      <c r="H897" s="9"/>
      <c r="I897" s="9"/>
      <c r="J897" s="9"/>
      <c r="K897" s="9"/>
      <c r="L897" s="9" t="s">
        <v>3</v>
      </c>
      <c r="M897" s="9" t="s">
        <v>58</v>
      </c>
      <c r="N897" s="9" t="s">
        <v>66</v>
      </c>
    </row>
    <row r="898" spans="1:14" ht="28" x14ac:dyDescent="0.15">
      <c r="A898" s="9" t="s">
        <v>1491</v>
      </c>
      <c r="B898" s="9" t="s">
        <v>1447</v>
      </c>
      <c r="C898" s="9"/>
      <c r="D898" s="9"/>
      <c r="E898" s="9" t="s">
        <v>51</v>
      </c>
      <c r="F898" s="9" t="s">
        <v>52</v>
      </c>
      <c r="G898" s="9" t="s">
        <v>69</v>
      </c>
      <c r="H898" s="9"/>
      <c r="I898" s="9"/>
      <c r="J898" s="9"/>
      <c r="K898" s="9"/>
      <c r="L898" s="9" t="s">
        <v>3</v>
      </c>
      <c r="M898" s="9" t="s">
        <v>58</v>
      </c>
      <c r="N898" s="9" t="s">
        <v>66</v>
      </c>
    </row>
    <row r="899" spans="1:14" ht="28" x14ac:dyDescent="0.15">
      <c r="A899" s="9" t="s">
        <v>1507</v>
      </c>
      <c r="B899" s="9" t="s">
        <v>1447</v>
      </c>
      <c r="C899" s="9"/>
      <c r="D899" s="9"/>
      <c r="E899" s="9" t="s">
        <v>51</v>
      </c>
      <c r="F899" s="9" t="s">
        <v>52</v>
      </c>
      <c r="G899" s="9" t="s">
        <v>69</v>
      </c>
      <c r="H899" s="9"/>
      <c r="I899" s="9"/>
      <c r="J899" s="9"/>
      <c r="K899" s="9"/>
      <c r="L899" s="9" t="s">
        <v>3</v>
      </c>
      <c r="M899" s="9" t="s">
        <v>58</v>
      </c>
      <c r="N899" s="9" t="s">
        <v>66</v>
      </c>
    </row>
    <row r="900" spans="1:14" ht="28" x14ac:dyDescent="0.15">
      <c r="A900" s="9" t="s">
        <v>1491</v>
      </c>
      <c r="B900" s="9" t="s">
        <v>1447</v>
      </c>
      <c r="C900" s="9" t="s">
        <v>93</v>
      </c>
      <c r="D900" s="9"/>
      <c r="E900" s="9" t="s">
        <v>51</v>
      </c>
      <c r="F900" s="9" t="s">
        <v>52</v>
      </c>
      <c r="G900" s="9" t="s">
        <v>69</v>
      </c>
      <c r="H900" s="9"/>
      <c r="I900" s="9"/>
      <c r="J900" s="9"/>
      <c r="K900" s="9"/>
      <c r="L900" s="9" t="s">
        <v>3</v>
      </c>
      <c r="M900" s="9" t="s">
        <v>58</v>
      </c>
      <c r="N900" s="9" t="s">
        <v>66</v>
      </c>
    </row>
    <row r="901" spans="1:14" ht="28" x14ac:dyDescent="0.15">
      <c r="A901" s="9" t="s">
        <v>1491</v>
      </c>
      <c r="B901" s="9" t="s">
        <v>1447</v>
      </c>
      <c r="C901" s="9"/>
      <c r="D901" s="9" t="s">
        <v>1508</v>
      </c>
      <c r="E901" s="9" t="s">
        <v>51</v>
      </c>
      <c r="F901" s="9" t="s">
        <v>52</v>
      </c>
      <c r="G901" s="9" t="s">
        <v>69</v>
      </c>
      <c r="H901" s="9"/>
      <c r="I901" s="9"/>
      <c r="J901" s="9"/>
      <c r="K901" s="9"/>
      <c r="L901" s="9" t="s">
        <v>3</v>
      </c>
      <c r="M901" s="9" t="s">
        <v>58</v>
      </c>
      <c r="N901" s="9" t="s">
        <v>66</v>
      </c>
    </row>
    <row r="902" spans="1:14" ht="28" x14ac:dyDescent="0.15">
      <c r="A902" s="9" t="s">
        <v>1511</v>
      </c>
      <c r="B902" s="9" t="s">
        <v>1447</v>
      </c>
      <c r="C902" s="9"/>
      <c r="D902" s="9"/>
      <c r="E902" s="9" t="s">
        <v>51</v>
      </c>
      <c r="F902" s="9" t="s">
        <v>52</v>
      </c>
      <c r="G902" s="9" t="s">
        <v>69</v>
      </c>
      <c r="H902" s="9"/>
      <c r="I902" s="9"/>
      <c r="J902" s="9"/>
      <c r="K902" s="9"/>
      <c r="L902" s="9" t="s">
        <v>3</v>
      </c>
      <c r="M902" s="9" t="s">
        <v>58</v>
      </c>
      <c r="N902" s="9" t="s">
        <v>66</v>
      </c>
    </row>
    <row r="903" spans="1:14" ht="28" x14ac:dyDescent="0.15">
      <c r="A903" s="9" t="s">
        <v>1491</v>
      </c>
      <c r="B903" s="9" t="s">
        <v>1447</v>
      </c>
      <c r="C903" s="9"/>
      <c r="D903" s="9"/>
      <c r="E903" s="9" t="s">
        <v>51</v>
      </c>
      <c r="F903" s="9" t="s">
        <v>52</v>
      </c>
      <c r="G903" s="9" t="s">
        <v>69</v>
      </c>
      <c r="H903" s="9"/>
      <c r="I903" s="9"/>
      <c r="J903" s="9"/>
      <c r="K903" s="9"/>
      <c r="L903" s="9" t="s">
        <v>3</v>
      </c>
      <c r="M903" s="9" t="s">
        <v>58</v>
      </c>
      <c r="N903" s="9" t="s">
        <v>66</v>
      </c>
    </row>
    <row r="904" spans="1:14" ht="28" x14ac:dyDescent="0.15">
      <c r="A904" s="9" t="s">
        <v>1491</v>
      </c>
      <c r="B904" s="9" t="s">
        <v>1447</v>
      </c>
      <c r="C904" s="9"/>
      <c r="D904" s="9"/>
      <c r="E904" s="9" t="s">
        <v>51</v>
      </c>
      <c r="F904" s="9" t="s">
        <v>52</v>
      </c>
      <c r="G904" s="9" t="s">
        <v>69</v>
      </c>
      <c r="H904" s="9"/>
      <c r="I904" s="9"/>
      <c r="J904" s="9"/>
      <c r="K904" s="9"/>
      <c r="L904" s="9" t="s">
        <v>3</v>
      </c>
      <c r="M904" s="9" t="s">
        <v>58</v>
      </c>
      <c r="N904" s="9" t="s">
        <v>66</v>
      </c>
    </row>
    <row r="905" spans="1:14" ht="28" x14ac:dyDescent="0.15">
      <c r="A905" s="9" t="s">
        <v>1491</v>
      </c>
      <c r="B905" s="9" t="s">
        <v>1447</v>
      </c>
      <c r="C905" s="9"/>
      <c r="D905" s="9"/>
      <c r="E905" s="9" t="s">
        <v>51</v>
      </c>
      <c r="F905" s="9" t="s">
        <v>52</v>
      </c>
      <c r="G905" s="9" t="s">
        <v>69</v>
      </c>
      <c r="H905" s="9"/>
      <c r="I905" s="9"/>
      <c r="J905" s="9"/>
      <c r="K905" s="9"/>
      <c r="L905" s="9" t="s">
        <v>3</v>
      </c>
      <c r="M905" s="9" t="s">
        <v>58</v>
      </c>
      <c r="N905" s="9" t="s">
        <v>66</v>
      </c>
    </row>
    <row r="906" spans="1:14" ht="28" x14ac:dyDescent="0.15">
      <c r="A906" s="9" t="s">
        <v>1491</v>
      </c>
      <c r="B906" s="9" t="s">
        <v>1447</v>
      </c>
      <c r="C906" s="9"/>
      <c r="D906" s="9"/>
      <c r="E906" s="9" t="s">
        <v>51</v>
      </c>
      <c r="F906" s="9" t="s">
        <v>52</v>
      </c>
      <c r="G906" s="9" t="s">
        <v>69</v>
      </c>
      <c r="H906" s="9"/>
      <c r="I906" s="9"/>
      <c r="J906" s="9"/>
      <c r="K906" s="9"/>
      <c r="L906" s="9" t="s">
        <v>3</v>
      </c>
      <c r="M906" s="9" t="s">
        <v>58</v>
      </c>
      <c r="N906" s="9" t="s">
        <v>66</v>
      </c>
    </row>
    <row r="907" spans="1:14" ht="28" x14ac:dyDescent="0.15">
      <c r="A907" s="9" t="s">
        <v>1491</v>
      </c>
      <c r="B907" s="9" t="s">
        <v>1447</v>
      </c>
      <c r="C907" s="9"/>
      <c r="D907" s="9"/>
      <c r="E907" s="9" t="s">
        <v>51</v>
      </c>
      <c r="F907" s="9" t="s">
        <v>52</v>
      </c>
      <c r="G907" s="9" t="s">
        <v>69</v>
      </c>
      <c r="H907" s="9"/>
      <c r="I907" s="9"/>
      <c r="J907" s="9"/>
      <c r="K907" s="9"/>
      <c r="L907" s="9" t="s">
        <v>3</v>
      </c>
      <c r="M907" s="9" t="s">
        <v>58</v>
      </c>
      <c r="N907" s="9" t="s">
        <v>66</v>
      </c>
    </row>
    <row r="908" spans="1:14" ht="28" x14ac:dyDescent="0.15">
      <c r="A908" s="9" t="s">
        <v>1491</v>
      </c>
      <c r="B908" s="9" t="s">
        <v>1447</v>
      </c>
      <c r="C908" s="9"/>
      <c r="D908" s="9"/>
      <c r="E908" s="9" t="s">
        <v>51</v>
      </c>
      <c r="F908" s="9" t="s">
        <v>52</v>
      </c>
      <c r="G908" s="9" t="s">
        <v>69</v>
      </c>
      <c r="H908" s="9"/>
      <c r="I908" s="9"/>
      <c r="J908" s="9"/>
      <c r="K908" s="9"/>
      <c r="L908" s="9" t="s">
        <v>3</v>
      </c>
      <c r="M908" s="9" t="s">
        <v>58</v>
      </c>
      <c r="N908" s="9" t="s">
        <v>66</v>
      </c>
    </row>
    <row r="909" spans="1:14" ht="28" x14ac:dyDescent="0.15">
      <c r="A909" s="9" t="s">
        <v>1491</v>
      </c>
      <c r="B909" s="9" t="s">
        <v>1447</v>
      </c>
      <c r="C909" s="9"/>
      <c r="D909" s="9"/>
      <c r="E909" s="9" t="s">
        <v>51</v>
      </c>
      <c r="F909" s="9" t="s">
        <v>52</v>
      </c>
      <c r="G909" s="9" t="s">
        <v>69</v>
      </c>
      <c r="H909" s="9"/>
      <c r="I909" s="9"/>
      <c r="J909" s="9"/>
      <c r="K909" s="9"/>
      <c r="L909" s="9" t="s">
        <v>3</v>
      </c>
      <c r="M909" s="9" t="s">
        <v>58</v>
      </c>
      <c r="N909" s="9" t="s">
        <v>66</v>
      </c>
    </row>
    <row r="910" spans="1:14" ht="28" x14ac:dyDescent="0.15">
      <c r="A910" s="9" t="s">
        <v>1491</v>
      </c>
      <c r="B910" s="9" t="s">
        <v>1447</v>
      </c>
      <c r="C910" s="9"/>
      <c r="D910" s="9"/>
      <c r="E910" s="9" t="s">
        <v>51</v>
      </c>
      <c r="F910" s="9" t="s">
        <v>52</v>
      </c>
      <c r="G910" s="9" t="s">
        <v>69</v>
      </c>
      <c r="H910" s="9"/>
      <c r="I910" s="9"/>
      <c r="J910" s="9"/>
      <c r="K910" s="9"/>
      <c r="L910" s="9" t="s">
        <v>3</v>
      </c>
      <c r="M910" s="9" t="s">
        <v>58</v>
      </c>
      <c r="N910" s="9" t="s">
        <v>66</v>
      </c>
    </row>
    <row r="911" spans="1:14" ht="28" x14ac:dyDescent="0.15">
      <c r="A911" s="9" t="s">
        <v>1491</v>
      </c>
      <c r="B911" s="9" t="s">
        <v>1447</v>
      </c>
      <c r="C911" s="9"/>
      <c r="D911" s="9"/>
      <c r="E911" s="9" t="s">
        <v>51</v>
      </c>
      <c r="F911" s="9" t="s">
        <v>52</v>
      </c>
      <c r="G911" s="9" t="s">
        <v>69</v>
      </c>
      <c r="H911" s="9"/>
      <c r="I911" s="9"/>
      <c r="J911" s="9"/>
      <c r="K911" s="9"/>
      <c r="L911" s="9" t="s">
        <v>3</v>
      </c>
      <c r="M911" s="9" t="s">
        <v>58</v>
      </c>
      <c r="N911" s="9" t="s">
        <v>66</v>
      </c>
    </row>
    <row r="912" spans="1:14" ht="28" x14ac:dyDescent="0.15">
      <c r="A912" s="9" t="s">
        <v>1491</v>
      </c>
      <c r="B912" s="9" t="s">
        <v>1447</v>
      </c>
      <c r="C912" s="9"/>
      <c r="D912" s="9"/>
      <c r="E912" s="9" t="s">
        <v>51</v>
      </c>
      <c r="F912" s="9" t="s">
        <v>52</v>
      </c>
      <c r="G912" s="9" t="s">
        <v>69</v>
      </c>
      <c r="H912" s="9"/>
      <c r="I912" s="9"/>
      <c r="J912" s="9"/>
      <c r="K912" s="9"/>
      <c r="L912" s="9" t="s">
        <v>3</v>
      </c>
      <c r="M912" s="9" t="s">
        <v>58</v>
      </c>
      <c r="N912" s="9" t="s">
        <v>66</v>
      </c>
    </row>
    <row r="913" spans="1:14" ht="28" x14ac:dyDescent="0.15">
      <c r="A913" s="9" t="s">
        <v>1512</v>
      </c>
      <c r="B913" s="9" t="s">
        <v>1447</v>
      </c>
      <c r="C913" s="9" t="s">
        <v>49</v>
      </c>
      <c r="D913" s="9" t="s">
        <v>227</v>
      </c>
      <c r="E913" s="9" t="s">
        <v>51</v>
      </c>
      <c r="F913" s="9" t="s">
        <v>52</v>
      </c>
      <c r="G913" s="9" t="s">
        <v>228</v>
      </c>
      <c r="H913" s="9" t="s">
        <v>54</v>
      </c>
      <c r="I913" s="9" t="s">
        <v>1513</v>
      </c>
      <c r="J913" s="9" t="s">
        <v>230</v>
      </c>
      <c r="K913" s="9" t="s">
        <v>231</v>
      </c>
      <c r="L913" s="9" t="s">
        <v>3</v>
      </c>
      <c r="M913" s="9" t="s">
        <v>232</v>
      </c>
      <c r="N913" s="9" t="s">
        <v>233</v>
      </c>
    </row>
    <row r="914" spans="1:14" ht="28" x14ac:dyDescent="0.15">
      <c r="A914" s="9" t="s">
        <v>1514</v>
      </c>
      <c r="B914" s="9" t="s">
        <v>1447</v>
      </c>
      <c r="C914" s="9" t="s">
        <v>49</v>
      </c>
      <c r="D914" s="9" t="s">
        <v>227</v>
      </c>
      <c r="E914" s="9" t="s">
        <v>51</v>
      </c>
      <c r="F914" s="9" t="s">
        <v>52</v>
      </c>
      <c r="G914" s="9" t="s">
        <v>228</v>
      </c>
      <c r="H914" s="9" t="s">
        <v>54</v>
      </c>
      <c r="I914" s="9" t="s">
        <v>1513</v>
      </c>
      <c r="J914" s="9" t="s">
        <v>230</v>
      </c>
      <c r="K914" s="9" t="s">
        <v>231</v>
      </c>
      <c r="L914" s="9" t="s">
        <v>3</v>
      </c>
      <c r="M914" s="9" t="s">
        <v>232</v>
      </c>
      <c r="N914" s="9" t="s">
        <v>233</v>
      </c>
    </row>
    <row r="915" spans="1:14" ht="28" x14ac:dyDescent="0.15">
      <c r="A915" s="9" t="s">
        <v>1515</v>
      </c>
      <c r="B915" s="9" t="s">
        <v>1447</v>
      </c>
      <c r="C915" s="9" t="s">
        <v>49</v>
      </c>
      <c r="D915" s="9" t="s">
        <v>227</v>
      </c>
      <c r="E915" s="9" t="s">
        <v>51</v>
      </c>
      <c r="F915" s="9" t="s">
        <v>52</v>
      </c>
      <c r="G915" s="9" t="s">
        <v>228</v>
      </c>
      <c r="H915" s="9" t="s">
        <v>54</v>
      </c>
      <c r="I915" s="9" t="s">
        <v>1513</v>
      </c>
      <c r="J915" s="9" t="s">
        <v>230</v>
      </c>
      <c r="K915" s="9" t="s">
        <v>231</v>
      </c>
      <c r="L915" s="9" t="s">
        <v>3</v>
      </c>
      <c r="M915" s="9" t="s">
        <v>232</v>
      </c>
      <c r="N915" s="9" t="s">
        <v>233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8" customWidth="1"/>
    <col min="2" max="2" width="110" customWidth="1"/>
  </cols>
  <sheetData>
    <row r="1" spans="1:2" x14ac:dyDescent="0.15">
      <c r="A1" s="2" t="s">
        <v>1516</v>
      </c>
      <c r="B1" s="2" t="s">
        <v>1517</v>
      </c>
    </row>
    <row r="2" spans="1:2" x14ac:dyDescent="0.15">
      <c r="A2" t="s">
        <v>1518</v>
      </c>
      <c r="B2" t="s">
        <v>1519</v>
      </c>
    </row>
    <row r="3" spans="1:2" x14ac:dyDescent="0.15">
      <c r="A3" t="s">
        <v>1520</v>
      </c>
      <c r="B3" t="s">
        <v>1521</v>
      </c>
    </row>
    <row r="4" spans="1:2" x14ac:dyDescent="0.15">
      <c r="A4" t="s">
        <v>1522</v>
      </c>
      <c r="B4" t="s">
        <v>1523</v>
      </c>
    </row>
    <row r="5" spans="1:2" x14ac:dyDescent="0.15">
      <c r="A5" t="s">
        <v>1524</v>
      </c>
      <c r="B5" t="s">
        <v>1525</v>
      </c>
    </row>
    <row r="6" spans="1:2" x14ac:dyDescent="0.15">
      <c r="A6" t="s">
        <v>1526</v>
      </c>
      <c r="B6" t="s">
        <v>1527</v>
      </c>
    </row>
    <row r="7" spans="1:2" x14ac:dyDescent="0.15">
      <c r="A7" t="s">
        <v>1528</v>
      </c>
      <c r="B7" t="s">
        <v>1529</v>
      </c>
    </row>
    <row r="8" spans="1:2" x14ac:dyDescent="0.15">
      <c r="A8" t="s">
        <v>1530</v>
      </c>
      <c r="B8" t="s">
        <v>1531</v>
      </c>
    </row>
    <row r="9" spans="1:2" x14ac:dyDescent="0.15">
      <c r="A9" t="s">
        <v>1532</v>
      </c>
    </row>
    <row r="10" spans="1:2" x14ac:dyDescent="0.15">
      <c r="A10" t="s">
        <v>1533</v>
      </c>
    </row>
    <row r="11" spans="1:2" x14ac:dyDescent="0.15">
      <c r="A11" t="s">
        <v>1534</v>
      </c>
    </row>
    <row r="12" spans="1:2" x14ac:dyDescent="0.15">
      <c r="A12" t="s">
        <v>1535</v>
      </c>
    </row>
    <row r="14" spans="1:2" x14ac:dyDescent="0.15">
      <c r="A14" t="s">
        <v>1536</v>
      </c>
      <c r="B14" t="s">
        <v>1537</v>
      </c>
    </row>
    <row r="15" spans="1:2" x14ac:dyDescent="0.15">
      <c r="A15" t="s">
        <v>228</v>
      </c>
      <c r="B15" t="s">
        <v>1538</v>
      </c>
    </row>
    <row r="16" spans="1:2" x14ac:dyDescent="0.15">
      <c r="A16" t="s">
        <v>53</v>
      </c>
      <c r="B16" t="s">
        <v>1539</v>
      </c>
    </row>
    <row r="17" spans="1:2" x14ac:dyDescent="0.15">
      <c r="A17" t="s">
        <v>62</v>
      </c>
      <c r="B17" t="s">
        <v>1540</v>
      </c>
    </row>
    <row r="18" spans="1:2" x14ac:dyDescent="0.15">
      <c r="A18" t="s">
        <v>69</v>
      </c>
      <c r="B18" t="s">
        <v>1541</v>
      </c>
    </row>
    <row r="19" spans="1:2" x14ac:dyDescent="0.15">
      <c r="A19" t="s">
        <v>1542</v>
      </c>
      <c r="B19" t="s">
        <v>1543</v>
      </c>
    </row>
    <row r="20" spans="1:2" x14ac:dyDescent="0.15">
      <c r="A20" t="s">
        <v>1544</v>
      </c>
      <c r="B20" t="s">
        <v>1545</v>
      </c>
    </row>
    <row r="21" spans="1:2" x14ac:dyDescent="0.15">
      <c r="A21" t="s">
        <v>1546</v>
      </c>
      <c r="B21" t="s">
        <v>1547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48" customWidth="1"/>
  </cols>
  <sheetData>
    <row r="1" spans="1:1" ht="28" customHeight="1" x14ac:dyDescent="0.15">
      <c r="A1" s="3" t="s">
        <v>1548</v>
      </c>
    </row>
    <row r="2" spans="1:1" x14ac:dyDescent="0.15">
      <c r="A2" s="4"/>
    </row>
    <row r="3" spans="1:1" ht="28" x14ac:dyDescent="0.15">
      <c r="A3" s="4" t="s">
        <v>1549</v>
      </c>
    </row>
    <row r="4" spans="1:1" ht="28" x14ac:dyDescent="0.15">
      <c r="A4" s="4" t="s">
        <v>1550</v>
      </c>
    </row>
    <row r="5" spans="1:1" ht="28" x14ac:dyDescent="0.15">
      <c r="A5" s="4" t="s">
        <v>1551</v>
      </c>
    </row>
    <row r="6" spans="1:1" ht="14" x14ac:dyDescent="0.15">
      <c r="A6" s="4" t="s">
        <v>1552</v>
      </c>
    </row>
    <row r="7" spans="1:1" ht="14" x14ac:dyDescent="0.15">
      <c r="A7" s="4" t="s">
        <v>1553</v>
      </c>
    </row>
    <row r="8" spans="1:1" ht="14" x14ac:dyDescent="0.15">
      <c r="A8" s="4" t="s">
        <v>1554</v>
      </c>
    </row>
    <row r="9" spans="1:1" ht="28" x14ac:dyDescent="0.15">
      <c r="A9" s="4" t="s">
        <v>1555</v>
      </c>
    </row>
    <row r="10" spans="1:1" ht="28" x14ac:dyDescent="0.15">
      <c r="A10" s="4" t="s">
        <v>1556</v>
      </c>
    </row>
    <row r="11" spans="1:1" ht="28" x14ac:dyDescent="0.15">
      <c r="A11" s="4" t="s">
        <v>1557</v>
      </c>
    </row>
    <row r="12" spans="1:1" ht="14" x14ac:dyDescent="0.15">
      <c r="A12" s="4" t="s">
        <v>1558</v>
      </c>
    </row>
    <row r="13" spans="1:1" ht="28" x14ac:dyDescent="0.15">
      <c r="A13" s="4" t="s">
        <v>1559</v>
      </c>
    </row>
    <row r="14" spans="1:1" ht="28" x14ac:dyDescent="0.15">
      <c r="A14" s="5" t="s">
        <v>1560</v>
      </c>
    </row>
    <row r="15" spans="1:1" ht="28" x14ac:dyDescent="0.15">
      <c r="A15" s="5" t="s">
        <v>1561</v>
      </c>
    </row>
    <row r="16" spans="1:1" ht="28" x14ac:dyDescent="0.15">
      <c r="A16" s="5" t="s">
        <v>1562</v>
      </c>
    </row>
  </sheetData>
  <autoFilter ref="A1:A1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11" customWidth="1"/>
    <col min="3" max="3" width="13" customWidth="1"/>
    <col min="4" max="8" width="11" customWidth="1"/>
  </cols>
  <sheetData>
    <row r="1" spans="1:8" ht="28" customHeight="1" x14ac:dyDescent="0.15">
      <c r="A1" s="3" t="s">
        <v>1563</v>
      </c>
      <c r="B1" s="3" t="s">
        <v>1564</v>
      </c>
      <c r="C1" s="3" t="s">
        <v>1565</v>
      </c>
      <c r="D1" s="3" t="s">
        <v>35</v>
      </c>
      <c r="E1" s="3" t="s">
        <v>36</v>
      </c>
      <c r="F1" s="3" t="s">
        <v>1566</v>
      </c>
      <c r="G1" s="3" t="s">
        <v>1567</v>
      </c>
      <c r="H1" s="3" t="s">
        <v>1568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7" customWidth="1"/>
    <col min="2" max="2" width="12" customWidth="1"/>
    <col min="3" max="3" width="19" customWidth="1"/>
    <col min="4" max="4" width="17" customWidth="1"/>
    <col min="5" max="5" width="16" customWidth="1"/>
    <col min="6" max="7" width="12" customWidth="1"/>
    <col min="8" max="8" width="17" customWidth="1"/>
    <col min="9" max="9" width="40" customWidth="1"/>
    <col min="10" max="13" width="12" customWidth="1"/>
    <col min="14" max="14" width="24" customWidth="1"/>
    <col min="15" max="15" width="16" customWidth="1"/>
    <col min="16" max="16" width="20" customWidth="1"/>
    <col min="17" max="17" width="21" customWidth="1"/>
    <col min="18" max="19" width="12" customWidth="1"/>
    <col min="20" max="20" width="17" customWidth="1"/>
    <col min="21" max="21" width="13" customWidth="1"/>
    <col min="22" max="22" width="22" customWidth="1"/>
    <col min="23" max="25" width="40" customWidth="1"/>
    <col min="26" max="27" width="12" customWidth="1"/>
    <col min="28" max="28" width="40" customWidth="1"/>
    <col min="29" max="29" width="38" customWidth="1"/>
    <col min="30" max="33" width="35" customWidth="1"/>
    <col min="34" max="34" width="20" customWidth="1"/>
    <col min="35" max="35" width="17" customWidth="1"/>
    <col min="36" max="36" width="55" customWidth="1"/>
    <col min="37" max="37" width="35" customWidth="1"/>
  </cols>
  <sheetData>
    <row r="1" spans="1:39" ht="28" customHeight="1" x14ac:dyDescent="0.15">
      <c r="A1" s="1" t="s">
        <v>1565</v>
      </c>
      <c r="B1" s="1" t="s">
        <v>35</v>
      </c>
      <c r="C1" s="1" t="s">
        <v>36</v>
      </c>
      <c r="D1" s="1" t="s">
        <v>1569</v>
      </c>
      <c r="E1" s="1" t="s">
        <v>1570</v>
      </c>
      <c r="F1" s="1" t="s">
        <v>1571</v>
      </c>
      <c r="G1" s="1" t="s">
        <v>1572</v>
      </c>
      <c r="H1" s="1" t="s">
        <v>1573</v>
      </c>
      <c r="I1" s="1" t="s">
        <v>1568</v>
      </c>
      <c r="J1" s="1" t="s">
        <v>1574</v>
      </c>
      <c r="K1" s="1" t="s">
        <v>1575</v>
      </c>
      <c r="L1" s="1" t="s">
        <v>1576</v>
      </c>
      <c r="M1" s="1" t="s">
        <v>1577</v>
      </c>
      <c r="N1" s="1" t="s">
        <v>1578</v>
      </c>
      <c r="O1" s="1" t="s">
        <v>1579</v>
      </c>
      <c r="P1" s="1" t="s">
        <v>1580</v>
      </c>
      <c r="Q1" s="1" t="s">
        <v>1581</v>
      </c>
      <c r="R1" s="1" t="s">
        <v>1582</v>
      </c>
      <c r="S1" s="1" t="s">
        <v>1583</v>
      </c>
      <c r="T1" s="1" t="s">
        <v>1584</v>
      </c>
      <c r="U1" s="1" t="s">
        <v>1585</v>
      </c>
      <c r="V1" s="1" t="s">
        <v>1586</v>
      </c>
      <c r="W1" s="1" t="s">
        <v>1587</v>
      </c>
      <c r="X1" s="1" t="s">
        <v>1588</v>
      </c>
      <c r="Y1" s="1" t="s">
        <v>1589</v>
      </c>
      <c r="Z1" s="1" t="s">
        <v>1590</v>
      </c>
      <c r="AA1" s="1" t="s">
        <v>1591</v>
      </c>
      <c r="AB1" s="1" t="s">
        <v>1592</v>
      </c>
      <c r="AC1" s="1" t="s">
        <v>1593</v>
      </c>
      <c r="AD1" s="1" t="s">
        <v>39</v>
      </c>
      <c r="AE1" s="1" t="s">
        <v>41</v>
      </c>
      <c r="AF1" s="1" t="s">
        <v>1594</v>
      </c>
      <c r="AG1" s="1" t="s">
        <v>1595</v>
      </c>
      <c r="AH1" s="1" t="s">
        <v>1596</v>
      </c>
      <c r="AI1" s="1" t="s">
        <v>40</v>
      </c>
      <c r="AJ1" s="1" t="s">
        <v>1597</v>
      </c>
      <c r="AK1" s="1" t="s">
        <v>37</v>
      </c>
      <c r="AL1" s="1" t="s">
        <v>1598</v>
      </c>
      <c r="AM1" s="1" t="s">
        <v>44</v>
      </c>
    </row>
    <row r="2" spans="1:39" ht="70" x14ac:dyDescent="0.2">
      <c r="A2" s="4" t="s">
        <v>47</v>
      </c>
      <c r="B2" s="4" t="s">
        <v>49</v>
      </c>
      <c r="C2" s="4" t="s">
        <v>50</v>
      </c>
      <c r="D2" s="6">
        <v>27.99</v>
      </c>
      <c r="E2" s="6">
        <v>19.22</v>
      </c>
      <c r="F2" s="4" t="s">
        <v>1599</v>
      </c>
      <c r="G2" s="4" t="b">
        <v>0</v>
      </c>
      <c r="H2" s="4" t="b">
        <v>0</v>
      </c>
      <c r="I2" s="4"/>
      <c r="J2" s="4" t="b">
        <v>0</v>
      </c>
      <c r="K2" s="4" t="s">
        <v>1600</v>
      </c>
      <c r="L2" s="5">
        <v>800</v>
      </c>
      <c r="M2" s="5"/>
      <c r="N2" s="5" t="s">
        <v>1601</v>
      </c>
      <c r="O2" s="5" t="s">
        <v>1602</v>
      </c>
      <c r="P2" s="5">
        <v>33.950000000000003</v>
      </c>
      <c r="Q2" s="5">
        <v>1.456</v>
      </c>
      <c r="R2" s="5">
        <v>800</v>
      </c>
      <c r="S2" s="5"/>
      <c r="T2" s="5"/>
      <c r="U2" s="5" t="s">
        <v>1603</v>
      </c>
      <c r="V2" s="5">
        <v>17</v>
      </c>
      <c r="W2" s="5" t="s">
        <v>1604</v>
      </c>
      <c r="X2" s="5" t="s">
        <v>1605</v>
      </c>
      <c r="Y2" s="5" t="s">
        <v>1606</v>
      </c>
      <c r="Z2" s="5">
        <v>120</v>
      </c>
      <c r="AA2" s="5"/>
      <c r="AB2" s="5" t="s">
        <v>57</v>
      </c>
      <c r="AC2" s="5" t="s">
        <v>1607</v>
      </c>
      <c r="AD2" s="12" t="s">
        <v>53</v>
      </c>
      <c r="AE2" t="s">
        <v>55</v>
      </c>
      <c r="AF2" t="s">
        <v>56</v>
      </c>
      <c r="AG2" s="11" t="s">
        <v>57</v>
      </c>
      <c r="AH2" t="s">
        <v>1608</v>
      </c>
      <c r="AI2" t="s">
        <v>54</v>
      </c>
      <c r="AJ2" t="s">
        <v>1609</v>
      </c>
      <c r="AK2" t="s">
        <v>51</v>
      </c>
      <c r="AL2" t="s">
        <v>52</v>
      </c>
      <c r="AM2" t="s">
        <v>3</v>
      </c>
    </row>
    <row r="3" spans="1:39" ht="42" x14ac:dyDescent="0.2">
      <c r="A3" s="4" t="s">
        <v>60</v>
      </c>
      <c r="B3" s="4" t="s">
        <v>49</v>
      </c>
      <c r="C3" s="4" t="s">
        <v>61</v>
      </c>
      <c r="D3" s="6">
        <v>36.700000000000003</v>
      </c>
      <c r="E3" s="6">
        <v>25.54</v>
      </c>
      <c r="F3" s="4" t="s">
        <v>1599</v>
      </c>
      <c r="G3" s="4" t="b">
        <v>0</v>
      </c>
      <c r="H3" s="4" t="b">
        <v>0</v>
      </c>
      <c r="I3" s="4"/>
      <c r="J3" s="4" t="b">
        <v>0</v>
      </c>
      <c r="K3" s="4" t="s">
        <v>1600</v>
      </c>
      <c r="L3" s="5">
        <v>800</v>
      </c>
      <c r="M3" s="5"/>
      <c r="N3" s="5" t="s">
        <v>1610</v>
      </c>
      <c r="O3" s="5" t="s">
        <v>1611</v>
      </c>
      <c r="P3" s="5">
        <v>44.71</v>
      </c>
      <c r="Q3" s="5">
        <v>1.4370000000000001</v>
      </c>
      <c r="R3" s="5">
        <v>800</v>
      </c>
      <c r="S3" s="5"/>
      <c r="T3" s="5"/>
      <c r="U3" s="5" t="s">
        <v>1612</v>
      </c>
      <c r="V3" s="5" t="s">
        <v>1613</v>
      </c>
      <c r="W3" s="5" t="s">
        <v>1614</v>
      </c>
      <c r="X3" s="5" t="s">
        <v>1615</v>
      </c>
      <c r="Y3" s="5" t="s">
        <v>1616</v>
      </c>
      <c r="Z3" s="5">
        <v>100</v>
      </c>
      <c r="AA3" s="5"/>
      <c r="AB3" s="5" t="s">
        <v>65</v>
      </c>
      <c r="AC3" s="5" t="s">
        <v>1607</v>
      </c>
      <c r="AD3" s="13" t="s">
        <v>62</v>
      </c>
      <c r="AE3" t="s">
        <v>63</v>
      </c>
      <c r="AF3" t="s">
        <v>64</v>
      </c>
      <c r="AG3" s="11" t="s">
        <v>65</v>
      </c>
      <c r="AH3" t="s">
        <v>1608</v>
      </c>
      <c r="AI3" t="s">
        <v>54</v>
      </c>
      <c r="AJ3" t="s">
        <v>1617</v>
      </c>
      <c r="AK3" t="s">
        <v>51</v>
      </c>
      <c r="AL3" t="s">
        <v>52</v>
      </c>
      <c r="AM3" t="s">
        <v>3</v>
      </c>
    </row>
    <row r="4" spans="1:39" ht="14" x14ac:dyDescent="0.15">
      <c r="A4" s="4" t="s">
        <v>67</v>
      </c>
      <c r="B4" s="4" t="s">
        <v>49</v>
      </c>
      <c r="C4" s="4" t="s">
        <v>68</v>
      </c>
      <c r="D4" s="6">
        <v>28.25</v>
      </c>
      <c r="E4" s="6">
        <v>18.170000000000002</v>
      </c>
      <c r="F4" s="4" t="s">
        <v>1618</v>
      </c>
      <c r="G4" s="4" t="b">
        <v>0</v>
      </c>
      <c r="H4" s="4" t="b">
        <v>0</v>
      </c>
      <c r="I4" s="4"/>
      <c r="J4" s="4" t="b">
        <v>0</v>
      </c>
      <c r="K4" s="4" t="s">
        <v>1600</v>
      </c>
      <c r="L4" s="5">
        <v>800</v>
      </c>
      <c r="M4" s="5"/>
      <c r="N4" s="5"/>
      <c r="O4" s="5"/>
      <c r="P4" s="5">
        <v>33.590000000000003</v>
      </c>
      <c r="Q4" s="5">
        <v>1.5549999999999999</v>
      </c>
      <c r="R4" s="5">
        <v>800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 t="s">
        <v>1619</v>
      </c>
      <c r="AD4" s="14" t="s">
        <v>69</v>
      </c>
      <c r="AK4" t="s">
        <v>51</v>
      </c>
      <c r="AL4" t="s">
        <v>52</v>
      </c>
      <c r="AM4" t="s">
        <v>3</v>
      </c>
    </row>
    <row r="5" spans="1:39" ht="14" x14ac:dyDescent="0.15">
      <c r="A5" s="4" t="s">
        <v>70</v>
      </c>
      <c r="B5" s="4" t="s">
        <v>49</v>
      </c>
      <c r="C5" s="4" t="s">
        <v>71</v>
      </c>
      <c r="D5" s="6">
        <v>28.25</v>
      </c>
      <c r="E5" s="6">
        <v>18.170000000000002</v>
      </c>
      <c r="F5" s="4" t="s">
        <v>1618</v>
      </c>
      <c r="G5" s="4" t="b">
        <v>0</v>
      </c>
      <c r="H5" s="4" t="b">
        <v>0</v>
      </c>
      <c r="I5" s="4"/>
      <c r="J5" s="4" t="b">
        <v>0</v>
      </c>
      <c r="K5" s="4" t="s">
        <v>1600</v>
      </c>
      <c r="L5" s="5">
        <v>800</v>
      </c>
      <c r="M5" s="5"/>
      <c r="N5" s="5"/>
      <c r="O5" s="5"/>
      <c r="P5" s="5">
        <v>33.590000000000003</v>
      </c>
      <c r="Q5" s="5">
        <v>1.5549999999999999</v>
      </c>
      <c r="R5" s="5">
        <v>800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 t="s">
        <v>1619</v>
      </c>
      <c r="AD5" s="14" t="s">
        <v>69</v>
      </c>
      <c r="AK5" t="s">
        <v>51</v>
      </c>
      <c r="AL5" t="s">
        <v>52</v>
      </c>
      <c r="AM5" t="s">
        <v>3</v>
      </c>
    </row>
    <row r="6" spans="1:39" ht="14" x14ac:dyDescent="0.15">
      <c r="A6" s="4" t="s">
        <v>72</v>
      </c>
      <c r="B6" s="4" t="s">
        <v>49</v>
      </c>
      <c r="C6" s="4" t="s">
        <v>73</v>
      </c>
      <c r="D6" s="6">
        <v>12.35</v>
      </c>
      <c r="E6" s="6">
        <v>7.49</v>
      </c>
      <c r="F6" s="4" t="s">
        <v>1620</v>
      </c>
      <c r="G6" s="4" t="b">
        <v>0</v>
      </c>
      <c r="H6" s="4" t="b">
        <v>0</v>
      </c>
      <c r="I6" s="4" t="s">
        <v>1621</v>
      </c>
      <c r="J6" s="4" t="b">
        <v>0</v>
      </c>
      <c r="K6" s="4" t="s">
        <v>1600</v>
      </c>
      <c r="L6" s="5"/>
      <c r="M6" s="5"/>
      <c r="N6" s="5"/>
      <c r="O6" s="5"/>
      <c r="P6" s="5">
        <v>14.44</v>
      </c>
      <c r="Q6" s="5">
        <v>1.649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 t="s">
        <v>1619</v>
      </c>
      <c r="AD6" s="14" t="s">
        <v>69</v>
      </c>
      <c r="AK6" t="s">
        <v>51</v>
      </c>
      <c r="AL6" t="s">
        <v>52</v>
      </c>
      <c r="AM6" t="s">
        <v>3</v>
      </c>
    </row>
    <row r="7" spans="1:39" ht="14" x14ac:dyDescent="0.15">
      <c r="A7" s="4" t="s">
        <v>74</v>
      </c>
      <c r="B7" s="4" t="s">
        <v>49</v>
      </c>
      <c r="C7" s="4" t="s">
        <v>75</v>
      </c>
      <c r="D7" s="6">
        <v>54.12</v>
      </c>
      <c r="E7" s="6">
        <v>25.59</v>
      </c>
      <c r="F7" s="4" t="s">
        <v>1599</v>
      </c>
      <c r="G7" s="4" t="b">
        <v>0</v>
      </c>
      <c r="H7" s="4" t="b">
        <v>0</v>
      </c>
      <c r="I7" s="4"/>
      <c r="J7" s="4" t="b">
        <v>0</v>
      </c>
      <c r="K7" s="4" t="s">
        <v>1600</v>
      </c>
      <c r="L7" s="5">
        <v>800</v>
      </c>
      <c r="M7" s="5"/>
      <c r="N7" s="5"/>
      <c r="O7" s="5"/>
      <c r="P7" s="5">
        <v>59.87</v>
      </c>
      <c r="Q7" s="5">
        <v>2.1150000000000002</v>
      </c>
      <c r="R7" s="5">
        <v>800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 t="s">
        <v>1619</v>
      </c>
      <c r="AD7" s="14" t="s">
        <v>69</v>
      </c>
      <c r="AK7" t="s">
        <v>51</v>
      </c>
      <c r="AL7" t="s">
        <v>52</v>
      </c>
      <c r="AM7" t="s">
        <v>3</v>
      </c>
    </row>
    <row r="8" spans="1:39" ht="14" x14ac:dyDescent="0.15">
      <c r="A8" s="4" t="s">
        <v>76</v>
      </c>
      <c r="B8" s="4" t="s">
        <v>49</v>
      </c>
      <c r="C8" s="4" t="s">
        <v>77</v>
      </c>
      <c r="D8" s="6">
        <v>28.25</v>
      </c>
      <c r="E8" s="6">
        <v>18.170000000000002</v>
      </c>
      <c r="F8" s="4" t="s">
        <v>1618</v>
      </c>
      <c r="G8" s="4" t="b">
        <v>0</v>
      </c>
      <c r="H8" s="4" t="b">
        <v>0</v>
      </c>
      <c r="I8" s="4"/>
      <c r="J8" s="4" t="b">
        <v>0</v>
      </c>
      <c r="K8" s="4" t="s">
        <v>1600</v>
      </c>
      <c r="L8" s="5">
        <v>800</v>
      </c>
      <c r="M8" s="5"/>
      <c r="N8" s="5"/>
      <c r="O8" s="5"/>
      <c r="P8" s="5">
        <v>33.590000000000003</v>
      </c>
      <c r="Q8" s="5">
        <v>1.5549999999999999</v>
      </c>
      <c r="R8" s="5">
        <v>800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1619</v>
      </c>
      <c r="AD8" s="14" t="s">
        <v>69</v>
      </c>
      <c r="AK8" t="s">
        <v>51</v>
      </c>
      <c r="AL8" t="s">
        <v>52</v>
      </c>
      <c r="AM8" t="s">
        <v>3</v>
      </c>
    </row>
    <row r="9" spans="1:39" ht="14" x14ac:dyDescent="0.15">
      <c r="A9" s="4" t="s">
        <v>78</v>
      </c>
      <c r="B9" s="4" t="s">
        <v>49</v>
      </c>
      <c r="C9" s="4" t="s">
        <v>79</v>
      </c>
      <c r="D9" s="6">
        <v>28.25</v>
      </c>
      <c r="E9" s="6">
        <v>18.170000000000002</v>
      </c>
      <c r="F9" s="4" t="s">
        <v>1618</v>
      </c>
      <c r="G9" s="4" t="b">
        <v>0</v>
      </c>
      <c r="H9" s="4" t="b">
        <v>0</v>
      </c>
      <c r="I9" s="4"/>
      <c r="J9" s="4" t="b">
        <v>0</v>
      </c>
      <c r="K9" s="4" t="s">
        <v>1600</v>
      </c>
      <c r="L9" s="5">
        <v>800</v>
      </c>
      <c r="M9" s="5"/>
      <c r="N9" s="5"/>
      <c r="O9" s="5"/>
      <c r="P9" s="5">
        <v>33.590000000000003</v>
      </c>
      <c r="Q9" s="5">
        <v>1.5549999999999999</v>
      </c>
      <c r="R9" s="5">
        <v>800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 t="s">
        <v>1619</v>
      </c>
      <c r="AD9" s="14" t="s">
        <v>69</v>
      </c>
      <c r="AK9" t="s">
        <v>51</v>
      </c>
      <c r="AL9" t="s">
        <v>52</v>
      </c>
      <c r="AM9" t="s">
        <v>3</v>
      </c>
    </row>
    <row r="10" spans="1:39" ht="14" x14ac:dyDescent="0.15">
      <c r="A10" s="4" t="s">
        <v>80</v>
      </c>
      <c r="B10" s="4" t="s">
        <v>49</v>
      </c>
      <c r="C10" s="4" t="s">
        <v>81</v>
      </c>
      <c r="D10" s="6">
        <v>36.700000000000003</v>
      </c>
      <c r="E10" s="6">
        <v>25.54</v>
      </c>
      <c r="F10" s="4" t="s">
        <v>1599</v>
      </c>
      <c r="G10" s="4" t="b">
        <v>0</v>
      </c>
      <c r="H10" s="4" t="b">
        <v>0</v>
      </c>
      <c r="I10" s="4"/>
      <c r="J10" s="4" t="b">
        <v>0</v>
      </c>
      <c r="K10" s="4" t="s">
        <v>1600</v>
      </c>
      <c r="L10" s="5">
        <v>800</v>
      </c>
      <c r="M10" s="5"/>
      <c r="N10" s="5"/>
      <c r="O10" s="5"/>
      <c r="P10" s="5">
        <v>44.71</v>
      </c>
      <c r="Q10" s="5">
        <v>1.4370000000000001</v>
      </c>
      <c r="R10" s="5">
        <v>800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 t="s">
        <v>1619</v>
      </c>
      <c r="AD10" s="14" t="s">
        <v>69</v>
      </c>
      <c r="AK10" t="s">
        <v>51</v>
      </c>
      <c r="AL10" t="s">
        <v>52</v>
      </c>
      <c r="AM10" t="s">
        <v>3</v>
      </c>
    </row>
    <row r="11" spans="1:39" ht="14" x14ac:dyDescent="0.15">
      <c r="A11" s="4" t="s">
        <v>82</v>
      </c>
      <c r="B11" s="4" t="s">
        <v>49</v>
      </c>
      <c r="C11" s="4" t="s">
        <v>83</v>
      </c>
      <c r="D11" s="6">
        <v>24.89</v>
      </c>
      <c r="E11" s="6">
        <v>18.66</v>
      </c>
      <c r="F11" s="4" t="s">
        <v>1618</v>
      </c>
      <c r="G11" s="4" t="b">
        <v>1</v>
      </c>
      <c r="H11" s="4" t="b">
        <v>1</v>
      </c>
      <c r="I11" s="4" t="s">
        <v>1622</v>
      </c>
      <c r="J11" s="4" t="b">
        <v>0</v>
      </c>
      <c r="K11" s="4" t="s">
        <v>1600</v>
      </c>
      <c r="L11" s="5"/>
      <c r="M11" s="5"/>
      <c r="N11" s="5"/>
      <c r="O11" s="5"/>
      <c r="P11" s="5">
        <v>31.11</v>
      </c>
      <c r="Q11" s="5">
        <v>1.3340000000000001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 t="s">
        <v>1619</v>
      </c>
      <c r="AD11" s="14" t="s">
        <v>69</v>
      </c>
      <c r="AK11" t="s">
        <v>51</v>
      </c>
      <c r="AL11" t="s">
        <v>52</v>
      </c>
      <c r="AM11" t="s">
        <v>3</v>
      </c>
    </row>
    <row r="12" spans="1:39" ht="14" x14ac:dyDescent="0.15">
      <c r="A12" s="4" t="s">
        <v>84</v>
      </c>
      <c r="B12" s="4" t="s">
        <v>49</v>
      </c>
      <c r="C12" s="4" t="s">
        <v>85</v>
      </c>
      <c r="D12" s="6">
        <v>28.17</v>
      </c>
      <c r="E12" s="6">
        <v>18.8</v>
      </c>
      <c r="F12" s="4" t="s">
        <v>1618</v>
      </c>
      <c r="G12" s="4" t="b">
        <v>1</v>
      </c>
      <c r="H12" s="4" t="b">
        <v>0</v>
      </c>
      <c r="I12" s="4" t="s">
        <v>1623</v>
      </c>
      <c r="J12" s="4" t="b">
        <v>0</v>
      </c>
      <c r="K12" s="4" t="s">
        <v>1600</v>
      </c>
      <c r="L12" s="5"/>
      <c r="M12" s="5"/>
      <c r="N12" s="5"/>
      <c r="O12" s="5"/>
      <c r="P12" s="5">
        <v>33.869999999999997</v>
      </c>
      <c r="Q12" s="5">
        <v>1.498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1619</v>
      </c>
      <c r="AD12" s="14" t="s">
        <v>69</v>
      </c>
      <c r="AK12" t="s">
        <v>51</v>
      </c>
      <c r="AL12" t="s">
        <v>52</v>
      </c>
      <c r="AM12" t="s">
        <v>3</v>
      </c>
    </row>
    <row r="13" spans="1:39" ht="14" x14ac:dyDescent="0.15">
      <c r="A13" s="4" t="s">
        <v>86</v>
      </c>
      <c r="B13" s="4" t="s">
        <v>49</v>
      </c>
      <c r="C13" s="4" t="s">
        <v>87</v>
      </c>
      <c r="D13" s="6">
        <v>28.25</v>
      </c>
      <c r="E13" s="6">
        <v>18.170000000000002</v>
      </c>
      <c r="F13" s="4" t="s">
        <v>1618</v>
      </c>
      <c r="G13" s="4" t="b">
        <v>0</v>
      </c>
      <c r="H13" s="4" t="b">
        <v>1</v>
      </c>
      <c r="I13" s="4"/>
      <c r="J13" s="4" t="b">
        <v>0</v>
      </c>
      <c r="K13" s="4" t="s">
        <v>1600</v>
      </c>
      <c r="L13" s="5">
        <v>800</v>
      </c>
      <c r="M13" s="5"/>
      <c r="N13" s="5"/>
      <c r="O13" s="5"/>
      <c r="P13" s="5">
        <v>33.590000000000003</v>
      </c>
      <c r="Q13" s="5">
        <v>1.5549999999999999</v>
      </c>
      <c r="R13" s="5">
        <v>800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1619</v>
      </c>
      <c r="AD13" s="14" t="s">
        <v>69</v>
      </c>
      <c r="AK13" t="s">
        <v>51</v>
      </c>
      <c r="AL13" t="s">
        <v>52</v>
      </c>
      <c r="AM13" t="s">
        <v>3</v>
      </c>
    </row>
    <row r="14" spans="1:39" ht="14" x14ac:dyDescent="0.15">
      <c r="A14" s="4" t="s">
        <v>88</v>
      </c>
      <c r="B14" s="4" t="s">
        <v>49</v>
      </c>
      <c r="C14" s="4" t="s">
        <v>89</v>
      </c>
      <c r="D14" s="6">
        <v>24.89</v>
      </c>
      <c r="E14" s="6">
        <v>18.66</v>
      </c>
      <c r="F14" s="4" t="s">
        <v>1618</v>
      </c>
      <c r="G14" s="4" t="b">
        <v>1</v>
      </c>
      <c r="H14" s="4" t="b">
        <v>0</v>
      </c>
      <c r="I14" s="4" t="s">
        <v>1621</v>
      </c>
      <c r="J14" s="4" t="b">
        <v>0</v>
      </c>
      <c r="K14" s="4" t="s">
        <v>1600</v>
      </c>
      <c r="L14" s="5"/>
      <c r="M14" s="5"/>
      <c r="N14" s="5"/>
      <c r="O14" s="5"/>
      <c r="P14" s="5">
        <v>31.11</v>
      </c>
      <c r="Q14" s="5">
        <v>1.3340000000000001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 t="s">
        <v>1619</v>
      </c>
      <c r="AD14" s="14" t="s">
        <v>69</v>
      </c>
      <c r="AK14" t="s">
        <v>51</v>
      </c>
      <c r="AL14" t="s">
        <v>52</v>
      </c>
      <c r="AM14" t="s">
        <v>3</v>
      </c>
    </row>
    <row r="15" spans="1:39" ht="14" x14ac:dyDescent="0.15">
      <c r="A15" s="4" t="s">
        <v>90</v>
      </c>
      <c r="B15" s="4" t="s">
        <v>49</v>
      </c>
      <c r="C15" s="4" t="s">
        <v>91</v>
      </c>
      <c r="D15" s="6">
        <v>12.35</v>
      </c>
      <c r="E15" s="6">
        <v>7.49</v>
      </c>
      <c r="F15" s="4" t="s">
        <v>1620</v>
      </c>
      <c r="G15" s="4" t="b">
        <v>1</v>
      </c>
      <c r="H15" s="4" t="b">
        <v>0</v>
      </c>
      <c r="I15" s="4" t="s">
        <v>1621</v>
      </c>
      <c r="J15" s="4" t="b">
        <v>0</v>
      </c>
      <c r="K15" s="4" t="s">
        <v>1600</v>
      </c>
      <c r="L15" s="5"/>
      <c r="M15" s="5"/>
      <c r="N15" s="5"/>
      <c r="O15" s="5"/>
      <c r="P15" s="5">
        <v>14.44</v>
      </c>
      <c r="Q15" s="5">
        <v>1.649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 t="s">
        <v>1619</v>
      </c>
      <c r="AD15" s="14" t="s">
        <v>69</v>
      </c>
      <c r="AK15" t="s">
        <v>51</v>
      </c>
      <c r="AL15" t="s">
        <v>52</v>
      </c>
      <c r="AM15" t="s">
        <v>3</v>
      </c>
    </row>
    <row r="16" spans="1:39" ht="14" x14ac:dyDescent="0.15">
      <c r="A16" s="4" t="s">
        <v>92</v>
      </c>
      <c r="B16" s="4" t="s">
        <v>93</v>
      </c>
      <c r="C16" s="4" t="s">
        <v>94</v>
      </c>
      <c r="D16" s="6">
        <v>27.03</v>
      </c>
      <c r="E16" s="6">
        <v>14.26</v>
      </c>
      <c r="F16" s="4" t="s">
        <v>1618</v>
      </c>
      <c r="G16" s="4" t="b">
        <v>0</v>
      </c>
      <c r="H16" s="4" t="b">
        <v>0</v>
      </c>
      <c r="I16" s="4"/>
      <c r="J16" s="4" t="b">
        <v>0</v>
      </c>
      <c r="K16" s="4" t="s">
        <v>1600</v>
      </c>
      <c r="L16" s="5">
        <v>800</v>
      </c>
      <c r="M16" s="5"/>
      <c r="N16" s="5"/>
      <c r="O16" s="5"/>
      <c r="P16" s="5">
        <v>30.56</v>
      </c>
      <c r="Q16" s="5">
        <v>1.8959999999999999</v>
      </c>
      <c r="R16" s="5">
        <v>800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 t="s">
        <v>1619</v>
      </c>
      <c r="AD16" s="14" t="s">
        <v>69</v>
      </c>
      <c r="AK16" t="s">
        <v>51</v>
      </c>
      <c r="AL16" t="s">
        <v>52</v>
      </c>
      <c r="AM16" t="s">
        <v>3</v>
      </c>
    </row>
    <row r="17" spans="1:39" ht="56" x14ac:dyDescent="0.2">
      <c r="A17" s="4" t="s">
        <v>95</v>
      </c>
      <c r="B17" s="4" t="s">
        <v>93</v>
      </c>
      <c r="C17" s="4" t="s">
        <v>96</v>
      </c>
      <c r="D17" s="6">
        <v>36</v>
      </c>
      <c r="E17" s="6">
        <v>24</v>
      </c>
      <c r="F17" s="4" t="s">
        <v>1624</v>
      </c>
      <c r="G17" s="4" t="b">
        <v>0</v>
      </c>
      <c r="H17" s="4" t="b">
        <v>0</v>
      </c>
      <c r="I17" s="4"/>
      <c r="J17" s="4" t="b">
        <v>0</v>
      </c>
      <c r="K17" s="4" t="s">
        <v>1600</v>
      </c>
      <c r="L17" s="5">
        <v>400</v>
      </c>
      <c r="M17" s="5">
        <v>3200</v>
      </c>
      <c r="N17" s="5" t="s">
        <v>1625</v>
      </c>
      <c r="O17" s="5" t="s">
        <v>1626</v>
      </c>
      <c r="P17" s="5"/>
      <c r="Q17" s="5">
        <v>1.5</v>
      </c>
      <c r="R17" s="5">
        <v>400</v>
      </c>
      <c r="S17" s="5">
        <v>3200</v>
      </c>
      <c r="T17" s="5" t="s">
        <v>1627</v>
      </c>
      <c r="U17" s="5"/>
      <c r="V17" s="5">
        <v>13</v>
      </c>
      <c r="W17" s="5" t="s">
        <v>1628</v>
      </c>
      <c r="X17" s="5" t="s">
        <v>1629</v>
      </c>
      <c r="Y17" s="5" t="s">
        <v>1630</v>
      </c>
      <c r="Z17" s="5">
        <v>120</v>
      </c>
      <c r="AA17" s="5"/>
      <c r="AB17" s="5" t="s">
        <v>100</v>
      </c>
      <c r="AC17" s="5" t="s">
        <v>1607</v>
      </c>
      <c r="AD17" s="12" t="s">
        <v>97</v>
      </c>
      <c r="AE17" t="s">
        <v>98</v>
      </c>
      <c r="AF17" t="s">
        <v>99</v>
      </c>
      <c r="AG17" s="11" t="s">
        <v>100</v>
      </c>
      <c r="AH17" t="s">
        <v>1608</v>
      </c>
      <c r="AI17" t="s">
        <v>54</v>
      </c>
      <c r="AJ17" t="s">
        <v>1631</v>
      </c>
      <c r="AK17" t="s">
        <v>51</v>
      </c>
      <c r="AL17" t="s">
        <v>52</v>
      </c>
      <c r="AM17" t="s">
        <v>3</v>
      </c>
    </row>
    <row r="18" spans="1:39" ht="14" x14ac:dyDescent="0.15">
      <c r="A18" s="4" t="s">
        <v>101</v>
      </c>
      <c r="B18" s="4" t="s">
        <v>93</v>
      </c>
      <c r="C18" s="4" t="s">
        <v>102</v>
      </c>
      <c r="D18" s="6">
        <v>23.1</v>
      </c>
      <c r="E18" s="6">
        <v>12.99</v>
      </c>
      <c r="F18" s="4" t="s">
        <v>1632</v>
      </c>
      <c r="G18" s="4" t="b">
        <v>0</v>
      </c>
      <c r="H18" s="4" t="b">
        <v>0</v>
      </c>
      <c r="I18" s="4"/>
      <c r="J18" s="4" t="b">
        <v>0</v>
      </c>
      <c r="K18" s="4" t="s">
        <v>1600</v>
      </c>
      <c r="L18" s="5">
        <v>400</v>
      </c>
      <c r="M18" s="5">
        <v>3200</v>
      </c>
      <c r="N18" s="5"/>
      <c r="O18" s="5"/>
      <c r="P18" s="5">
        <v>26.5</v>
      </c>
      <c r="Q18" s="5">
        <v>1.778</v>
      </c>
      <c r="R18" s="5">
        <v>400</v>
      </c>
      <c r="S18" s="5">
        <v>3200</v>
      </c>
      <c r="T18" s="5"/>
      <c r="U18" s="5"/>
      <c r="V18" s="5"/>
      <c r="W18" s="5"/>
      <c r="X18" s="5"/>
      <c r="Y18" s="5"/>
      <c r="Z18" s="5"/>
      <c r="AA18" s="5"/>
      <c r="AB18" s="5"/>
      <c r="AC18" s="5" t="s">
        <v>1619</v>
      </c>
      <c r="AD18" s="14" t="s">
        <v>69</v>
      </c>
      <c r="AK18" t="s">
        <v>51</v>
      </c>
      <c r="AL18" t="s">
        <v>52</v>
      </c>
      <c r="AM18" t="s">
        <v>3</v>
      </c>
    </row>
    <row r="19" spans="1:39" ht="14" x14ac:dyDescent="0.15">
      <c r="A19" s="4" t="s">
        <v>103</v>
      </c>
      <c r="B19" s="4" t="s">
        <v>93</v>
      </c>
      <c r="C19" s="4" t="s">
        <v>104</v>
      </c>
      <c r="D19" s="6">
        <v>18.96</v>
      </c>
      <c r="E19" s="6">
        <v>10</v>
      </c>
      <c r="F19" s="4" t="s">
        <v>1633</v>
      </c>
      <c r="G19" s="4" t="b">
        <v>0</v>
      </c>
      <c r="H19" s="4" t="b">
        <v>0</v>
      </c>
      <c r="I19" s="4"/>
      <c r="J19" s="4" t="b">
        <v>0</v>
      </c>
      <c r="K19" s="4" t="s">
        <v>1600</v>
      </c>
      <c r="L19" s="5">
        <v>400</v>
      </c>
      <c r="M19" s="5">
        <v>3200</v>
      </c>
      <c r="N19" s="5"/>
      <c r="O19" s="5"/>
      <c r="P19" s="5">
        <v>21.44</v>
      </c>
      <c r="Q19" s="5">
        <v>1.8959999999999999</v>
      </c>
      <c r="R19" s="5">
        <v>400</v>
      </c>
      <c r="S19" s="5">
        <v>3200</v>
      </c>
      <c r="T19" s="5"/>
      <c r="U19" s="5"/>
      <c r="V19" s="5"/>
      <c r="W19" s="5"/>
      <c r="X19" s="5"/>
      <c r="Y19" s="5"/>
      <c r="Z19" s="5"/>
      <c r="AA19" s="5"/>
      <c r="AB19" s="5"/>
      <c r="AC19" s="5" t="s">
        <v>1619</v>
      </c>
      <c r="AD19" s="14" t="s">
        <v>69</v>
      </c>
      <c r="AK19" t="s">
        <v>51</v>
      </c>
      <c r="AL19" t="s">
        <v>52</v>
      </c>
      <c r="AM19" t="s">
        <v>3</v>
      </c>
    </row>
    <row r="20" spans="1:39" ht="14" x14ac:dyDescent="0.15">
      <c r="A20" s="4" t="s">
        <v>105</v>
      </c>
      <c r="B20" s="4" t="s">
        <v>93</v>
      </c>
      <c r="C20" s="4" t="s">
        <v>106</v>
      </c>
      <c r="D20" s="6">
        <v>25.34</v>
      </c>
      <c r="E20" s="6">
        <v>14.25</v>
      </c>
      <c r="F20" s="4" t="s">
        <v>1618</v>
      </c>
      <c r="G20" s="4" t="b">
        <v>0</v>
      </c>
      <c r="H20" s="4" t="b">
        <v>0</v>
      </c>
      <c r="I20" s="4"/>
      <c r="J20" s="4" t="b">
        <v>0</v>
      </c>
      <c r="K20" s="4" t="s">
        <v>1600</v>
      </c>
      <c r="L20" s="5">
        <v>400</v>
      </c>
      <c r="M20" s="5">
        <v>3200</v>
      </c>
      <c r="N20" s="5"/>
      <c r="O20" s="5"/>
      <c r="P20" s="5">
        <v>29.07</v>
      </c>
      <c r="Q20" s="5">
        <v>1.778</v>
      </c>
      <c r="R20" s="5">
        <v>400</v>
      </c>
      <c r="S20" s="5">
        <v>3200</v>
      </c>
      <c r="T20" s="5"/>
      <c r="U20" s="5"/>
      <c r="V20" s="5"/>
      <c r="W20" s="5"/>
      <c r="X20" s="5"/>
      <c r="Y20" s="5"/>
      <c r="Z20" s="5"/>
      <c r="AA20" s="5"/>
      <c r="AB20" s="5"/>
      <c r="AC20" s="5" t="s">
        <v>1619</v>
      </c>
      <c r="AD20" s="14" t="s">
        <v>69</v>
      </c>
      <c r="AK20" t="s">
        <v>51</v>
      </c>
      <c r="AL20" t="s">
        <v>52</v>
      </c>
      <c r="AM20" t="s">
        <v>3</v>
      </c>
    </row>
    <row r="21" spans="1:39" ht="14" x14ac:dyDescent="0.15">
      <c r="A21" s="4" t="s">
        <v>107</v>
      </c>
      <c r="B21" s="4" t="s">
        <v>93</v>
      </c>
      <c r="C21" s="4" t="s">
        <v>108</v>
      </c>
      <c r="D21" s="6">
        <v>25.34</v>
      </c>
      <c r="E21" s="6">
        <v>14.25</v>
      </c>
      <c r="F21" s="4" t="s">
        <v>1632</v>
      </c>
      <c r="G21" s="4" t="b">
        <v>0</v>
      </c>
      <c r="H21" s="4" t="b">
        <v>0</v>
      </c>
      <c r="I21" s="4" t="s">
        <v>1634</v>
      </c>
      <c r="J21" s="4" t="b">
        <v>0</v>
      </c>
      <c r="K21" s="4" t="s">
        <v>1600</v>
      </c>
      <c r="L21" s="5">
        <v>800</v>
      </c>
      <c r="M21" s="5"/>
      <c r="N21" s="5"/>
      <c r="O21" s="5"/>
      <c r="P21" s="5">
        <v>29.07</v>
      </c>
      <c r="Q21" s="5">
        <v>1.778</v>
      </c>
      <c r="R21" s="5">
        <v>800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 t="s">
        <v>1619</v>
      </c>
      <c r="AD21" s="14" t="s">
        <v>69</v>
      </c>
      <c r="AK21" t="s">
        <v>51</v>
      </c>
      <c r="AL21" t="s">
        <v>52</v>
      </c>
      <c r="AM21" t="s">
        <v>3</v>
      </c>
    </row>
    <row r="22" spans="1:39" ht="42" x14ac:dyDescent="0.2">
      <c r="A22" s="4" t="s">
        <v>109</v>
      </c>
      <c r="B22" s="4" t="s">
        <v>93</v>
      </c>
      <c r="C22" s="4" t="s">
        <v>110</v>
      </c>
      <c r="D22" s="6">
        <v>50.81</v>
      </c>
      <c r="E22" s="6">
        <v>23.32</v>
      </c>
      <c r="F22" s="4" t="s">
        <v>1599</v>
      </c>
      <c r="G22" s="4" t="b">
        <v>0</v>
      </c>
      <c r="H22" s="4" t="b">
        <v>0</v>
      </c>
      <c r="I22" s="4"/>
      <c r="J22" s="4" t="b">
        <v>0</v>
      </c>
      <c r="K22" s="4" t="s">
        <v>1600</v>
      </c>
      <c r="L22" s="5">
        <v>800</v>
      </c>
      <c r="M22" s="5"/>
      <c r="N22" s="5" t="s">
        <v>1635</v>
      </c>
      <c r="O22" s="5" t="s">
        <v>1636</v>
      </c>
      <c r="P22" s="5">
        <v>55.91</v>
      </c>
      <c r="Q22" s="5">
        <v>2.1789999999999998</v>
      </c>
      <c r="R22" s="5">
        <v>800</v>
      </c>
      <c r="S22" s="5"/>
      <c r="T22" s="5"/>
      <c r="U22" s="5"/>
      <c r="V22" s="5">
        <v>16</v>
      </c>
      <c r="W22" s="5" t="s">
        <v>1637</v>
      </c>
      <c r="X22" s="5" t="s">
        <v>1638</v>
      </c>
      <c r="Y22" s="5" t="s">
        <v>1639</v>
      </c>
      <c r="Z22" s="5">
        <v>170</v>
      </c>
      <c r="AA22" s="5"/>
      <c r="AB22" s="5" t="s">
        <v>113</v>
      </c>
      <c r="AC22" s="5" t="s">
        <v>1607</v>
      </c>
      <c r="AD22" s="12" t="s">
        <v>53</v>
      </c>
      <c r="AE22" t="s">
        <v>111</v>
      </c>
      <c r="AF22" t="s">
        <v>112</v>
      </c>
      <c r="AG22" s="11" t="s">
        <v>113</v>
      </c>
      <c r="AH22" t="s">
        <v>1608</v>
      </c>
      <c r="AI22" t="s">
        <v>54</v>
      </c>
      <c r="AJ22" t="s">
        <v>1640</v>
      </c>
      <c r="AK22" t="s">
        <v>51</v>
      </c>
      <c r="AL22" t="s">
        <v>52</v>
      </c>
      <c r="AM22" t="s">
        <v>3</v>
      </c>
    </row>
    <row r="23" spans="1:39" ht="14" x14ac:dyDescent="0.15">
      <c r="A23" s="4" t="s">
        <v>114</v>
      </c>
      <c r="B23" s="4" t="s">
        <v>93</v>
      </c>
      <c r="C23" s="4" t="s">
        <v>115</v>
      </c>
      <c r="D23" s="6">
        <v>23.1</v>
      </c>
      <c r="E23" s="6">
        <v>12.99</v>
      </c>
      <c r="F23" s="4" t="s">
        <v>1632</v>
      </c>
      <c r="G23" s="4" t="b">
        <v>0</v>
      </c>
      <c r="H23" s="4" t="b">
        <v>0</v>
      </c>
      <c r="I23" s="4"/>
      <c r="J23" s="4" t="b">
        <v>0</v>
      </c>
      <c r="K23" s="4" t="s">
        <v>1600</v>
      </c>
      <c r="L23" s="5">
        <v>400</v>
      </c>
      <c r="M23" s="5">
        <v>3200</v>
      </c>
      <c r="N23" s="5"/>
      <c r="O23" s="5"/>
      <c r="P23" s="5">
        <v>26.5</v>
      </c>
      <c r="Q23" s="5">
        <v>1.778</v>
      </c>
      <c r="R23" s="5">
        <v>400</v>
      </c>
      <c r="S23" s="5">
        <v>3200</v>
      </c>
      <c r="T23" s="5"/>
      <c r="U23" s="5"/>
      <c r="V23" s="5"/>
      <c r="W23" s="5"/>
      <c r="X23" s="5"/>
      <c r="Y23" s="5"/>
      <c r="Z23" s="5"/>
      <c r="AA23" s="5"/>
      <c r="AB23" s="5"/>
      <c r="AC23" s="5" t="s">
        <v>1619</v>
      </c>
      <c r="AD23" s="14" t="s">
        <v>69</v>
      </c>
      <c r="AK23" t="s">
        <v>51</v>
      </c>
      <c r="AL23" t="s">
        <v>52</v>
      </c>
      <c r="AM23" t="s">
        <v>3</v>
      </c>
    </row>
    <row r="24" spans="1:39" ht="14" x14ac:dyDescent="0.15">
      <c r="A24" s="4" t="s">
        <v>116</v>
      </c>
      <c r="B24" s="4" t="s">
        <v>117</v>
      </c>
      <c r="C24" s="4" t="s">
        <v>118</v>
      </c>
      <c r="D24" s="6">
        <v>38.1</v>
      </c>
      <c r="E24" s="6">
        <v>20.100000000000001</v>
      </c>
      <c r="F24" s="4" t="s">
        <v>1618</v>
      </c>
      <c r="G24" s="4" t="b">
        <v>0</v>
      </c>
      <c r="H24" s="4" t="b">
        <v>0</v>
      </c>
      <c r="I24" s="4"/>
      <c r="J24" s="4" t="b">
        <v>0</v>
      </c>
      <c r="K24" s="4" t="s">
        <v>1600</v>
      </c>
      <c r="L24" s="5">
        <v>800</v>
      </c>
      <c r="M24" s="5"/>
      <c r="N24" s="5"/>
      <c r="O24" s="5"/>
      <c r="P24" s="5">
        <v>43.08</v>
      </c>
      <c r="Q24" s="5">
        <v>1.8959999999999999</v>
      </c>
      <c r="R24" s="5">
        <v>800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 t="s">
        <v>1619</v>
      </c>
      <c r="AD24" s="14" t="s">
        <v>69</v>
      </c>
      <c r="AK24" t="s">
        <v>51</v>
      </c>
      <c r="AL24" t="s">
        <v>52</v>
      </c>
      <c r="AM24" t="s">
        <v>3</v>
      </c>
    </row>
    <row r="25" spans="1:39" ht="28" x14ac:dyDescent="0.15">
      <c r="A25" s="4" t="s">
        <v>119</v>
      </c>
      <c r="B25" s="4" t="s">
        <v>117</v>
      </c>
      <c r="C25" s="4" t="s">
        <v>120</v>
      </c>
      <c r="D25" s="6">
        <v>26.2</v>
      </c>
      <c r="E25" s="6">
        <v>13.8</v>
      </c>
      <c r="F25" s="4" t="s">
        <v>1618</v>
      </c>
      <c r="G25" s="4" t="b">
        <v>0</v>
      </c>
      <c r="H25" s="4" t="b">
        <v>0</v>
      </c>
      <c r="I25" s="4" t="s">
        <v>1641</v>
      </c>
      <c r="J25" s="4" t="b">
        <v>0</v>
      </c>
      <c r="K25" s="4" t="s">
        <v>1600</v>
      </c>
      <c r="L25" s="5">
        <v>800</v>
      </c>
      <c r="M25" s="5"/>
      <c r="N25" s="5"/>
      <c r="O25" s="5"/>
      <c r="P25" s="5">
        <v>29.61</v>
      </c>
      <c r="Q25" s="5">
        <v>1.899</v>
      </c>
      <c r="R25" s="5">
        <v>800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 t="s">
        <v>1619</v>
      </c>
      <c r="AD25" s="14" t="s">
        <v>69</v>
      </c>
      <c r="AK25" t="s">
        <v>51</v>
      </c>
      <c r="AL25" t="s">
        <v>52</v>
      </c>
      <c r="AM25" t="s">
        <v>3</v>
      </c>
    </row>
    <row r="26" spans="1:39" ht="28" x14ac:dyDescent="0.15">
      <c r="A26" s="4" t="s">
        <v>121</v>
      </c>
      <c r="B26" s="4" t="s">
        <v>117</v>
      </c>
      <c r="C26" s="4" t="s">
        <v>122</v>
      </c>
      <c r="D26" s="6">
        <v>26.2</v>
      </c>
      <c r="E26" s="6">
        <v>13.8</v>
      </c>
      <c r="F26" s="4" t="s">
        <v>1642</v>
      </c>
      <c r="G26" s="4" t="b">
        <v>0</v>
      </c>
      <c r="H26" s="4" t="b">
        <v>0</v>
      </c>
      <c r="I26" s="4" t="s">
        <v>1641</v>
      </c>
      <c r="J26" s="4" t="b">
        <v>0</v>
      </c>
      <c r="K26" s="4" t="s">
        <v>1600</v>
      </c>
      <c r="L26" s="5">
        <v>800</v>
      </c>
      <c r="M26" s="5"/>
      <c r="N26" s="5"/>
      <c r="O26" s="5"/>
      <c r="P26" s="5">
        <v>29.61</v>
      </c>
      <c r="Q26" s="5">
        <v>1.899</v>
      </c>
      <c r="R26" s="5">
        <v>800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 t="s">
        <v>1619</v>
      </c>
      <c r="AD26" s="14" t="s">
        <v>69</v>
      </c>
      <c r="AK26" t="s">
        <v>51</v>
      </c>
      <c r="AL26" t="s">
        <v>52</v>
      </c>
      <c r="AM26" t="s">
        <v>3</v>
      </c>
    </row>
    <row r="27" spans="1:39" ht="14" x14ac:dyDescent="0.15">
      <c r="A27" s="4" t="s">
        <v>123</v>
      </c>
      <c r="B27" s="4" t="s">
        <v>117</v>
      </c>
      <c r="C27" s="4" t="s">
        <v>124</v>
      </c>
      <c r="D27" s="6">
        <v>26.2</v>
      </c>
      <c r="E27" s="6">
        <v>13.8</v>
      </c>
      <c r="F27" s="4" t="s">
        <v>1642</v>
      </c>
      <c r="G27" s="4" t="b">
        <v>0</v>
      </c>
      <c r="H27" s="4" t="b">
        <v>0</v>
      </c>
      <c r="I27" s="4"/>
      <c r="J27" s="4" t="b">
        <v>0</v>
      </c>
      <c r="K27" s="4" t="s">
        <v>1600</v>
      </c>
      <c r="L27" s="5">
        <v>800</v>
      </c>
      <c r="M27" s="5"/>
      <c r="N27" s="5"/>
      <c r="O27" s="5"/>
      <c r="P27" s="5">
        <v>29.61</v>
      </c>
      <c r="Q27" s="5">
        <v>1.899</v>
      </c>
      <c r="R27" s="5">
        <v>800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 t="s">
        <v>1619</v>
      </c>
      <c r="AD27" s="14" t="s">
        <v>69</v>
      </c>
      <c r="AK27" t="s">
        <v>51</v>
      </c>
      <c r="AL27" t="s">
        <v>52</v>
      </c>
      <c r="AM27" t="s">
        <v>3</v>
      </c>
    </row>
    <row r="28" spans="1:39" ht="14" x14ac:dyDescent="0.15">
      <c r="A28" s="4" t="s">
        <v>125</v>
      </c>
      <c r="B28" s="4" t="s">
        <v>117</v>
      </c>
      <c r="C28" s="4" t="s">
        <v>126</v>
      </c>
      <c r="D28" s="6">
        <v>26.2</v>
      </c>
      <c r="E28" s="6">
        <v>13.8</v>
      </c>
      <c r="F28" s="4" t="s">
        <v>1632</v>
      </c>
      <c r="G28" s="4" t="b">
        <v>0</v>
      </c>
      <c r="H28" s="4" t="b">
        <v>0</v>
      </c>
      <c r="I28" s="4"/>
      <c r="J28" s="4" t="b">
        <v>0</v>
      </c>
      <c r="K28" s="4" t="s">
        <v>1600</v>
      </c>
      <c r="L28" s="5">
        <v>800</v>
      </c>
      <c r="M28" s="5"/>
      <c r="N28" s="5"/>
      <c r="O28" s="5"/>
      <c r="P28" s="5">
        <v>29.61</v>
      </c>
      <c r="Q28" s="5">
        <v>1.899</v>
      </c>
      <c r="R28" s="5">
        <v>800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1619</v>
      </c>
      <c r="AD28" s="14" t="s">
        <v>69</v>
      </c>
      <c r="AK28" t="s">
        <v>51</v>
      </c>
      <c r="AL28" t="s">
        <v>52</v>
      </c>
      <c r="AM28" t="s">
        <v>3</v>
      </c>
    </row>
    <row r="29" spans="1:39" ht="14" x14ac:dyDescent="0.15">
      <c r="A29" s="4" t="s">
        <v>127</v>
      </c>
      <c r="B29" s="4" t="s">
        <v>117</v>
      </c>
      <c r="C29" s="4" t="s">
        <v>128</v>
      </c>
      <c r="D29" s="6">
        <v>26.2</v>
      </c>
      <c r="E29" s="6">
        <v>13.8</v>
      </c>
      <c r="F29" s="4" t="s">
        <v>1632</v>
      </c>
      <c r="G29" s="4" t="b">
        <v>0</v>
      </c>
      <c r="H29" s="4" t="b">
        <v>0</v>
      </c>
      <c r="I29" s="4" t="s">
        <v>1643</v>
      </c>
      <c r="J29" s="4" t="b">
        <v>0</v>
      </c>
      <c r="K29" s="4" t="s">
        <v>1600</v>
      </c>
      <c r="L29" s="5">
        <v>850</v>
      </c>
      <c r="M29" s="5"/>
      <c r="N29" s="5"/>
      <c r="O29" s="5"/>
      <c r="P29" s="5">
        <v>29.61</v>
      </c>
      <c r="Q29" s="5">
        <v>1.899</v>
      </c>
      <c r="R29" s="5">
        <v>850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 t="s">
        <v>1619</v>
      </c>
      <c r="AD29" s="14" t="s">
        <v>69</v>
      </c>
      <c r="AK29" t="s">
        <v>51</v>
      </c>
      <c r="AL29" t="s">
        <v>52</v>
      </c>
      <c r="AM29" t="s">
        <v>3</v>
      </c>
    </row>
    <row r="30" spans="1:39" ht="14" x14ac:dyDescent="0.15">
      <c r="A30" s="4" t="s">
        <v>129</v>
      </c>
      <c r="B30" s="4" t="s">
        <v>117</v>
      </c>
      <c r="C30" s="4" t="s">
        <v>130</v>
      </c>
      <c r="D30" s="6">
        <v>36</v>
      </c>
      <c r="E30" s="6">
        <v>24</v>
      </c>
      <c r="F30" s="4" t="s">
        <v>1632</v>
      </c>
      <c r="G30" s="4" t="b">
        <v>0</v>
      </c>
      <c r="H30" s="4" t="b">
        <v>1</v>
      </c>
      <c r="I30" s="4"/>
      <c r="J30" s="4" t="b">
        <v>0</v>
      </c>
      <c r="K30" s="4" t="s">
        <v>1600</v>
      </c>
      <c r="L30" s="5">
        <v>800</v>
      </c>
      <c r="M30" s="5"/>
      <c r="N30" s="5"/>
      <c r="O30" s="5"/>
      <c r="P30" s="5">
        <v>43.27</v>
      </c>
      <c r="Q30" s="5">
        <v>1.5</v>
      </c>
      <c r="R30" s="5">
        <v>800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 t="s">
        <v>1619</v>
      </c>
      <c r="AD30" s="14" t="s">
        <v>69</v>
      </c>
      <c r="AK30" t="s">
        <v>51</v>
      </c>
      <c r="AL30" t="s">
        <v>52</v>
      </c>
      <c r="AM30" t="s">
        <v>3</v>
      </c>
    </row>
    <row r="31" spans="1:39" ht="14" x14ac:dyDescent="0.15">
      <c r="A31" s="4" t="s">
        <v>131</v>
      </c>
      <c r="B31" s="4" t="s">
        <v>117</v>
      </c>
      <c r="C31" s="4" t="s">
        <v>132</v>
      </c>
      <c r="D31" s="6">
        <v>36</v>
      </c>
      <c r="E31" s="6">
        <v>24</v>
      </c>
      <c r="F31" s="4" t="s">
        <v>1642</v>
      </c>
      <c r="G31" s="4" t="b">
        <v>0</v>
      </c>
      <c r="H31" s="4" t="b">
        <v>1</v>
      </c>
      <c r="I31" s="4"/>
      <c r="J31" s="4" t="b">
        <v>0</v>
      </c>
      <c r="K31" s="4" t="s">
        <v>1600</v>
      </c>
      <c r="L31" s="5">
        <v>800</v>
      </c>
      <c r="M31" s="5"/>
      <c r="N31" s="5"/>
      <c r="O31" s="5"/>
      <c r="P31" s="5">
        <v>43.27</v>
      </c>
      <c r="Q31" s="5">
        <v>1.5</v>
      </c>
      <c r="R31" s="5">
        <v>800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 t="s">
        <v>1619</v>
      </c>
      <c r="AD31" s="14" t="s">
        <v>69</v>
      </c>
      <c r="AK31" t="s">
        <v>51</v>
      </c>
      <c r="AL31" t="s">
        <v>52</v>
      </c>
      <c r="AM31" t="s">
        <v>3</v>
      </c>
    </row>
    <row r="32" spans="1:39" ht="14" x14ac:dyDescent="0.15">
      <c r="A32" s="4" t="s">
        <v>133</v>
      </c>
      <c r="B32" s="4" t="s">
        <v>117</v>
      </c>
      <c r="C32" s="4" t="s">
        <v>134</v>
      </c>
      <c r="D32" s="6">
        <v>38.1</v>
      </c>
      <c r="E32" s="6">
        <v>20.100000000000001</v>
      </c>
      <c r="F32" s="4" t="s">
        <v>1618</v>
      </c>
      <c r="G32" s="4" t="b">
        <v>0</v>
      </c>
      <c r="H32" s="4" t="b">
        <v>1</v>
      </c>
      <c r="I32" s="4" t="s">
        <v>1643</v>
      </c>
      <c r="J32" s="4" t="b">
        <v>0</v>
      </c>
      <c r="K32" s="4" t="s">
        <v>1600</v>
      </c>
      <c r="L32" s="5">
        <v>800</v>
      </c>
      <c r="M32" s="5"/>
      <c r="N32" s="5"/>
      <c r="O32" s="5"/>
      <c r="P32" s="5">
        <v>43.08</v>
      </c>
      <c r="Q32" s="5">
        <v>1.8959999999999999</v>
      </c>
      <c r="R32" s="5">
        <v>800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 t="s">
        <v>1619</v>
      </c>
      <c r="AD32" s="14" t="s">
        <v>69</v>
      </c>
      <c r="AK32" t="s">
        <v>51</v>
      </c>
      <c r="AL32" t="s">
        <v>52</v>
      </c>
      <c r="AM32" t="s">
        <v>3</v>
      </c>
    </row>
    <row r="33" spans="1:39" ht="28" x14ac:dyDescent="0.15">
      <c r="A33" s="4" t="s">
        <v>135</v>
      </c>
      <c r="B33" s="4" t="s">
        <v>136</v>
      </c>
      <c r="C33" s="4" t="s">
        <v>137</v>
      </c>
      <c r="D33" s="6">
        <v>70.41</v>
      </c>
      <c r="E33" s="6">
        <v>52.63</v>
      </c>
      <c r="F33" s="4" t="s">
        <v>136</v>
      </c>
      <c r="G33" s="4" t="b">
        <v>0</v>
      </c>
      <c r="H33" s="4" t="b">
        <v>0</v>
      </c>
      <c r="I33" s="4" t="s">
        <v>1644</v>
      </c>
      <c r="J33" s="4" t="b">
        <v>0</v>
      </c>
      <c r="K33" s="4" t="s">
        <v>1600</v>
      </c>
      <c r="L33" s="5"/>
      <c r="M33" s="5"/>
      <c r="N33" s="5"/>
      <c r="O33" s="5"/>
      <c r="P33" s="5">
        <v>87.91</v>
      </c>
      <c r="Q33" s="5">
        <v>1.3380000000000001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 t="s">
        <v>1619</v>
      </c>
      <c r="AD33" s="14" t="s">
        <v>69</v>
      </c>
      <c r="AK33" t="s">
        <v>51</v>
      </c>
      <c r="AL33" t="s">
        <v>52</v>
      </c>
      <c r="AM33" t="s">
        <v>3</v>
      </c>
    </row>
    <row r="34" spans="1:39" ht="14" x14ac:dyDescent="0.15">
      <c r="A34" s="4" t="s">
        <v>138</v>
      </c>
      <c r="B34" s="4" t="s">
        <v>139</v>
      </c>
      <c r="C34" s="4" t="s">
        <v>140</v>
      </c>
      <c r="D34" s="6">
        <v>24.89</v>
      </c>
      <c r="E34" s="6">
        <v>18.66</v>
      </c>
      <c r="F34" s="4" t="s">
        <v>1618</v>
      </c>
      <c r="G34" s="4" t="b">
        <v>0</v>
      </c>
      <c r="H34" s="4" t="b">
        <v>0</v>
      </c>
      <c r="I34" s="4"/>
      <c r="J34" s="4" t="b">
        <v>0</v>
      </c>
      <c r="K34" s="4" t="s">
        <v>1600</v>
      </c>
      <c r="L34" s="5">
        <v>800</v>
      </c>
      <c r="M34" s="5">
        <v>5000</v>
      </c>
      <c r="N34" s="5"/>
      <c r="O34" s="5"/>
      <c r="P34" s="5">
        <v>31.11</v>
      </c>
      <c r="Q34" s="5">
        <v>1.3340000000000001</v>
      </c>
      <c r="R34" s="5">
        <v>800</v>
      </c>
      <c r="S34" s="5">
        <v>5000</v>
      </c>
      <c r="T34" s="5"/>
      <c r="U34" s="5"/>
      <c r="V34" s="5"/>
      <c r="W34" s="5"/>
      <c r="X34" s="5"/>
      <c r="Y34" s="5"/>
      <c r="Z34" s="5"/>
      <c r="AA34" s="5"/>
      <c r="AB34" s="5"/>
      <c r="AC34" s="5" t="s">
        <v>1619</v>
      </c>
      <c r="AD34" s="14" t="s">
        <v>69</v>
      </c>
      <c r="AK34" t="s">
        <v>51</v>
      </c>
      <c r="AL34" t="s">
        <v>52</v>
      </c>
      <c r="AM34" t="s">
        <v>3</v>
      </c>
    </row>
    <row r="35" spans="1:39" ht="14" x14ac:dyDescent="0.15">
      <c r="A35" s="4" t="s">
        <v>141</v>
      </c>
      <c r="B35" s="4" t="s">
        <v>139</v>
      </c>
      <c r="C35" s="4" t="s">
        <v>142</v>
      </c>
      <c r="D35" s="6">
        <v>24.89</v>
      </c>
      <c r="E35" s="6">
        <v>18.66</v>
      </c>
      <c r="F35" s="4" t="s">
        <v>1618</v>
      </c>
      <c r="G35" s="4" t="b">
        <v>0</v>
      </c>
      <c r="H35" s="4" t="b">
        <v>0</v>
      </c>
      <c r="I35" s="4"/>
      <c r="J35" s="4" t="b">
        <v>0</v>
      </c>
      <c r="K35" s="4" t="s">
        <v>1600</v>
      </c>
      <c r="L35" s="5">
        <v>800</v>
      </c>
      <c r="M35" s="5">
        <v>5000</v>
      </c>
      <c r="N35" s="5"/>
      <c r="O35" s="5"/>
      <c r="P35" s="5">
        <v>31.11</v>
      </c>
      <c r="Q35" s="5">
        <v>1.3340000000000001</v>
      </c>
      <c r="R35" s="5">
        <v>800</v>
      </c>
      <c r="S35" s="5">
        <v>5000</v>
      </c>
      <c r="T35" s="5"/>
      <c r="U35" s="5"/>
      <c r="V35" s="5"/>
      <c r="W35" s="5"/>
      <c r="X35" s="5"/>
      <c r="Y35" s="5"/>
      <c r="Z35" s="5"/>
      <c r="AA35" s="5"/>
      <c r="AB35" s="5"/>
      <c r="AC35" s="5" t="s">
        <v>1619</v>
      </c>
      <c r="AD35" s="14" t="s">
        <v>69</v>
      </c>
      <c r="AK35" t="s">
        <v>51</v>
      </c>
      <c r="AL35" t="s">
        <v>52</v>
      </c>
      <c r="AM35" t="s">
        <v>3</v>
      </c>
    </row>
    <row r="36" spans="1:39" ht="14" x14ac:dyDescent="0.15">
      <c r="A36" s="4" t="s">
        <v>143</v>
      </c>
      <c r="B36" s="4" t="s">
        <v>139</v>
      </c>
      <c r="C36" s="4" t="s">
        <v>144</v>
      </c>
      <c r="D36" s="6">
        <v>24.89</v>
      </c>
      <c r="E36" s="6">
        <v>18.66</v>
      </c>
      <c r="F36" s="4" t="s">
        <v>1632</v>
      </c>
      <c r="G36" s="4" t="b">
        <v>0</v>
      </c>
      <c r="H36" s="4" t="b">
        <v>0</v>
      </c>
      <c r="I36" s="4"/>
      <c r="J36" s="4" t="b">
        <v>0</v>
      </c>
      <c r="K36" s="4" t="s">
        <v>1600</v>
      </c>
      <c r="L36" s="5">
        <v>800</v>
      </c>
      <c r="M36" s="5">
        <v>2500</v>
      </c>
      <c r="N36" s="5"/>
      <c r="O36" s="5"/>
      <c r="P36" s="5">
        <v>31.11</v>
      </c>
      <c r="Q36" s="5">
        <v>1.3340000000000001</v>
      </c>
      <c r="R36" s="5">
        <v>800</v>
      </c>
      <c r="S36" s="5">
        <v>2500</v>
      </c>
      <c r="T36" s="5"/>
      <c r="U36" s="5"/>
      <c r="V36" s="5"/>
      <c r="W36" s="5"/>
      <c r="X36" s="5"/>
      <c r="Y36" s="5"/>
      <c r="Z36" s="5"/>
      <c r="AA36" s="5"/>
      <c r="AB36" s="5"/>
      <c r="AC36" s="5" t="s">
        <v>1619</v>
      </c>
      <c r="AD36" s="14" t="s">
        <v>69</v>
      </c>
      <c r="AK36" t="s">
        <v>51</v>
      </c>
      <c r="AL36" t="s">
        <v>52</v>
      </c>
      <c r="AM36" t="s">
        <v>3</v>
      </c>
    </row>
    <row r="37" spans="1:39" ht="28" x14ac:dyDescent="0.15">
      <c r="A37" s="4" t="s">
        <v>145</v>
      </c>
      <c r="B37" s="4" t="s">
        <v>139</v>
      </c>
      <c r="C37" s="4" t="s">
        <v>146</v>
      </c>
      <c r="D37" s="6">
        <v>35.6</v>
      </c>
      <c r="E37" s="6">
        <v>23.8</v>
      </c>
      <c r="F37" s="4" t="s">
        <v>1624</v>
      </c>
      <c r="G37" s="4" t="b">
        <v>0</v>
      </c>
      <c r="H37" s="4" t="b">
        <v>0</v>
      </c>
      <c r="I37" s="4" t="s">
        <v>1645</v>
      </c>
      <c r="J37" s="4" t="b">
        <v>0</v>
      </c>
      <c r="K37" s="4" t="s">
        <v>1600</v>
      </c>
      <c r="L37" s="5">
        <v>640</v>
      </c>
      <c r="M37" s="5">
        <v>4000</v>
      </c>
      <c r="N37" s="5"/>
      <c r="O37" s="5"/>
      <c r="P37" s="5">
        <v>42.82</v>
      </c>
      <c r="Q37" s="5">
        <v>1.496</v>
      </c>
      <c r="R37" s="5">
        <v>640</v>
      </c>
      <c r="S37" s="5">
        <v>4000</v>
      </c>
      <c r="T37" s="5"/>
      <c r="U37" s="5"/>
      <c r="V37" s="5"/>
      <c r="W37" s="5"/>
      <c r="X37" s="5"/>
      <c r="Y37" s="5"/>
      <c r="Z37" s="5"/>
      <c r="AA37" s="5"/>
      <c r="AB37" s="5"/>
      <c r="AC37" s="5" t="s">
        <v>1619</v>
      </c>
      <c r="AD37" s="14" t="s">
        <v>69</v>
      </c>
      <c r="AK37" t="s">
        <v>51</v>
      </c>
      <c r="AL37" t="s">
        <v>52</v>
      </c>
      <c r="AM37" t="s">
        <v>3</v>
      </c>
    </row>
    <row r="38" spans="1:39" ht="14" x14ac:dyDescent="0.15">
      <c r="A38" s="4" t="s">
        <v>147</v>
      </c>
      <c r="B38" s="4" t="s">
        <v>139</v>
      </c>
      <c r="C38" s="4" t="s">
        <v>148</v>
      </c>
      <c r="D38" s="6">
        <v>24.89</v>
      </c>
      <c r="E38" s="6">
        <v>18.66</v>
      </c>
      <c r="F38" s="4" t="s">
        <v>1618</v>
      </c>
      <c r="G38" s="4" t="b">
        <v>0</v>
      </c>
      <c r="H38" s="4" t="b">
        <v>0</v>
      </c>
      <c r="I38" s="4" t="s">
        <v>1646</v>
      </c>
      <c r="J38" s="4" t="b">
        <v>0</v>
      </c>
      <c r="K38" s="4" t="s">
        <v>1600</v>
      </c>
      <c r="L38" s="5">
        <v>800</v>
      </c>
      <c r="M38" s="5">
        <v>5000</v>
      </c>
      <c r="N38" s="5"/>
      <c r="O38" s="5"/>
      <c r="P38" s="5">
        <v>31.11</v>
      </c>
      <c r="Q38" s="5">
        <v>1.3340000000000001</v>
      </c>
      <c r="R38" s="5">
        <v>800</v>
      </c>
      <c r="S38" s="5">
        <v>5000</v>
      </c>
      <c r="T38" s="5"/>
      <c r="U38" s="5"/>
      <c r="V38" s="5"/>
      <c r="W38" s="5"/>
      <c r="X38" s="5"/>
      <c r="Y38" s="5"/>
      <c r="Z38" s="5"/>
      <c r="AA38" s="5"/>
      <c r="AB38" s="5"/>
      <c r="AC38" s="5" t="s">
        <v>1619</v>
      </c>
      <c r="AD38" s="14" t="s">
        <v>69</v>
      </c>
      <c r="AK38" t="s">
        <v>51</v>
      </c>
      <c r="AL38" t="s">
        <v>52</v>
      </c>
      <c r="AM38" t="s">
        <v>3</v>
      </c>
    </row>
    <row r="39" spans="1:39" ht="14" x14ac:dyDescent="0.15">
      <c r="A39" s="4" t="s">
        <v>149</v>
      </c>
      <c r="B39" s="4" t="s">
        <v>139</v>
      </c>
      <c r="C39" s="4" t="s">
        <v>150</v>
      </c>
      <c r="D39" s="6">
        <v>24.89</v>
      </c>
      <c r="E39" s="6">
        <v>18.66</v>
      </c>
      <c r="F39" s="4" t="s">
        <v>1618</v>
      </c>
      <c r="G39" s="4" t="b">
        <v>0</v>
      </c>
      <c r="H39" s="4" t="b">
        <v>0</v>
      </c>
      <c r="I39" s="4" t="s">
        <v>1646</v>
      </c>
      <c r="J39" s="4" t="b">
        <v>0</v>
      </c>
      <c r="K39" s="4" t="s">
        <v>1600</v>
      </c>
      <c r="L39" s="5">
        <v>800</v>
      </c>
      <c r="M39" s="5">
        <v>5000</v>
      </c>
      <c r="N39" s="5"/>
      <c r="O39" s="5"/>
      <c r="P39" s="5">
        <v>31.11</v>
      </c>
      <c r="Q39" s="5">
        <v>1.3340000000000001</v>
      </c>
      <c r="R39" s="5">
        <v>800</v>
      </c>
      <c r="S39" s="5">
        <v>5000</v>
      </c>
      <c r="T39" s="5"/>
      <c r="U39" s="5"/>
      <c r="V39" s="5"/>
      <c r="W39" s="5"/>
      <c r="X39" s="5"/>
      <c r="Y39" s="5"/>
      <c r="Z39" s="5"/>
      <c r="AA39" s="5"/>
      <c r="AB39" s="5"/>
      <c r="AC39" s="5" t="s">
        <v>1619</v>
      </c>
      <c r="AD39" s="14" t="s">
        <v>69</v>
      </c>
      <c r="AK39" t="s">
        <v>51</v>
      </c>
      <c r="AL39" t="s">
        <v>52</v>
      </c>
      <c r="AM39" t="s">
        <v>3</v>
      </c>
    </row>
    <row r="40" spans="1:39" ht="14" x14ac:dyDescent="0.15">
      <c r="A40" s="4" t="s">
        <v>151</v>
      </c>
      <c r="B40" s="4" t="s">
        <v>152</v>
      </c>
      <c r="C40" s="4" t="s">
        <v>153</v>
      </c>
      <c r="D40" s="6">
        <v>40.96</v>
      </c>
      <c r="E40" s="6">
        <v>21.6</v>
      </c>
      <c r="F40" s="4" t="s">
        <v>1618</v>
      </c>
      <c r="G40" s="4" t="b">
        <v>0</v>
      </c>
      <c r="H40" s="4" t="b">
        <v>0</v>
      </c>
      <c r="I40" s="4"/>
      <c r="J40" s="4" t="b">
        <v>0</v>
      </c>
      <c r="K40" s="4" t="s">
        <v>1600</v>
      </c>
      <c r="L40" s="5">
        <v>1600</v>
      </c>
      <c r="M40" s="5"/>
      <c r="N40" s="5"/>
      <c r="O40" s="5"/>
      <c r="P40" s="5">
        <v>46.31</v>
      </c>
      <c r="Q40" s="5">
        <v>1.8959999999999999</v>
      </c>
      <c r="R40" s="5">
        <v>1600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 t="s">
        <v>1619</v>
      </c>
      <c r="AD40" s="14" t="s">
        <v>69</v>
      </c>
      <c r="AK40" t="s">
        <v>51</v>
      </c>
      <c r="AL40" t="s">
        <v>52</v>
      </c>
      <c r="AM40" t="s">
        <v>3</v>
      </c>
    </row>
    <row r="41" spans="1:39" ht="28" x14ac:dyDescent="0.15">
      <c r="A41" s="4" t="s">
        <v>154</v>
      </c>
      <c r="B41" s="4" t="s">
        <v>152</v>
      </c>
      <c r="C41" s="4" t="s">
        <v>155</v>
      </c>
      <c r="D41" s="6">
        <v>40.96</v>
      </c>
      <c r="E41" s="6">
        <v>21.6</v>
      </c>
      <c r="F41" s="4" t="s">
        <v>1618</v>
      </c>
      <c r="G41" s="4" t="b">
        <v>0</v>
      </c>
      <c r="H41" s="4" t="b">
        <v>0</v>
      </c>
      <c r="I41" s="4" t="s">
        <v>1647</v>
      </c>
      <c r="J41" s="4" t="b">
        <v>0</v>
      </c>
      <c r="K41" s="4" t="s">
        <v>1600</v>
      </c>
      <c r="L41" s="5">
        <v>800</v>
      </c>
      <c r="M41" s="5"/>
      <c r="N41" s="5"/>
      <c r="O41" s="5"/>
      <c r="P41" s="5">
        <v>46.31</v>
      </c>
      <c r="Q41" s="5">
        <v>1.8959999999999999</v>
      </c>
      <c r="R41" s="5">
        <v>800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 t="s">
        <v>1619</v>
      </c>
      <c r="AD41" s="14" t="s">
        <v>69</v>
      </c>
      <c r="AK41" t="s">
        <v>51</v>
      </c>
      <c r="AL41" t="s">
        <v>52</v>
      </c>
      <c r="AM41" t="s">
        <v>3</v>
      </c>
    </row>
    <row r="42" spans="1:39" ht="14" x14ac:dyDescent="0.15">
      <c r="A42" s="4" t="s">
        <v>156</v>
      </c>
      <c r="B42" s="4" t="s">
        <v>152</v>
      </c>
      <c r="C42" s="4" t="s">
        <v>157</v>
      </c>
      <c r="D42" s="6">
        <v>24.89</v>
      </c>
      <c r="E42" s="6">
        <v>18.66</v>
      </c>
      <c r="F42" s="4" t="s">
        <v>1648</v>
      </c>
      <c r="G42" s="4" t="b">
        <v>0</v>
      </c>
      <c r="H42" s="4" t="b">
        <v>0</v>
      </c>
      <c r="I42" s="4" t="s">
        <v>1622</v>
      </c>
      <c r="J42" s="4" t="b">
        <v>0</v>
      </c>
      <c r="K42" s="4" t="s">
        <v>1600</v>
      </c>
      <c r="L42" s="5"/>
      <c r="M42" s="5"/>
      <c r="N42" s="5"/>
      <c r="O42" s="5"/>
      <c r="P42" s="5">
        <v>31.11</v>
      </c>
      <c r="Q42" s="5">
        <v>1.3340000000000001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 t="s">
        <v>1619</v>
      </c>
      <c r="AD42" s="14" t="s">
        <v>69</v>
      </c>
      <c r="AK42" t="s">
        <v>51</v>
      </c>
      <c r="AL42" t="s">
        <v>52</v>
      </c>
      <c r="AM42" t="s">
        <v>3</v>
      </c>
    </row>
    <row r="43" spans="1:39" ht="14" x14ac:dyDescent="0.15">
      <c r="A43" s="4" t="s">
        <v>158</v>
      </c>
      <c r="B43" s="4" t="s">
        <v>159</v>
      </c>
      <c r="C43" s="4" t="s">
        <v>160</v>
      </c>
      <c r="D43" s="6">
        <v>53.7</v>
      </c>
      <c r="E43" s="6">
        <v>40.4</v>
      </c>
      <c r="F43" s="4" t="s">
        <v>1649</v>
      </c>
      <c r="G43" s="4" t="b">
        <v>0</v>
      </c>
      <c r="H43" s="4" t="b">
        <v>0</v>
      </c>
      <c r="I43" s="4"/>
      <c r="J43" s="4" t="b">
        <v>0</v>
      </c>
      <c r="K43" s="4" t="s">
        <v>1600</v>
      </c>
      <c r="L43" s="5">
        <v>50</v>
      </c>
      <c r="M43" s="5"/>
      <c r="N43" s="5"/>
      <c r="O43" s="5"/>
      <c r="P43" s="5">
        <v>67.2</v>
      </c>
      <c r="Q43" s="5">
        <v>1.329</v>
      </c>
      <c r="R43" s="5">
        <v>50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 t="s">
        <v>1619</v>
      </c>
      <c r="AD43" s="14" t="s">
        <v>69</v>
      </c>
      <c r="AK43" t="s">
        <v>51</v>
      </c>
      <c r="AL43" t="s">
        <v>52</v>
      </c>
      <c r="AM43" t="s">
        <v>3</v>
      </c>
    </row>
    <row r="44" spans="1:39" ht="14" x14ac:dyDescent="0.15">
      <c r="A44" s="4" t="s">
        <v>161</v>
      </c>
      <c r="B44" s="4" t="s">
        <v>162</v>
      </c>
      <c r="C44" s="4" t="s">
        <v>163</v>
      </c>
      <c r="D44" s="6">
        <v>40.96</v>
      </c>
      <c r="E44" s="6">
        <v>21.6</v>
      </c>
      <c r="F44" s="4" t="s">
        <v>1642</v>
      </c>
      <c r="G44" s="4" t="b">
        <v>0</v>
      </c>
      <c r="H44" s="4" t="b">
        <v>0</v>
      </c>
      <c r="I44" s="4"/>
      <c r="J44" s="4" t="b">
        <v>0</v>
      </c>
      <c r="K44" s="4" t="s">
        <v>1600</v>
      </c>
      <c r="L44" s="5">
        <v>800</v>
      </c>
      <c r="M44" s="5"/>
      <c r="N44" s="5"/>
      <c r="O44" s="5"/>
      <c r="P44" s="5">
        <v>46.31</v>
      </c>
      <c r="Q44" s="5">
        <v>1.8959999999999999</v>
      </c>
      <c r="R44" s="5">
        <v>800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 t="s">
        <v>1619</v>
      </c>
      <c r="AD44" s="14" t="s">
        <v>69</v>
      </c>
      <c r="AK44" t="s">
        <v>51</v>
      </c>
      <c r="AL44" t="s">
        <v>52</v>
      </c>
      <c r="AM44" t="s">
        <v>3</v>
      </c>
    </row>
    <row r="45" spans="1:39" ht="14" x14ac:dyDescent="0.15">
      <c r="A45" s="4" t="s">
        <v>164</v>
      </c>
      <c r="B45" s="4" t="s">
        <v>162</v>
      </c>
      <c r="C45" s="4" t="s">
        <v>165</v>
      </c>
      <c r="D45" s="6">
        <v>40.96</v>
      </c>
      <c r="E45" s="6">
        <v>21.6</v>
      </c>
      <c r="F45" s="4" t="s">
        <v>1642</v>
      </c>
      <c r="G45" s="4" t="b">
        <v>0</v>
      </c>
      <c r="H45" s="4" t="b">
        <v>0</v>
      </c>
      <c r="I45" s="4"/>
      <c r="J45" s="4" t="b">
        <v>0</v>
      </c>
      <c r="K45" s="4" t="s">
        <v>1600</v>
      </c>
      <c r="L45" s="5">
        <v>800</v>
      </c>
      <c r="M45" s="5"/>
      <c r="N45" s="5"/>
      <c r="O45" s="5"/>
      <c r="P45" s="5">
        <v>46.31</v>
      </c>
      <c r="Q45" s="5">
        <v>1.8959999999999999</v>
      </c>
      <c r="R45" s="5">
        <v>800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 t="s">
        <v>1619</v>
      </c>
      <c r="AD45" s="14" t="s">
        <v>69</v>
      </c>
      <c r="AK45" t="s">
        <v>51</v>
      </c>
      <c r="AL45" t="s">
        <v>52</v>
      </c>
      <c r="AM45" t="s">
        <v>3</v>
      </c>
    </row>
    <row r="46" spans="1:39" ht="14" x14ac:dyDescent="0.15">
      <c r="A46" s="4" t="s">
        <v>166</v>
      </c>
      <c r="B46" s="4" t="s">
        <v>162</v>
      </c>
      <c r="C46" s="4" t="s">
        <v>167</v>
      </c>
      <c r="D46" s="6">
        <v>27.03</v>
      </c>
      <c r="E46" s="6">
        <v>14.26</v>
      </c>
      <c r="F46" s="4" t="s">
        <v>1642</v>
      </c>
      <c r="G46" s="4" t="b">
        <v>0</v>
      </c>
      <c r="H46" s="4" t="b">
        <v>0</v>
      </c>
      <c r="I46" s="4"/>
      <c r="J46" s="4" t="b">
        <v>0</v>
      </c>
      <c r="K46" s="4" t="s">
        <v>1600</v>
      </c>
      <c r="L46" s="5">
        <v>800</v>
      </c>
      <c r="M46" s="5"/>
      <c r="N46" s="5"/>
      <c r="O46" s="5"/>
      <c r="P46" s="5">
        <v>30.56</v>
      </c>
      <c r="Q46" s="5">
        <v>1.8959999999999999</v>
      </c>
      <c r="R46" s="5">
        <v>800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 t="s">
        <v>1619</v>
      </c>
      <c r="AD46" s="14" t="s">
        <v>69</v>
      </c>
      <c r="AK46" t="s">
        <v>51</v>
      </c>
      <c r="AL46" t="s">
        <v>52</v>
      </c>
      <c r="AM46" t="s">
        <v>3</v>
      </c>
    </row>
    <row r="47" spans="1:39" ht="14" x14ac:dyDescent="0.15">
      <c r="A47" s="4" t="s">
        <v>168</v>
      </c>
      <c r="B47" s="4" t="s">
        <v>162</v>
      </c>
      <c r="C47" s="4" t="s">
        <v>169</v>
      </c>
      <c r="D47" s="6">
        <v>27.03</v>
      </c>
      <c r="E47" s="6">
        <v>14.26</v>
      </c>
      <c r="F47" s="4" t="s">
        <v>1642</v>
      </c>
      <c r="G47" s="4" t="b">
        <v>0</v>
      </c>
      <c r="H47" s="4" t="b">
        <v>0</v>
      </c>
      <c r="I47" s="4"/>
      <c r="J47" s="4" t="b">
        <v>0</v>
      </c>
      <c r="K47" s="4" t="s">
        <v>1600</v>
      </c>
      <c r="L47" s="5">
        <v>800</v>
      </c>
      <c r="M47" s="5"/>
      <c r="N47" s="5"/>
      <c r="O47" s="5"/>
      <c r="P47" s="5">
        <v>30.56</v>
      </c>
      <c r="Q47" s="5">
        <v>1.8959999999999999</v>
      </c>
      <c r="R47" s="5">
        <v>800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 t="s">
        <v>1619</v>
      </c>
      <c r="AD47" s="14" t="s">
        <v>69</v>
      </c>
      <c r="AK47" t="s">
        <v>51</v>
      </c>
      <c r="AL47" t="s">
        <v>52</v>
      </c>
      <c r="AM47" t="s">
        <v>3</v>
      </c>
    </row>
    <row r="48" spans="1:39" ht="14" x14ac:dyDescent="0.15">
      <c r="A48" s="4" t="s">
        <v>170</v>
      </c>
      <c r="B48" s="4" t="s">
        <v>162</v>
      </c>
      <c r="C48" s="4" t="s">
        <v>171</v>
      </c>
      <c r="D48" s="6">
        <v>30.72</v>
      </c>
      <c r="E48" s="6">
        <v>18</v>
      </c>
      <c r="F48" s="4" t="s">
        <v>1642</v>
      </c>
      <c r="G48" s="4" t="b">
        <v>0</v>
      </c>
      <c r="H48" s="4" t="b">
        <v>0</v>
      </c>
      <c r="I48" s="4"/>
      <c r="J48" s="4" t="b">
        <v>0</v>
      </c>
      <c r="K48" s="4" t="s">
        <v>1600</v>
      </c>
      <c r="L48" s="5">
        <v>800</v>
      </c>
      <c r="M48" s="5"/>
      <c r="N48" s="5"/>
      <c r="O48" s="5"/>
      <c r="P48" s="5">
        <v>35.61</v>
      </c>
      <c r="Q48" s="5">
        <v>1.7070000000000001</v>
      </c>
      <c r="R48" s="5">
        <v>800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 t="s">
        <v>1619</v>
      </c>
      <c r="AD48" s="14" t="s">
        <v>69</v>
      </c>
      <c r="AK48" t="s">
        <v>51</v>
      </c>
      <c r="AL48" t="s">
        <v>52</v>
      </c>
      <c r="AM48" t="s">
        <v>3</v>
      </c>
    </row>
    <row r="49" spans="1:39" ht="14" x14ac:dyDescent="0.15">
      <c r="A49" s="4" t="s">
        <v>172</v>
      </c>
      <c r="B49" s="4" t="s">
        <v>162</v>
      </c>
      <c r="C49" s="4" t="s">
        <v>173</v>
      </c>
      <c r="D49" s="6">
        <v>30.72</v>
      </c>
      <c r="E49" s="6">
        <v>18</v>
      </c>
      <c r="F49" s="4" t="s">
        <v>1642</v>
      </c>
      <c r="G49" s="4" t="b">
        <v>0</v>
      </c>
      <c r="H49" s="4" t="b">
        <v>0</v>
      </c>
      <c r="I49" s="4"/>
      <c r="J49" s="4" t="b">
        <v>0</v>
      </c>
      <c r="K49" s="4" t="s">
        <v>1600</v>
      </c>
      <c r="L49" s="5">
        <v>800</v>
      </c>
      <c r="M49" s="5"/>
      <c r="N49" s="5"/>
      <c r="O49" s="5"/>
      <c r="P49" s="5">
        <v>35.61</v>
      </c>
      <c r="Q49" s="5">
        <v>1.7070000000000001</v>
      </c>
      <c r="R49" s="5">
        <v>800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 t="s">
        <v>1619</v>
      </c>
      <c r="AD49" s="14" t="s">
        <v>69</v>
      </c>
      <c r="AK49" t="s">
        <v>51</v>
      </c>
      <c r="AL49" t="s">
        <v>52</v>
      </c>
      <c r="AM49" t="s">
        <v>3</v>
      </c>
    </row>
    <row r="50" spans="1:39" ht="14" x14ac:dyDescent="0.15">
      <c r="A50" s="4" t="s">
        <v>174</v>
      </c>
      <c r="B50" s="4" t="s">
        <v>162</v>
      </c>
      <c r="C50" s="4" t="s">
        <v>175</v>
      </c>
      <c r="D50" s="6">
        <v>40.96</v>
      </c>
      <c r="E50" s="6">
        <v>21.6</v>
      </c>
      <c r="F50" s="4" t="s">
        <v>1642</v>
      </c>
      <c r="G50" s="4" t="b">
        <v>0</v>
      </c>
      <c r="H50" s="4" t="b">
        <v>0</v>
      </c>
      <c r="I50" s="4"/>
      <c r="J50" s="4" t="b">
        <v>0</v>
      </c>
      <c r="K50" s="4" t="s">
        <v>1600</v>
      </c>
      <c r="L50" s="5">
        <v>800</v>
      </c>
      <c r="M50" s="5"/>
      <c r="N50" s="5"/>
      <c r="O50" s="5"/>
      <c r="P50" s="5">
        <v>46.31</v>
      </c>
      <c r="Q50" s="5">
        <v>1.8959999999999999</v>
      </c>
      <c r="R50" s="5">
        <v>800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 t="s">
        <v>1619</v>
      </c>
      <c r="AD50" s="14" t="s">
        <v>69</v>
      </c>
      <c r="AK50" t="s">
        <v>51</v>
      </c>
      <c r="AL50" t="s">
        <v>52</v>
      </c>
      <c r="AM50" t="s">
        <v>3</v>
      </c>
    </row>
    <row r="51" spans="1:39" ht="14" x14ac:dyDescent="0.15">
      <c r="A51" s="4" t="s">
        <v>176</v>
      </c>
      <c r="B51" s="4" t="s">
        <v>162</v>
      </c>
      <c r="C51" s="4" t="s">
        <v>177</v>
      </c>
      <c r="D51" s="6">
        <v>40.96</v>
      </c>
      <c r="E51" s="6">
        <v>21.6</v>
      </c>
      <c r="F51" s="4" t="s">
        <v>1642</v>
      </c>
      <c r="G51" s="4" t="b">
        <v>0</v>
      </c>
      <c r="H51" s="4" t="b">
        <v>1</v>
      </c>
      <c r="I51" s="4"/>
      <c r="J51" s="4" t="b">
        <v>0</v>
      </c>
      <c r="K51" s="4" t="s">
        <v>1600</v>
      </c>
      <c r="L51" s="5">
        <v>800</v>
      </c>
      <c r="M51" s="5"/>
      <c r="N51" s="5"/>
      <c r="O51" s="5"/>
      <c r="P51" s="5">
        <v>46.31</v>
      </c>
      <c r="Q51" s="5">
        <v>1.8959999999999999</v>
      </c>
      <c r="R51" s="5">
        <v>800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 t="s">
        <v>1619</v>
      </c>
      <c r="AD51" s="14" t="s">
        <v>69</v>
      </c>
      <c r="AK51" t="s">
        <v>51</v>
      </c>
      <c r="AL51" t="s">
        <v>52</v>
      </c>
      <c r="AM51" t="s">
        <v>3</v>
      </c>
    </row>
    <row r="52" spans="1:39" ht="14" x14ac:dyDescent="0.15">
      <c r="A52" s="4" t="s">
        <v>178</v>
      </c>
      <c r="B52" s="4" t="s">
        <v>162</v>
      </c>
      <c r="C52" s="4" t="s">
        <v>179</v>
      </c>
      <c r="D52" s="6">
        <v>30.72</v>
      </c>
      <c r="E52" s="6">
        <v>15.8</v>
      </c>
      <c r="F52" s="4" t="s">
        <v>1632</v>
      </c>
      <c r="G52" s="4" t="b">
        <v>0</v>
      </c>
      <c r="H52" s="4" t="b">
        <v>0</v>
      </c>
      <c r="I52" s="4" t="s">
        <v>1643</v>
      </c>
      <c r="J52" s="4" t="b">
        <v>0</v>
      </c>
      <c r="K52" s="4" t="s">
        <v>1600</v>
      </c>
      <c r="L52" s="5">
        <v>800</v>
      </c>
      <c r="M52" s="5"/>
      <c r="N52" s="5"/>
      <c r="O52" s="5"/>
      <c r="P52" s="5">
        <v>34.549999999999997</v>
      </c>
      <c r="Q52" s="5">
        <v>1.944</v>
      </c>
      <c r="R52" s="5">
        <v>800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 t="s">
        <v>1619</v>
      </c>
      <c r="AD52" s="14" t="s">
        <v>69</v>
      </c>
      <c r="AK52" t="s">
        <v>51</v>
      </c>
      <c r="AL52" t="s">
        <v>52</v>
      </c>
      <c r="AM52" t="s">
        <v>3</v>
      </c>
    </row>
    <row r="53" spans="1:39" ht="14" x14ac:dyDescent="0.15">
      <c r="A53" s="4" t="s">
        <v>180</v>
      </c>
      <c r="B53" s="4" t="s">
        <v>162</v>
      </c>
      <c r="C53" s="4" t="s">
        <v>181</v>
      </c>
      <c r="D53" s="6">
        <v>40.96</v>
      </c>
      <c r="E53" s="6">
        <v>21.6</v>
      </c>
      <c r="F53" s="4" t="s">
        <v>1642</v>
      </c>
      <c r="G53" s="4" t="b">
        <v>0</v>
      </c>
      <c r="H53" s="4" t="b">
        <v>1</v>
      </c>
      <c r="I53" s="4"/>
      <c r="J53" s="4" t="b">
        <v>0</v>
      </c>
      <c r="K53" s="4" t="s">
        <v>1600</v>
      </c>
      <c r="L53" s="5">
        <v>800</v>
      </c>
      <c r="M53" s="5"/>
      <c r="N53" s="5"/>
      <c r="O53" s="5"/>
      <c r="P53" s="5">
        <v>46.31</v>
      </c>
      <c r="Q53" s="5">
        <v>1.8959999999999999</v>
      </c>
      <c r="R53" s="5">
        <v>800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 t="s">
        <v>1619</v>
      </c>
      <c r="AD53" s="14" t="s">
        <v>69</v>
      </c>
      <c r="AK53" t="s">
        <v>51</v>
      </c>
      <c r="AL53" t="s">
        <v>52</v>
      </c>
      <c r="AM53" t="s">
        <v>3</v>
      </c>
    </row>
    <row r="54" spans="1:39" ht="28" x14ac:dyDescent="0.15">
      <c r="A54" s="4" t="s">
        <v>182</v>
      </c>
      <c r="B54" s="4" t="s">
        <v>183</v>
      </c>
      <c r="C54" s="4" t="s">
        <v>184</v>
      </c>
      <c r="D54" s="6">
        <v>35.9</v>
      </c>
      <c r="E54" s="6">
        <v>24</v>
      </c>
      <c r="F54" s="4" t="s">
        <v>1618</v>
      </c>
      <c r="G54" s="4" t="b">
        <v>0</v>
      </c>
      <c r="H54" s="4" t="b">
        <v>0</v>
      </c>
      <c r="I54" s="4" t="s">
        <v>1650</v>
      </c>
      <c r="J54" s="4" t="b">
        <v>0</v>
      </c>
      <c r="K54" s="4" t="s">
        <v>1600</v>
      </c>
      <c r="L54" s="5">
        <v>800</v>
      </c>
      <c r="M54" s="5">
        <v>3200</v>
      </c>
      <c r="N54" s="5"/>
      <c r="O54" s="5"/>
      <c r="P54" s="5">
        <v>43.18</v>
      </c>
      <c r="Q54" s="5">
        <v>1.496</v>
      </c>
      <c r="R54" s="5">
        <v>800</v>
      </c>
      <c r="S54" s="5">
        <v>3200</v>
      </c>
      <c r="T54" s="5"/>
      <c r="U54" s="5"/>
      <c r="V54" s="5"/>
      <c r="W54" s="5"/>
      <c r="X54" s="5"/>
      <c r="Y54" s="5"/>
      <c r="Z54" s="5"/>
      <c r="AA54" s="5"/>
      <c r="AB54" s="5"/>
      <c r="AC54" s="5" t="s">
        <v>1619</v>
      </c>
      <c r="AD54" s="14" t="s">
        <v>69</v>
      </c>
      <c r="AK54" t="s">
        <v>51</v>
      </c>
      <c r="AL54" t="s">
        <v>52</v>
      </c>
      <c r="AM54" t="s">
        <v>3</v>
      </c>
    </row>
    <row r="55" spans="1:39" ht="14" x14ac:dyDescent="0.15">
      <c r="A55" s="4" t="s">
        <v>185</v>
      </c>
      <c r="B55" s="4" t="s">
        <v>183</v>
      </c>
      <c r="C55" s="4" t="s">
        <v>186</v>
      </c>
      <c r="D55" s="6">
        <v>35.9</v>
      </c>
      <c r="E55" s="6">
        <v>24</v>
      </c>
      <c r="F55" s="4" t="s">
        <v>1618</v>
      </c>
      <c r="G55" s="4" t="b">
        <v>0</v>
      </c>
      <c r="H55" s="4" t="b">
        <v>0</v>
      </c>
      <c r="I55" s="4"/>
      <c r="J55" s="4" t="b">
        <v>0</v>
      </c>
      <c r="K55" s="4" t="s">
        <v>1600</v>
      </c>
      <c r="L55" s="5">
        <v>500</v>
      </c>
      <c r="M55" s="5">
        <v>2500</v>
      </c>
      <c r="N55" s="5"/>
      <c r="O55" s="5"/>
      <c r="P55" s="5">
        <v>43.18</v>
      </c>
      <c r="Q55" s="5">
        <v>1.496</v>
      </c>
      <c r="R55" s="5">
        <v>500</v>
      </c>
      <c r="S55" s="5">
        <v>2500</v>
      </c>
      <c r="T55" s="5"/>
      <c r="U55" s="5"/>
      <c r="V55" s="5"/>
      <c r="W55" s="5"/>
      <c r="X55" s="5"/>
      <c r="Y55" s="5"/>
      <c r="Z55" s="5"/>
      <c r="AA55" s="5"/>
      <c r="AB55" s="5"/>
      <c r="AC55" s="5" t="s">
        <v>1619</v>
      </c>
      <c r="AD55" s="14" t="s">
        <v>69</v>
      </c>
      <c r="AK55" t="s">
        <v>51</v>
      </c>
      <c r="AL55" t="s">
        <v>52</v>
      </c>
      <c r="AM55" t="s">
        <v>3</v>
      </c>
    </row>
    <row r="56" spans="1:39" ht="14" x14ac:dyDescent="0.15">
      <c r="A56" s="4" t="s">
        <v>187</v>
      </c>
      <c r="B56" s="4" t="s">
        <v>183</v>
      </c>
      <c r="C56" s="4" t="s">
        <v>188</v>
      </c>
      <c r="D56" s="6">
        <v>35.6</v>
      </c>
      <c r="E56" s="6">
        <v>23.8</v>
      </c>
      <c r="F56" s="4" t="s">
        <v>1651</v>
      </c>
      <c r="G56" s="4" t="b">
        <v>0</v>
      </c>
      <c r="H56" s="4" t="b">
        <v>0</v>
      </c>
      <c r="I56" s="4"/>
      <c r="J56" s="4" t="b">
        <v>0</v>
      </c>
      <c r="K56" s="4" t="s">
        <v>1600</v>
      </c>
      <c r="L56" s="5">
        <v>800</v>
      </c>
      <c r="M56" s="5">
        <v>4000</v>
      </c>
      <c r="N56" s="5"/>
      <c r="O56" s="5"/>
      <c r="P56" s="5">
        <v>42.82</v>
      </c>
      <c r="Q56" s="5">
        <v>1.496</v>
      </c>
      <c r="R56" s="5">
        <v>800</v>
      </c>
      <c r="S56" s="5">
        <v>4000</v>
      </c>
      <c r="T56" s="5"/>
      <c r="U56" s="5"/>
      <c r="V56" s="5"/>
      <c r="W56" s="5"/>
      <c r="X56" s="5"/>
      <c r="Y56" s="5"/>
      <c r="Z56" s="5"/>
      <c r="AA56" s="5"/>
      <c r="AB56" s="5"/>
      <c r="AC56" s="5" t="s">
        <v>1619</v>
      </c>
      <c r="AD56" s="14" t="s">
        <v>69</v>
      </c>
      <c r="AK56" t="s">
        <v>51</v>
      </c>
      <c r="AL56" t="s">
        <v>52</v>
      </c>
      <c r="AM56" t="s">
        <v>3</v>
      </c>
    </row>
    <row r="57" spans="1:39" ht="42" x14ac:dyDescent="0.2">
      <c r="A57" s="4" t="s">
        <v>189</v>
      </c>
      <c r="B57" s="4" t="s">
        <v>183</v>
      </c>
      <c r="C57" s="4" t="s">
        <v>190</v>
      </c>
      <c r="D57" s="6">
        <v>35.6</v>
      </c>
      <c r="E57" s="6">
        <v>23.8</v>
      </c>
      <c r="F57" s="4" t="s">
        <v>1651</v>
      </c>
      <c r="G57" s="4" t="b">
        <v>0</v>
      </c>
      <c r="H57" s="4" t="b">
        <v>0</v>
      </c>
      <c r="I57" s="4"/>
      <c r="J57" s="4" t="b">
        <v>0</v>
      </c>
      <c r="K57" s="4" t="s">
        <v>1600</v>
      </c>
      <c r="L57" s="5">
        <v>800</v>
      </c>
      <c r="M57" s="5">
        <v>12800</v>
      </c>
      <c r="N57" s="5" t="s">
        <v>1610</v>
      </c>
      <c r="O57" s="5" t="s">
        <v>1626</v>
      </c>
      <c r="P57" s="5">
        <v>42.82</v>
      </c>
      <c r="Q57" s="5">
        <v>1.496</v>
      </c>
      <c r="R57" s="5">
        <v>800</v>
      </c>
      <c r="S57" s="5">
        <v>12800</v>
      </c>
      <c r="T57" s="5"/>
      <c r="U57" s="5" t="s">
        <v>1652</v>
      </c>
      <c r="V57" s="5"/>
      <c r="W57" s="5" t="s">
        <v>1653</v>
      </c>
      <c r="X57" s="5" t="s">
        <v>1654</v>
      </c>
      <c r="Y57" s="5" t="s">
        <v>1655</v>
      </c>
      <c r="Z57" s="5">
        <v>240</v>
      </c>
      <c r="AA57" s="5" t="s">
        <v>1656</v>
      </c>
      <c r="AB57" s="5" t="s">
        <v>193</v>
      </c>
      <c r="AC57" s="5" t="s">
        <v>1607</v>
      </c>
      <c r="AD57" s="14" t="s">
        <v>69</v>
      </c>
      <c r="AF57" t="s">
        <v>192</v>
      </c>
      <c r="AG57" s="11" t="s">
        <v>193</v>
      </c>
      <c r="AH57" t="s">
        <v>1608</v>
      </c>
      <c r="AI57" t="s">
        <v>191</v>
      </c>
      <c r="AJ57" t="s">
        <v>1657</v>
      </c>
      <c r="AK57" t="s">
        <v>51</v>
      </c>
      <c r="AL57" t="s">
        <v>52</v>
      </c>
      <c r="AM57" t="s">
        <v>3</v>
      </c>
    </row>
    <row r="58" spans="1:39" ht="14" x14ac:dyDescent="0.15">
      <c r="A58" s="4" t="s">
        <v>194</v>
      </c>
      <c r="B58" s="4" t="s">
        <v>183</v>
      </c>
      <c r="C58" s="4" t="s">
        <v>195</v>
      </c>
      <c r="D58" s="6">
        <v>35.6</v>
      </c>
      <c r="E58" s="6">
        <v>23.8</v>
      </c>
      <c r="F58" s="4" t="s">
        <v>1651</v>
      </c>
      <c r="G58" s="4" t="b">
        <v>0</v>
      </c>
      <c r="H58" s="4" t="b">
        <v>0</v>
      </c>
      <c r="I58" s="4" t="s">
        <v>1658</v>
      </c>
      <c r="J58" s="4" t="b">
        <v>0</v>
      </c>
      <c r="K58" s="4" t="s">
        <v>1600</v>
      </c>
      <c r="L58" s="5">
        <v>800</v>
      </c>
      <c r="M58" s="5">
        <v>2500</v>
      </c>
      <c r="N58" s="5"/>
      <c r="O58" s="5"/>
      <c r="P58" s="5">
        <v>42.82</v>
      </c>
      <c r="Q58" s="5">
        <v>1.496</v>
      </c>
      <c r="R58" s="5">
        <v>800</v>
      </c>
      <c r="S58" s="5">
        <v>2500</v>
      </c>
      <c r="T58" s="5"/>
      <c r="U58" s="5"/>
      <c r="V58" s="5"/>
      <c r="W58" s="5"/>
      <c r="X58" s="5"/>
      <c r="Y58" s="5"/>
      <c r="Z58" s="5"/>
      <c r="AA58" s="5"/>
      <c r="AB58" s="5"/>
      <c r="AC58" s="5" t="s">
        <v>1619</v>
      </c>
      <c r="AD58" s="14" t="s">
        <v>69</v>
      </c>
      <c r="AK58" t="s">
        <v>51</v>
      </c>
      <c r="AL58" t="s">
        <v>52</v>
      </c>
      <c r="AM58" t="s">
        <v>3</v>
      </c>
    </row>
    <row r="59" spans="1:39" ht="84" x14ac:dyDescent="0.2">
      <c r="A59" s="4" t="s">
        <v>196</v>
      </c>
      <c r="B59" s="4" t="s">
        <v>183</v>
      </c>
      <c r="C59" s="4" t="s">
        <v>197</v>
      </c>
      <c r="D59" s="6">
        <v>35.9</v>
      </c>
      <c r="E59" s="6">
        <v>24</v>
      </c>
      <c r="F59" s="4" t="s">
        <v>1618</v>
      </c>
      <c r="G59" s="4" t="b">
        <v>0</v>
      </c>
      <c r="H59" s="4" t="b">
        <v>0</v>
      </c>
      <c r="I59" s="4"/>
      <c r="J59" s="4" t="b">
        <v>0</v>
      </c>
      <c r="K59" s="4" t="s">
        <v>1600</v>
      </c>
      <c r="L59" s="5">
        <v>800</v>
      </c>
      <c r="M59" s="5">
        <v>3200</v>
      </c>
      <c r="N59" s="5" t="s">
        <v>1610</v>
      </c>
      <c r="O59" s="5" t="s">
        <v>1659</v>
      </c>
      <c r="P59" s="5">
        <v>43.18</v>
      </c>
      <c r="Q59" s="5">
        <v>1.496</v>
      </c>
      <c r="R59" s="5">
        <v>800</v>
      </c>
      <c r="S59" s="5">
        <v>3200</v>
      </c>
      <c r="T59" s="5"/>
      <c r="U59" s="5" t="s">
        <v>1660</v>
      </c>
      <c r="V59" s="5"/>
      <c r="W59" s="5" t="s">
        <v>1661</v>
      </c>
      <c r="X59" s="5" t="s">
        <v>1662</v>
      </c>
      <c r="Y59" s="5" t="s">
        <v>1663</v>
      </c>
      <c r="Z59" s="5">
        <v>120</v>
      </c>
      <c r="AA59" s="5" t="s">
        <v>1664</v>
      </c>
      <c r="AB59" s="5" t="s">
        <v>200</v>
      </c>
      <c r="AC59" s="5" t="s">
        <v>1607</v>
      </c>
      <c r="AD59" s="12" t="s">
        <v>53</v>
      </c>
      <c r="AE59" t="s">
        <v>198</v>
      </c>
      <c r="AF59" t="s">
        <v>199</v>
      </c>
      <c r="AG59" s="11" t="s">
        <v>200</v>
      </c>
      <c r="AH59" t="s">
        <v>1608</v>
      </c>
      <c r="AI59" t="s">
        <v>54</v>
      </c>
      <c r="AJ59" t="s">
        <v>1665</v>
      </c>
      <c r="AK59" t="s">
        <v>51</v>
      </c>
      <c r="AL59" t="s">
        <v>52</v>
      </c>
      <c r="AM59" t="s">
        <v>3</v>
      </c>
    </row>
    <row r="60" spans="1:39" ht="14" x14ac:dyDescent="0.15">
      <c r="A60" s="4" t="s">
        <v>201</v>
      </c>
      <c r="B60" s="4" t="s">
        <v>183</v>
      </c>
      <c r="C60" s="4" t="s">
        <v>202</v>
      </c>
      <c r="D60" s="6">
        <v>35.6</v>
      </c>
      <c r="E60" s="6">
        <v>23.8</v>
      </c>
      <c r="F60" s="4" t="s">
        <v>1651</v>
      </c>
      <c r="G60" s="4" t="b">
        <v>0</v>
      </c>
      <c r="H60" s="4" t="b">
        <v>0</v>
      </c>
      <c r="I60" s="4" t="s">
        <v>1666</v>
      </c>
      <c r="J60" s="4" t="b">
        <v>0</v>
      </c>
      <c r="K60" s="4" t="s">
        <v>1600</v>
      </c>
      <c r="L60" s="5">
        <v>800</v>
      </c>
      <c r="M60" s="5">
        <v>12800</v>
      </c>
      <c r="N60" s="5"/>
      <c r="O60" s="5"/>
      <c r="P60" s="5">
        <v>42.82</v>
      </c>
      <c r="Q60" s="5">
        <v>1.496</v>
      </c>
      <c r="R60" s="5">
        <v>800</v>
      </c>
      <c r="S60" s="5">
        <v>12800</v>
      </c>
      <c r="T60" s="5"/>
      <c r="U60" s="5"/>
      <c r="V60" s="5"/>
      <c r="W60" s="5"/>
      <c r="X60" s="5"/>
      <c r="Y60" s="5"/>
      <c r="Z60" s="5"/>
      <c r="AA60" s="5"/>
      <c r="AB60" s="5"/>
      <c r="AC60" s="5" t="s">
        <v>1619</v>
      </c>
      <c r="AD60" s="14" t="s">
        <v>69</v>
      </c>
      <c r="AK60" t="s">
        <v>51</v>
      </c>
      <c r="AL60" t="s">
        <v>52</v>
      </c>
      <c r="AM60" t="s">
        <v>3</v>
      </c>
    </row>
    <row r="61" spans="1:39" ht="14" x14ac:dyDescent="0.15">
      <c r="A61" s="4" t="s">
        <v>203</v>
      </c>
      <c r="B61" s="4" t="s">
        <v>183</v>
      </c>
      <c r="C61" s="4" t="s">
        <v>204</v>
      </c>
      <c r="D61" s="6">
        <v>24</v>
      </c>
      <c r="E61" s="6">
        <v>12.7</v>
      </c>
      <c r="F61" s="4" t="s">
        <v>1618</v>
      </c>
      <c r="G61" s="4" t="b">
        <v>0</v>
      </c>
      <c r="H61" s="4" t="b">
        <v>0</v>
      </c>
      <c r="I61" s="4"/>
      <c r="J61" s="4" t="b">
        <v>0</v>
      </c>
      <c r="K61" s="4" t="s">
        <v>1600</v>
      </c>
      <c r="L61" s="5">
        <v>1250</v>
      </c>
      <c r="M61" s="5"/>
      <c r="N61" s="5"/>
      <c r="O61" s="5"/>
      <c r="P61" s="5">
        <v>27.15</v>
      </c>
      <c r="Q61" s="5">
        <v>1.89</v>
      </c>
      <c r="R61" s="5">
        <v>1250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 t="s">
        <v>1619</v>
      </c>
      <c r="AD61" s="14" t="s">
        <v>69</v>
      </c>
      <c r="AK61" t="s">
        <v>51</v>
      </c>
      <c r="AL61" t="s">
        <v>52</v>
      </c>
      <c r="AM61" t="s">
        <v>3</v>
      </c>
    </row>
    <row r="62" spans="1:39" ht="14" x14ac:dyDescent="0.15">
      <c r="A62" s="4" t="s">
        <v>205</v>
      </c>
      <c r="B62" s="4" t="s">
        <v>183</v>
      </c>
      <c r="C62" s="4" t="s">
        <v>206</v>
      </c>
      <c r="D62" s="6">
        <v>24</v>
      </c>
      <c r="E62" s="6">
        <v>12.7</v>
      </c>
      <c r="F62" s="4" t="s">
        <v>1618</v>
      </c>
      <c r="G62" s="4" t="b">
        <v>0</v>
      </c>
      <c r="H62" s="4" t="b">
        <v>0</v>
      </c>
      <c r="I62" s="4"/>
      <c r="J62" s="4" t="b">
        <v>0</v>
      </c>
      <c r="K62" s="4" t="s">
        <v>1600</v>
      </c>
      <c r="L62" s="5">
        <v>2000</v>
      </c>
      <c r="M62" s="5"/>
      <c r="N62" s="5"/>
      <c r="O62" s="5"/>
      <c r="P62" s="5">
        <v>27.15</v>
      </c>
      <c r="Q62" s="5">
        <v>1.89</v>
      </c>
      <c r="R62" s="5">
        <v>2000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 t="s">
        <v>1619</v>
      </c>
      <c r="AD62" s="14" t="s">
        <v>69</v>
      </c>
      <c r="AK62" t="s">
        <v>51</v>
      </c>
      <c r="AL62" t="s">
        <v>52</v>
      </c>
      <c r="AM62" t="s">
        <v>3</v>
      </c>
    </row>
    <row r="63" spans="1:39" ht="14" x14ac:dyDescent="0.15">
      <c r="A63" s="4" t="s">
        <v>207</v>
      </c>
      <c r="B63" s="4" t="s">
        <v>183</v>
      </c>
      <c r="C63" s="4" t="s">
        <v>208</v>
      </c>
      <c r="D63" s="6">
        <v>23.6</v>
      </c>
      <c r="E63" s="6">
        <v>13.3</v>
      </c>
      <c r="F63" s="4" t="s">
        <v>1651</v>
      </c>
      <c r="G63" s="4" t="b">
        <v>0</v>
      </c>
      <c r="H63" s="4" t="b">
        <v>0</v>
      </c>
      <c r="I63" s="4"/>
      <c r="J63" s="4" t="b">
        <v>0</v>
      </c>
      <c r="K63" s="4" t="s">
        <v>1600</v>
      </c>
      <c r="L63" s="5">
        <v>2000</v>
      </c>
      <c r="M63" s="5"/>
      <c r="N63" s="5"/>
      <c r="O63" s="5"/>
      <c r="P63" s="5">
        <v>27.09</v>
      </c>
      <c r="Q63" s="5">
        <v>1.774</v>
      </c>
      <c r="R63" s="5">
        <v>2000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 t="s">
        <v>1619</v>
      </c>
      <c r="AD63" s="14" t="s">
        <v>69</v>
      </c>
      <c r="AK63" t="s">
        <v>51</v>
      </c>
      <c r="AL63" t="s">
        <v>52</v>
      </c>
      <c r="AM63" t="s">
        <v>3</v>
      </c>
    </row>
    <row r="64" spans="1:39" ht="28" x14ac:dyDescent="0.15">
      <c r="A64" s="4" t="s">
        <v>209</v>
      </c>
      <c r="B64" s="4" t="s">
        <v>183</v>
      </c>
      <c r="C64" s="4" t="s">
        <v>210</v>
      </c>
      <c r="D64" s="6">
        <v>23.6</v>
      </c>
      <c r="E64" s="6">
        <v>13.3</v>
      </c>
      <c r="F64" s="4" t="s">
        <v>1651</v>
      </c>
      <c r="G64" s="4" t="b">
        <v>0</v>
      </c>
      <c r="H64" s="4" t="b">
        <v>0</v>
      </c>
      <c r="I64" s="4" t="s">
        <v>1667</v>
      </c>
      <c r="J64" s="4" t="b">
        <v>0</v>
      </c>
      <c r="K64" s="4" t="s">
        <v>1600</v>
      </c>
      <c r="L64" s="5">
        <v>2000</v>
      </c>
      <c r="M64" s="5"/>
      <c r="N64" s="5"/>
      <c r="O64" s="5"/>
      <c r="P64" s="5">
        <v>27.09</v>
      </c>
      <c r="Q64" s="5">
        <v>1.774</v>
      </c>
      <c r="R64" s="5">
        <v>2000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 t="s">
        <v>1619</v>
      </c>
      <c r="AD64" s="14" t="s">
        <v>69</v>
      </c>
      <c r="AK64" t="s">
        <v>51</v>
      </c>
      <c r="AL64" t="s">
        <v>52</v>
      </c>
      <c r="AM64" t="s">
        <v>3</v>
      </c>
    </row>
    <row r="65" spans="1:39" ht="14" x14ac:dyDescent="0.15">
      <c r="A65" s="4" t="s">
        <v>211</v>
      </c>
      <c r="B65" s="4" t="s">
        <v>183</v>
      </c>
      <c r="C65" s="4" t="s">
        <v>212</v>
      </c>
      <c r="D65" s="6">
        <v>24.7</v>
      </c>
      <c r="E65" s="6">
        <v>13.1</v>
      </c>
      <c r="F65" s="4" t="s">
        <v>1618</v>
      </c>
      <c r="G65" s="4" t="b">
        <v>0</v>
      </c>
      <c r="H65" s="4" t="b">
        <v>0</v>
      </c>
      <c r="I65" s="4"/>
      <c r="J65" s="4" t="b">
        <v>0</v>
      </c>
      <c r="K65" s="4" t="s">
        <v>1600</v>
      </c>
      <c r="L65" s="5">
        <v>800</v>
      </c>
      <c r="M65" s="5"/>
      <c r="N65" s="5"/>
      <c r="O65" s="5"/>
      <c r="P65" s="5">
        <v>27.96</v>
      </c>
      <c r="Q65" s="5">
        <v>1.885</v>
      </c>
      <c r="R65" s="5">
        <v>800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 t="s">
        <v>1619</v>
      </c>
      <c r="AD65" s="14" t="s">
        <v>69</v>
      </c>
      <c r="AK65" t="s">
        <v>51</v>
      </c>
      <c r="AL65" t="s">
        <v>52</v>
      </c>
      <c r="AM65" t="s">
        <v>3</v>
      </c>
    </row>
    <row r="66" spans="1:39" ht="14" x14ac:dyDescent="0.15">
      <c r="A66" s="4" t="s">
        <v>213</v>
      </c>
      <c r="B66" s="4" t="s">
        <v>183</v>
      </c>
      <c r="C66" s="4" t="s">
        <v>214</v>
      </c>
      <c r="D66" s="6">
        <v>35.6</v>
      </c>
      <c r="E66" s="6">
        <v>23.8</v>
      </c>
      <c r="F66" s="4" t="s">
        <v>1651</v>
      </c>
      <c r="G66" s="4" t="b">
        <v>0</v>
      </c>
      <c r="H66" s="4" t="b">
        <v>0</v>
      </c>
      <c r="I66" s="4" t="s">
        <v>1668</v>
      </c>
      <c r="J66" s="4" t="b">
        <v>0</v>
      </c>
      <c r="K66" s="4" t="s">
        <v>1600</v>
      </c>
      <c r="L66" s="5">
        <v>640</v>
      </c>
      <c r="M66" s="5">
        <v>12800</v>
      </c>
      <c r="N66" s="5"/>
      <c r="O66" s="5"/>
      <c r="P66" s="5">
        <v>42.82</v>
      </c>
      <c r="Q66" s="5">
        <v>1.496</v>
      </c>
      <c r="R66" s="5">
        <v>640</v>
      </c>
      <c r="S66" s="5">
        <v>12800</v>
      </c>
      <c r="T66" s="5"/>
      <c r="U66" s="5"/>
      <c r="V66" s="5"/>
      <c r="W66" s="5"/>
      <c r="X66" s="5"/>
      <c r="Y66" s="5"/>
      <c r="Z66" s="5"/>
      <c r="AA66" s="5"/>
      <c r="AB66" s="5"/>
      <c r="AC66" s="5" t="s">
        <v>1619</v>
      </c>
      <c r="AD66" s="14" t="s">
        <v>69</v>
      </c>
      <c r="AK66" t="s">
        <v>51</v>
      </c>
      <c r="AL66" t="s">
        <v>52</v>
      </c>
      <c r="AM66" t="s">
        <v>3</v>
      </c>
    </row>
    <row r="67" spans="1:39" ht="28" x14ac:dyDescent="0.15">
      <c r="A67" s="4" t="s">
        <v>215</v>
      </c>
      <c r="B67" s="4" t="s">
        <v>183</v>
      </c>
      <c r="C67" s="4" t="s">
        <v>216</v>
      </c>
      <c r="D67" s="6">
        <v>23.6</v>
      </c>
      <c r="E67" s="6">
        <v>13.3</v>
      </c>
      <c r="F67" s="4" t="s">
        <v>1618</v>
      </c>
      <c r="G67" s="4" t="b">
        <v>0</v>
      </c>
      <c r="H67" s="4" t="b">
        <v>0</v>
      </c>
      <c r="I67" s="4" t="s">
        <v>1669</v>
      </c>
      <c r="J67" s="4" t="b">
        <v>0</v>
      </c>
      <c r="K67" s="4" t="s">
        <v>1600</v>
      </c>
      <c r="L67" s="5">
        <v>500</v>
      </c>
      <c r="M67" s="5"/>
      <c r="N67" s="5"/>
      <c r="O67" s="5"/>
      <c r="P67" s="5">
        <v>27.09</v>
      </c>
      <c r="Q67" s="5">
        <v>1.774</v>
      </c>
      <c r="R67" s="5">
        <v>500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 t="s">
        <v>1619</v>
      </c>
      <c r="AD67" s="14" t="s">
        <v>69</v>
      </c>
      <c r="AK67" t="s">
        <v>51</v>
      </c>
      <c r="AL67" t="s">
        <v>52</v>
      </c>
      <c r="AM67" t="s">
        <v>3</v>
      </c>
    </row>
    <row r="68" spans="1:39" ht="14" x14ac:dyDescent="0.15">
      <c r="A68" s="4" t="s">
        <v>217</v>
      </c>
      <c r="B68" s="4" t="s">
        <v>183</v>
      </c>
      <c r="C68" s="4" t="s">
        <v>218</v>
      </c>
      <c r="D68" s="6">
        <v>35.6</v>
      </c>
      <c r="E68" s="6">
        <v>23.8</v>
      </c>
      <c r="F68" s="4" t="s">
        <v>1651</v>
      </c>
      <c r="G68" s="4" t="b">
        <v>0</v>
      </c>
      <c r="H68" s="4" t="b">
        <v>0</v>
      </c>
      <c r="I68" s="4" t="s">
        <v>1670</v>
      </c>
      <c r="J68" s="4" t="b">
        <v>0</v>
      </c>
      <c r="K68" s="4" t="s">
        <v>1600</v>
      </c>
      <c r="L68" s="5">
        <v>800</v>
      </c>
      <c r="M68" s="5">
        <v>12800</v>
      </c>
      <c r="N68" s="5"/>
      <c r="O68" s="5"/>
      <c r="P68" s="5">
        <v>42.82</v>
      </c>
      <c r="Q68" s="5">
        <v>1.496</v>
      </c>
      <c r="R68" s="5">
        <v>800</v>
      </c>
      <c r="S68" s="5">
        <v>12800</v>
      </c>
      <c r="T68" s="5"/>
      <c r="U68" s="5"/>
      <c r="V68" s="5"/>
      <c r="W68" s="5"/>
      <c r="X68" s="5"/>
      <c r="Y68" s="5"/>
      <c r="Z68" s="5"/>
      <c r="AA68" s="5"/>
      <c r="AB68" s="5"/>
      <c r="AC68" s="5" t="s">
        <v>1619</v>
      </c>
      <c r="AD68" s="14" t="s">
        <v>69</v>
      </c>
      <c r="AK68" t="s">
        <v>51</v>
      </c>
      <c r="AL68" t="s">
        <v>52</v>
      </c>
      <c r="AM68" t="s">
        <v>3</v>
      </c>
    </row>
    <row r="69" spans="1:39" ht="28" x14ac:dyDescent="0.15">
      <c r="A69" s="4" t="s">
        <v>219</v>
      </c>
      <c r="B69" s="4" t="s">
        <v>183</v>
      </c>
      <c r="C69" s="4" t="s">
        <v>220</v>
      </c>
      <c r="D69" s="6">
        <v>35.9</v>
      </c>
      <c r="E69" s="6">
        <v>24</v>
      </c>
      <c r="F69" s="4" t="s">
        <v>1618</v>
      </c>
      <c r="G69" s="4" t="b">
        <v>0</v>
      </c>
      <c r="H69" s="4" t="b">
        <v>1</v>
      </c>
      <c r="I69" s="4" t="s">
        <v>1671</v>
      </c>
      <c r="J69" s="4" t="b">
        <v>0</v>
      </c>
      <c r="K69" s="4" t="s">
        <v>1600</v>
      </c>
      <c r="L69" s="5">
        <v>500</v>
      </c>
      <c r="M69" s="5">
        <v>2500</v>
      </c>
      <c r="N69" s="5"/>
      <c r="O69" s="5"/>
      <c r="P69" s="5">
        <v>43.18</v>
      </c>
      <c r="Q69" s="5">
        <v>1.496</v>
      </c>
      <c r="R69" s="5">
        <v>500</v>
      </c>
      <c r="S69" s="5">
        <v>2500</v>
      </c>
      <c r="T69" s="5"/>
      <c r="U69" s="5"/>
      <c r="V69" s="5"/>
      <c r="W69" s="5"/>
      <c r="X69" s="5"/>
      <c r="Y69" s="5"/>
      <c r="Z69" s="5"/>
      <c r="AA69" s="5"/>
      <c r="AB69" s="5"/>
      <c r="AC69" s="5" t="s">
        <v>1619</v>
      </c>
      <c r="AD69" s="14" t="s">
        <v>69</v>
      </c>
      <c r="AK69" t="s">
        <v>51</v>
      </c>
      <c r="AL69" t="s">
        <v>52</v>
      </c>
      <c r="AM69" t="s">
        <v>3</v>
      </c>
    </row>
    <row r="70" spans="1:39" ht="28" x14ac:dyDescent="0.15">
      <c r="A70" s="4" t="s">
        <v>221</v>
      </c>
      <c r="B70" s="4" t="s">
        <v>222</v>
      </c>
      <c r="C70" s="4" t="s">
        <v>223</v>
      </c>
      <c r="D70" s="6">
        <v>27.65</v>
      </c>
      <c r="E70" s="6">
        <v>15.65</v>
      </c>
      <c r="F70" s="4" t="s">
        <v>1618</v>
      </c>
      <c r="G70" s="4" t="b">
        <v>0</v>
      </c>
      <c r="H70" s="4" t="b">
        <v>0</v>
      </c>
      <c r="I70" s="4" t="s">
        <v>1672</v>
      </c>
      <c r="J70" s="4" t="b">
        <v>0</v>
      </c>
      <c r="K70" s="4" t="s">
        <v>1600</v>
      </c>
      <c r="L70" s="5">
        <v>200</v>
      </c>
      <c r="M70" s="5"/>
      <c r="N70" s="5"/>
      <c r="O70" s="5"/>
      <c r="P70" s="5">
        <v>31.77</v>
      </c>
      <c r="Q70" s="5">
        <v>1.7669999999999999</v>
      </c>
      <c r="R70" s="5">
        <v>200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 t="s">
        <v>1619</v>
      </c>
      <c r="AD70" s="14" t="s">
        <v>69</v>
      </c>
      <c r="AK70" t="s">
        <v>51</v>
      </c>
      <c r="AL70" t="s">
        <v>52</v>
      </c>
      <c r="AM70" t="s">
        <v>3</v>
      </c>
    </row>
    <row r="71" spans="1:39" ht="28" x14ac:dyDescent="0.15">
      <c r="A71" s="4" t="s">
        <v>224</v>
      </c>
      <c r="B71" s="4" t="s">
        <v>222</v>
      </c>
      <c r="C71" s="4" t="s">
        <v>225</v>
      </c>
      <c r="D71" s="6">
        <v>27.65</v>
      </c>
      <c r="E71" s="6">
        <v>15.65</v>
      </c>
      <c r="F71" s="4" t="s">
        <v>1618</v>
      </c>
      <c r="G71" s="4" t="b">
        <v>0</v>
      </c>
      <c r="H71" s="4" t="b">
        <v>0</v>
      </c>
      <c r="I71" s="4" t="s">
        <v>1673</v>
      </c>
      <c r="J71" s="4" t="b">
        <v>0</v>
      </c>
      <c r="K71" s="4" t="s">
        <v>1600</v>
      </c>
      <c r="L71" s="5">
        <v>4000</v>
      </c>
      <c r="M71" s="5"/>
      <c r="N71" s="5"/>
      <c r="O71" s="5"/>
      <c r="P71" s="5">
        <v>31.77</v>
      </c>
      <c r="Q71" s="5">
        <v>1.7669999999999999</v>
      </c>
      <c r="R71" s="5">
        <v>4000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 t="s">
        <v>1619</v>
      </c>
      <c r="AD71" s="14" t="s">
        <v>69</v>
      </c>
      <c r="AK71" t="s">
        <v>51</v>
      </c>
      <c r="AL71" t="s">
        <v>52</v>
      </c>
      <c r="AM71" t="s">
        <v>3</v>
      </c>
    </row>
    <row r="72" spans="1:39" x14ac:dyDescent="0.15">
      <c r="A72" t="s">
        <v>226</v>
      </c>
      <c r="B72" t="s">
        <v>49</v>
      </c>
      <c r="C72" t="s">
        <v>227</v>
      </c>
      <c r="D72">
        <v>54.12</v>
      </c>
      <c r="E72">
        <v>25.58</v>
      </c>
      <c r="F72" t="s">
        <v>1599</v>
      </c>
      <c r="G72" t="b">
        <v>0</v>
      </c>
      <c r="H72" t="b">
        <v>0</v>
      </c>
      <c r="I72" t="s">
        <v>1674</v>
      </c>
      <c r="J72" t="b">
        <v>0</v>
      </c>
      <c r="K72" t="s">
        <v>1675</v>
      </c>
      <c r="N72" t="s">
        <v>1676</v>
      </c>
      <c r="O72" t="s">
        <v>1677</v>
      </c>
      <c r="P72">
        <v>59.86</v>
      </c>
      <c r="Q72">
        <v>2.1157154026583269</v>
      </c>
      <c r="U72" t="s">
        <v>1603</v>
      </c>
      <c r="V72">
        <v>15</v>
      </c>
      <c r="W72" t="s">
        <v>1678</v>
      </c>
      <c r="X72" t="s">
        <v>1679</v>
      </c>
      <c r="Y72" t="s">
        <v>1680</v>
      </c>
      <c r="Z72">
        <v>60</v>
      </c>
      <c r="AA72" t="s">
        <v>1681</v>
      </c>
      <c r="AB72" t="s">
        <v>1682</v>
      </c>
      <c r="AC72" t="s">
        <v>1683</v>
      </c>
      <c r="AD72" s="15" t="s">
        <v>228</v>
      </c>
      <c r="AE72" t="s">
        <v>229</v>
      </c>
      <c r="AF72" t="s">
        <v>230</v>
      </c>
      <c r="AG72" t="s">
        <v>231</v>
      </c>
      <c r="AH72" t="s">
        <v>3</v>
      </c>
      <c r="AI72" t="s">
        <v>54</v>
      </c>
      <c r="AJ72" t="s">
        <v>1684</v>
      </c>
    </row>
    <row r="73" spans="1:39" x14ac:dyDescent="0.15">
      <c r="A73" t="s">
        <v>234</v>
      </c>
      <c r="B73" t="s">
        <v>235</v>
      </c>
      <c r="C73" t="s">
        <v>236</v>
      </c>
      <c r="D73">
        <v>35.64</v>
      </c>
      <c r="E73">
        <v>23.32</v>
      </c>
      <c r="F73" t="s">
        <v>1685</v>
      </c>
      <c r="G73" t="b">
        <v>0</v>
      </c>
      <c r="H73" t="b">
        <v>0</v>
      </c>
      <c r="I73" t="s">
        <v>1686</v>
      </c>
      <c r="J73" t="b">
        <v>0</v>
      </c>
      <c r="K73" t="s">
        <v>1675</v>
      </c>
      <c r="N73" t="s">
        <v>1635</v>
      </c>
      <c r="O73" t="s">
        <v>1611</v>
      </c>
      <c r="P73">
        <v>42.591454541961816</v>
      </c>
      <c r="Q73">
        <v>1.5283018867924529</v>
      </c>
      <c r="V73">
        <v>16</v>
      </c>
      <c r="W73" t="s">
        <v>1687</v>
      </c>
      <c r="X73" t="s">
        <v>1688</v>
      </c>
      <c r="Y73" t="s">
        <v>1689</v>
      </c>
      <c r="AA73" t="s">
        <v>1690</v>
      </c>
      <c r="AB73" t="s">
        <v>1691</v>
      </c>
      <c r="AC73" t="s">
        <v>1683</v>
      </c>
      <c r="AD73" s="12" t="s">
        <v>53</v>
      </c>
      <c r="AE73" t="s">
        <v>237</v>
      </c>
      <c r="AF73" t="s">
        <v>238</v>
      </c>
      <c r="AG73" t="s">
        <v>239</v>
      </c>
      <c r="AH73" t="s">
        <v>3</v>
      </c>
      <c r="AI73" t="s">
        <v>54</v>
      </c>
      <c r="AJ73" t="s">
        <v>1692</v>
      </c>
    </row>
  </sheetData>
  <autoFilter ref="A1:AJ71" xr:uid="{00000000-0009-0000-0000-000005000000}"/>
  <hyperlinks>
    <hyperlink ref="AG2" r:id="rId1" xr:uid="{00000000-0004-0000-0500-000000000000}"/>
    <hyperlink ref="AG3" r:id="rId2" xr:uid="{00000000-0004-0000-0500-000001000000}"/>
    <hyperlink ref="AG17" r:id="rId3" xr:uid="{00000000-0004-0000-0500-000002000000}"/>
    <hyperlink ref="AG22" r:id="rId4" xr:uid="{00000000-0004-0000-0500-000003000000}"/>
    <hyperlink ref="AG57" r:id="rId5" xr:uid="{00000000-0004-0000-0500-000004000000}"/>
    <hyperlink ref="AG59" r:id="rId6" xr:uid="{00000000-0004-0000-0500-000005000000}"/>
  </hyperlinks>
  <pageMargins left="0.7" right="0.7" top="0.75" bottom="0.75" header="0.3" footer="0.3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7" customWidth="1"/>
    <col min="2" max="2" width="12" customWidth="1"/>
    <col min="3" max="3" width="23" customWidth="1"/>
    <col min="4" max="4" width="17" customWidth="1"/>
    <col min="5" max="8" width="12" customWidth="1"/>
    <col min="9" max="9" width="30" customWidth="1"/>
    <col min="10" max="11" width="12" customWidth="1"/>
    <col min="12" max="13" width="14" customWidth="1"/>
    <col min="14" max="14" width="17" customWidth="1"/>
    <col min="15" max="15" width="13" customWidth="1"/>
    <col min="16" max="17" width="12" customWidth="1"/>
    <col min="18" max="18" width="17" customWidth="1"/>
    <col min="19" max="19" width="19" customWidth="1"/>
    <col min="20" max="20" width="13" customWidth="1"/>
    <col min="21" max="21" width="12" customWidth="1"/>
    <col min="22" max="22" width="40" customWidth="1"/>
    <col min="23" max="23" width="38" customWidth="1"/>
    <col min="24" max="27" width="35" customWidth="1"/>
    <col min="28" max="28" width="20" customWidth="1"/>
    <col min="29" max="29" width="17" customWidth="1"/>
    <col min="30" max="30" width="55" customWidth="1"/>
    <col min="31" max="31" width="35" customWidth="1"/>
  </cols>
  <sheetData>
    <row r="1" spans="1:33" ht="28" customHeight="1" x14ac:dyDescent="0.15">
      <c r="A1" s="1" t="s">
        <v>1565</v>
      </c>
      <c r="B1" s="1" t="s">
        <v>35</v>
      </c>
      <c r="C1" s="1" t="s">
        <v>36</v>
      </c>
      <c r="D1" s="1" t="s">
        <v>1693</v>
      </c>
      <c r="E1" s="1" t="s">
        <v>1694</v>
      </c>
      <c r="F1" s="1" t="s">
        <v>1695</v>
      </c>
      <c r="G1" s="1" t="s">
        <v>1571</v>
      </c>
      <c r="H1" s="1" t="s">
        <v>1696</v>
      </c>
      <c r="I1" s="1" t="s">
        <v>1568</v>
      </c>
      <c r="J1" s="1" t="s">
        <v>1574</v>
      </c>
      <c r="K1" s="1" t="s">
        <v>1575</v>
      </c>
      <c r="L1" s="1" t="s">
        <v>1697</v>
      </c>
      <c r="M1" s="1" t="s">
        <v>1698</v>
      </c>
      <c r="N1" s="1" t="s">
        <v>1699</v>
      </c>
      <c r="O1" s="1" t="s">
        <v>1700</v>
      </c>
      <c r="P1" s="1" t="s">
        <v>1701</v>
      </c>
      <c r="Q1" s="1" t="s">
        <v>1702</v>
      </c>
      <c r="R1" s="1" t="s">
        <v>1703</v>
      </c>
      <c r="S1" s="1" t="s">
        <v>1704</v>
      </c>
      <c r="T1" s="1" t="s">
        <v>1705</v>
      </c>
      <c r="U1" s="1" t="s">
        <v>1706</v>
      </c>
      <c r="V1" s="1" t="s">
        <v>1592</v>
      </c>
      <c r="W1" s="1" t="s">
        <v>1593</v>
      </c>
      <c r="X1" s="1" t="s">
        <v>39</v>
      </c>
      <c r="Y1" s="1" t="s">
        <v>41</v>
      </c>
      <c r="Z1" s="1" t="s">
        <v>1594</v>
      </c>
      <c r="AA1" s="1" t="s">
        <v>1595</v>
      </c>
      <c r="AB1" s="1" t="s">
        <v>1596</v>
      </c>
      <c r="AC1" s="1" t="s">
        <v>40</v>
      </c>
      <c r="AD1" s="1" t="s">
        <v>1597</v>
      </c>
      <c r="AE1" s="1" t="s">
        <v>37</v>
      </c>
      <c r="AF1" s="1" t="s">
        <v>1598</v>
      </c>
      <c r="AG1" s="1" t="s">
        <v>44</v>
      </c>
    </row>
    <row r="2" spans="1:33" ht="14" x14ac:dyDescent="0.15">
      <c r="A2" s="4" t="s">
        <v>240</v>
      </c>
      <c r="B2" s="4" t="s">
        <v>49</v>
      </c>
      <c r="C2" s="4" t="s">
        <v>242</v>
      </c>
      <c r="D2" s="6">
        <v>12</v>
      </c>
      <c r="E2" s="6">
        <v>1.8</v>
      </c>
      <c r="F2" s="4" t="s">
        <v>1707</v>
      </c>
      <c r="G2" s="4" t="s">
        <v>1599</v>
      </c>
      <c r="H2" s="4" t="b">
        <v>0</v>
      </c>
      <c r="I2" s="4"/>
      <c r="J2" s="4" t="b">
        <v>0</v>
      </c>
      <c r="K2" s="4" t="s">
        <v>1600</v>
      </c>
      <c r="L2" s="5">
        <v>12</v>
      </c>
      <c r="M2" s="5">
        <v>12</v>
      </c>
      <c r="N2" s="5"/>
      <c r="O2" s="5"/>
      <c r="P2" s="5" t="s">
        <v>1708</v>
      </c>
      <c r="Q2" s="5"/>
      <c r="R2" s="5" t="s">
        <v>1709</v>
      </c>
      <c r="S2" s="5"/>
      <c r="T2" s="5"/>
      <c r="U2" s="5"/>
      <c r="V2" s="5"/>
      <c r="W2" s="5" t="s">
        <v>1619</v>
      </c>
      <c r="X2" s="14" t="s">
        <v>69</v>
      </c>
      <c r="AE2" t="s">
        <v>243</v>
      </c>
      <c r="AF2" t="s">
        <v>52</v>
      </c>
      <c r="AG2" t="s">
        <v>3</v>
      </c>
    </row>
    <row r="3" spans="1:33" ht="14" x14ac:dyDescent="0.15">
      <c r="A3" s="4" t="s">
        <v>244</v>
      </c>
      <c r="B3" s="4" t="s">
        <v>49</v>
      </c>
      <c r="C3" s="4" t="s">
        <v>245</v>
      </c>
      <c r="D3" s="6">
        <v>15</v>
      </c>
      <c r="E3" s="6">
        <v>1.8</v>
      </c>
      <c r="F3" s="4" t="s">
        <v>1707</v>
      </c>
      <c r="G3" s="4" t="s">
        <v>1599</v>
      </c>
      <c r="H3" s="4" t="b">
        <v>0</v>
      </c>
      <c r="I3" s="4"/>
      <c r="J3" s="4" t="b">
        <v>0</v>
      </c>
      <c r="K3" s="4" t="s">
        <v>1600</v>
      </c>
      <c r="L3" s="5">
        <v>15</v>
      </c>
      <c r="M3" s="5">
        <v>15</v>
      </c>
      <c r="N3" s="5"/>
      <c r="O3" s="5"/>
      <c r="P3" s="5" t="s">
        <v>1708</v>
      </c>
      <c r="Q3" s="5"/>
      <c r="R3" s="5" t="s">
        <v>1709</v>
      </c>
      <c r="S3" s="5"/>
      <c r="T3" s="5"/>
      <c r="U3" s="5"/>
      <c r="V3" s="5"/>
      <c r="W3" s="5" t="s">
        <v>1619</v>
      </c>
      <c r="X3" s="14" t="s">
        <v>69</v>
      </c>
      <c r="AE3" t="s">
        <v>243</v>
      </c>
      <c r="AF3" t="s">
        <v>52</v>
      </c>
      <c r="AG3" t="s">
        <v>3</v>
      </c>
    </row>
    <row r="4" spans="1:33" ht="14" x14ac:dyDescent="0.15">
      <c r="A4" s="4" t="s">
        <v>246</v>
      </c>
      <c r="B4" s="4" t="s">
        <v>49</v>
      </c>
      <c r="C4" s="4" t="s">
        <v>247</v>
      </c>
      <c r="D4" s="6">
        <v>18</v>
      </c>
      <c r="E4" s="6">
        <v>1.8</v>
      </c>
      <c r="F4" s="4" t="s">
        <v>1707</v>
      </c>
      <c r="G4" s="4" t="s">
        <v>1599</v>
      </c>
      <c r="H4" s="4" t="b">
        <v>0</v>
      </c>
      <c r="I4" s="4"/>
      <c r="J4" s="4" t="b">
        <v>0</v>
      </c>
      <c r="K4" s="4" t="s">
        <v>1600</v>
      </c>
      <c r="L4" s="5">
        <v>18</v>
      </c>
      <c r="M4" s="5">
        <v>18</v>
      </c>
      <c r="N4" s="5"/>
      <c r="O4" s="5"/>
      <c r="P4" s="5" t="s">
        <v>1708</v>
      </c>
      <c r="Q4" s="5"/>
      <c r="R4" s="5" t="s">
        <v>1709</v>
      </c>
      <c r="S4" s="5"/>
      <c r="T4" s="5"/>
      <c r="U4" s="5"/>
      <c r="V4" s="5"/>
      <c r="W4" s="5" t="s">
        <v>1619</v>
      </c>
      <c r="X4" s="14" t="s">
        <v>69</v>
      </c>
      <c r="AE4" t="s">
        <v>243</v>
      </c>
      <c r="AF4" t="s">
        <v>52</v>
      </c>
      <c r="AG4" t="s">
        <v>3</v>
      </c>
    </row>
    <row r="5" spans="1:33" ht="14" x14ac:dyDescent="0.15">
      <c r="A5" s="4" t="s">
        <v>248</v>
      </c>
      <c r="B5" s="4" t="s">
        <v>49</v>
      </c>
      <c r="C5" s="4" t="s">
        <v>249</v>
      </c>
      <c r="D5" s="6">
        <v>21</v>
      </c>
      <c r="E5" s="6">
        <v>1.8</v>
      </c>
      <c r="F5" s="4" t="s">
        <v>1707</v>
      </c>
      <c r="G5" s="4" t="s">
        <v>1599</v>
      </c>
      <c r="H5" s="4" t="b">
        <v>0</v>
      </c>
      <c r="I5" s="4"/>
      <c r="J5" s="4" t="b">
        <v>0</v>
      </c>
      <c r="K5" s="4" t="s">
        <v>1600</v>
      </c>
      <c r="L5" s="5">
        <v>21</v>
      </c>
      <c r="M5" s="5">
        <v>21</v>
      </c>
      <c r="N5" s="5"/>
      <c r="O5" s="5"/>
      <c r="P5" s="5" t="s">
        <v>1708</v>
      </c>
      <c r="Q5" s="5"/>
      <c r="R5" s="5" t="s">
        <v>1709</v>
      </c>
      <c r="S5" s="5"/>
      <c r="T5" s="5"/>
      <c r="U5" s="5"/>
      <c r="V5" s="5"/>
      <c r="W5" s="5" t="s">
        <v>1619</v>
      </c>
      <c r="X5" s="14" t="s">
        <v>69</v>
      </c>
      <c r="AE5" t="s">
        <v>243</v>
      </c>
      <c r="AF5" t="s">
        <v>52</v>
      </c>
      <c r="AG5" t="s">
        <v>3</v>
      </c>
    </row>
    <row r="6" spans="1:33" ht="14" x14ac:dyDescent="0.15">
      <c r="A6" s="4" t="s">
        <v>250</v>
      </c>
      <c r="B6" s="4" t="s">
        <v>49</v>
      </c>
      <c r="C6" s="4" t="s">
        <v>251</v>
      </c>
      <c r="D6" s="6">
        <v>25</v>
      </c>
      <c r="E6" s="6">
        <v>1.8</v>
      </c>
      <c r="F6" s="4" t="s">
        <v>1707</v>
      </c>
      <c r="G6" s="4" t="s">
        <v>1599</v>
      </c>
      <c r="H6" s="4" t="b">
        <v>0</v>
      </c>
      <c r="I6" s="4"/>
      <c r="J6" s="4" t="b">
        <v>0</v>
      </c>
      <c r="K6" s="4" t="s">
        <v>1600</v>
      </c>
      <c r="L6" s="5">
        <v>25</v>
      </c>
      <c r="M6" s="5">
        <v>25</v>
      </c>
      <c r="N6" s="5"/>
      <c r="O6" s="5"/>
      <c r="P6" s="5" t="s">
        <v>1708</v>
      </c>
      <c r="Q6" s="5"/>
      <c r="R6" s="5" t="s">
        <v>1709</v>
      </c>
      <c r="S6" s="5"/>
      <c r="T6" s="5"/>
      <c r="U6" s="5"/>
      <c r="V6" s="5"/>
      <c r="W6" s="5" t="s">
        <v>1619</v>
      </c>
      <c r="X6" s="14" t="s">
        <v>69</v>
      </c>
      <c r="AE6" t="s">
        <v>243</v>
      </c>
      <c r="AF6" t="s">
        <v>52</v>
      </c>
      <c r="AG6" t="s">
        <v>3</v>
      </c>
    </row>
    <row r="7" spans="1:33" ht="14" x14ac:dyDescent="0.15">
      <c r="A7" s="4" t="s">
        <v>252</v>
      </c>
      <c r="B7" s="4" t="s">
        <v>49</v>
      </c>
      <c r="C7" s="4" t="s">
        <v>253</v>
      </c>
      <c r="D7" s="6">
        <v>29</v>
      </c>
      <c r="E7" s="6">
        <v>1.8</v>
      </c>
      <c r="F7" s="4" t="s">
        <v>1707</v>
      </c>
      <c r="G7" s="4" t="s">
        <v>1599</v>
      </c>
      <c r="H7" s="4" t="b">
        <v>0</v>
      </c>
      <c r="I7" s="4"/>
      <c r="J7" s="4" t="b">
        <v>0</v>
      </c>
      <c r="K7" s="4" t="s">
        <v>1600</v>
      </c>
      <c r="L7" s="5">
        <v>29</v>
      </c>
      <c r="M7" s="5">
        <v>29</v>
      </c>
      <c r="N7" s="5"/>
      <c r="O7" s="5"/>
      <c r="P7" s="5" t="s">
        <v>1708</v>
      </c>
      <c r="Q7" s="5"/>
      <c r="R7" s="5" t="s">
        <v>1709</v>
      </c>
      <c r="S7" s="5"/>
      <c r="T7" s="5"/>
      <c r="U7" s="5"/>
      <c r="V7" s="5"/>
      <c r="W7" s="5" t="s">
        <v>1619</v>
      </c>
      <c r="X7" s="14" t="s">
        <v>69</v>
      </c>
      <c r="AE7" t="s">
        <v>243</v>
      </c>
      <c r="AF7" t="s">
        <v>52</v>
      </c>
      <c r="AG7" t="s">
        <v>3</v>
      </c>
    </row>
    <row r="8" spans="1:33" ht="14" x14ac:dyDescent="0.15">
      <c r="A8" s="4" t="s">
        <v>254</v>
      </c>
      <c r="B8" s="4" t="s">
        <v>49</v>
      </c>
      <c r="C8" s="4" t="s">
        <v>255</v>
      </c>
      <c r="D8" s="6">
        <v>35</v>
      </c>
      <c r="E8" s="6">
        <v>1.8</v>
      </c>
      <c r="F8" s="4" t="s">
        <v>1707</v>
      </c>
      <c r="G8" s="4" t="s">
        <v>1599</v>
      </c>
      <c r="H8" s="4" t="b">
        <v>0</v>
      </c>
      <c r="I8" s="4"/>
      <c r="J8" s="4" t="b">
        <v>0</v>
      </c>
      <c r="K8" s="4" t="s">
        <v>1600</v>
      </c>
      <c r="L8" s="5">
        <v>35</v>
      </c>
      <c r="M8" s="5">
        <v>35</v>
      </c>
      <c r="N8" s="5"/>
      <c r="O8" s="5"/>
      <c r="P8" s="5" t="s">
        <v>1708</v>
      </c>
      <c r="Q8" s="5"/>
      <c r="R8" s="5" t="s">
        <v>1709</v>
      </c>
      <c r="S8" s="5"/>
      <c r="T8" s="5"/>
      <c r="U8" s="5"/>
      <c r="V8" s="5"/>
      <c r="W8" s="5" t="s">
        <v>1619</v>
      </c>
      <c r="X8" s="14" t="s">
        <v>69</v>
      </c>
      <c r="AE8" t="s">
        <v>243</v>
      </c>
      <c r="AF8" t="s">
        <v>52</v>
      </c>
      <c r="AG8" t="s">
        <v>3</v>
      </c>
    </row>
    <row r="9" spans="1:33" ht="14" x14ac:dyDescent="0.15">
      <c r="A9" s="4" t="s">
        <v>256</v>
      </c>
      <c r="B9" s="4" t="s">
        <v>49</v>
      </c>
      <c r="C9" s="4" t="s">
        <v>257</v>
      </c>
      <c r="D9" s="6">
        <v>40</v>
      </c>
      <c r="E9" s="6">
        <v>1.8</v>
      </c>
      <c r="F9" s="4" t="s">
        <v>1707</v>
      </c>
      <c r="G9" s="4" t="s">
        <v>1599</v>
      </c>
      <c r="H9" s="4" t="b">
        <v>0</v>
      </c>
      <c r="I9" s="4"/>
      <c r="J9" s="4" t="b">
        <v>0</v>
      </c>
      <c r="K9" s="4" t="s">
        <v>1600</v>
      </c>
      <c r="L9" s="5">
        <v>40</v>
      </c>
      <c r="M9" s="5">
        <v>40</v>
      </c>
      <c r="N9" s="5"/>
      <c r="O9" s="5"/>
      <c r="P9" s="5" t="s">
        <v>1708</v>
      </c>
      <c r="Q9" s="5"/>
      <c r="R9" s="5" t="s">
        <v>1709</v>
      </c>
      <c r="S9" s="5"/>
      <c r="T9" s="5"/>
      <c r="U9" s="5"/>
      <c r="V9" s="5"/>
      <c r="W9" s="5" t="s">
        <v>1619</v>
      </c>
      <c r="X9" s="14" t="s">
        <v>69</v>
      </c>
      <c r="AE9" t="s">
        <v>243</v>
      </c>
      <c r="AF9" t="s">
        <v>52</v>
      </c>
      <c r="AG9" t="s">
        <v>3</v>
      </c>
    </row>
    <row r="10" spans="1:33" ht="14" x14ac:dyDescent="0.15">
      <c r="A10" s="4" t="s">
        <v>258</v>
      </c>
      <c r="B10" s="4" t="s">
        <v>49</v>
      </c>
      <c r="C10" s="4" t="s">
        <v>259</v>
      </c>
      <c r="D10" s="6">
        <v>47</v>
      </c>
      <c r="E10" s="6">
        <v>1.8</v>
      </c>
      <c r="F10" s="4" t="s">
        <v>1707</v>
      </c>
      <c r="G10" s="4" t="s">
        <v>1599</v>
      </c>
      <c r="H10" s="4" t="b">
        <v>0</v>
      </c>
      <c r="I10" s="4"/>
      <c r="J10" s="4" t="b">
        <v>0</v>
      </c>
      <c r="K10" s="4" t="s">
        <v>1600</v>
      </c>
      <c r="L10" s="5">
        <v>47</v>
      </c>
      <c r="M10" s="5">
        <v>47</v>
      </c>
      <c r="N10" s="5"/>
      <c r="O10" s="5"/>
      <c r="P10" s="5" t="s">
        <v>1708</v>
      </c>
      <c r="Q10" s="5"/>
      <c r="R10" s="5" t="s">
        <v>1709</v>
      </c>
      <c r="S10" s="5"/>
      <c r="T10" s="5"/>
      <c r="U10" s="5"/>
      <c r="V10" s="5"/>
      <c r="W10" s="5" t="s">
        <v>1619</v>
      </c>
      <c r="X10" s="14" t="s">
        <v>69</v>
      </c>
      <c r="AE10" t="s">
        <v>243</v>
      </c>
      <c r="AF10" t="s">
        <v>52</v>
      </c>
      <c r="AG10" t="s">
        <v>3</v>
      </c>
    </row>
    <row r="11" spans="1:33" ht="14" x14ac:dyDescent="0.15">
      <c r="A11" s="4" t="s">
        <v>260</v>
      </c>
      <c r="B11" s="4" t="s">
        <v>49</v>
      </c>
      <c r="C11" s="4" t="s">
        <v>261</v>
      </c>
      <c r="D11" s="6">
        <v>58</v>
      </c>
      <c r="E11" s="6">
        <v>1.8</v>
      </c>
      <c r="F11" s="4" t="s">
        <v>1707</v>
      </c>
      <c r="G11" s="4" t="s">
        <v>1599</v>
      </c>
      <c r="H11" s="4" t="b">
        <v>0</v>
      </c>
      <c r="I11" s="4"/>
      <c r="J11" s="4" t="b">
        <v>0</v>
      </c>
      <c r="K11" s="4" t="s">
        <v>1600</v>
      </c>
      <c r="L11" s="5">
        <v>58</v>
      </c>
      <c r="M11" s="5">
        <v>58</v>
      </c>
      <c r="N11" s="5"/>
      <c r="O11" s="5"/>
      <c r="P11" s="5" t="s">
        <v>1708</v>
      </c>
      <c r="Q11" s="5"/>
      <c r="R11" s="5" t="s">
        <v>1709</v>
      </c>
      <c r="S11" s="5"/>
      <c r="T11" s="5"/>
      <c r="U11" s="5"/>
      <c r="V11" s="5"/>
      <c r="W11" s="5" t="s">
        <v>1619</v>
      </c>
      <c r="X11" s="14" t="s">
        <v>69</v>
      </c>
      <c r="AE11" t="s">
        <v>243</v>
      </c>
      <c r="AF11" t="s">
        <v>52</v>
      </c>
      <c r="AG11" t="s">
        <v>3</v>
      </c>
    </row>
    <row r="12" spans="1:33" ht="14" x14ac:dyDescent="0.15">
      <c r="A12" s="4" t="s">
        <v>262</v>
      </c>
      <c r="B12" s="4" t="s">
        <v>49</v>
      </c>
      <c r="C12" s="4" t="s">
        <v>263</v>
      </c>
      <c r="D12" s="6">
        <v>75</v>
      </c>
      <c r="E12" s="6">
        <v>1.8</v>
      </c>
      <c r="F12" s="4" t="s">
        <v>1707</v>
      </c>
      <c r="G12" s="4" t="s">
        <v>1599</v>
      </c>
      <c r="H12" s="4" t="b">
        <v>0</v>
      </c>
      <c r="I12" s="4"/>
      <c r="J12" s="4" t="b">
        <v>0</v>
      </c>
      <c r="K12" s="4" t="s">
        <v>1600</v>
      </c>
      <c r="L12" s="5">
        <v>75</v>
      </c>
      <c r="M12" s="5">
        <v>75</v>
      </c>
      <c r="N12" s="5"/>
      <c r="O12" s="5"/>
      <c r="P12" s="5" t="s">
        <v>1708</v>
      </c>
      <c r="Q12" s="5"/>
      <c r="R12" s="5" t="s">
        <v>1709</v>
      </c>
      <c r="S12" s="5"/>
      <c r="T12" s="5"/>
      <c r="U12" s="5"/>
      <c r="V12" s="5"/>
      <c r="W12" s="5" t="s">
        <v>1619</v>
      </c>
      <c r="X12" s="14" t="s">
        <v>69</v>
      </c>
      <c r="AE12" t="s">
        <v>243</v>
      </c>
      <c r="AF12" t="s">
        <v>52</v>
      </c>
      <c r="AG12" t="s">
        <v>3</v>
      </c>
    </row>
    <row r="13" spans="1:33" ht="14" x14ac:dyDescent="0.15">
      <c r="A13" s="4" t="s">
        <v>264</v>
      </c>
      <c r="B13" s="4" t="s">
        <v>49</v>
      </c>
      <c r="C13" s="4" t="s">
        <v>265</v>
      </c>
      <c r="D13" s="6">
        <v>95</v>
      </c>
      <c r="E13" s="6">
        <v>1.8</v>
      </c>
      <c r="F13" s="4" t="s">
        <v>1707</v>
      </c>
      <c r="G13" s="4" t="s">
        <v>1599</v>
      </c>
      <c r="H13" s="4" t="b">
        <v>0</v>
      </c>
      <c r="I13" s="4"/>
      <c r="J13" s="4" t="b">
        <v>0</v>
      </c>
      <c r="K13" s="4" t="s">
        <v>1600</v>
      </c>
      <c r="L13" s="5">
        <v>95</v>
      </c>
      <c r="M13" s="5">
        <v>95</v>
      </c>
      <c r="N13" s="5"/>
      <c r="O13" s="5"/>
      <c r="P13" s="5" t="s">
        <v>1708</v>
      </c>
      <c r="Q13" s="5"/>
      <c r="R13" s="5" t="s">
        <v>1709</v>
      </c>
      <c r="S13" s="5"/>
      <c r="T13" s="5"/>
      <c r="U13" s="5"/>
      <c r="V13" s="5"/>
      <c r="W13" s="5" t="s">
        <v>1619</v>
      </c>
      <c r="X13" s="14" t="s">
        <v>69</v>
      </c>
      <c r="AE13" t="s">
        <v>243</v>
      </c>
      <c r="AF13" t="s">
        <v>52</v>
      </c>
      <c r="AG13" t="s">
        <v>3</v>
      </c>
    </row>
    <row r="14" spans="1:33" ht="14" x14ac:dyDescent="0.15">
      <c r="A14" s="4" t="s">
        <v>266</v>
      </c>
      <c r="B14" s="4" t="s">
        <v>49</v>
      </c>
      <c r="C14" s="4" t="s">
        <v>267</v>
      </c>
      <c r="D14" s="6">
        <v>125</v>
      </c>
      <c r="E14" s="6">
        <v>1.8</v>
      </c>
      <c r="F14" s="4" t="s">
        <v>1707</v>
      </c>
      <c r="G14" s="4" t="s">
        <v>1599</v>
      </c>
      <c r="H14" s="4" t="b">
        <v>0</v>
      </c>
      <c r="I14" s="4"/>
      <c r="J14" s="4" t="b">
        <v>0</v>
      </c>
      <c r="K14" s="4" t="s">
        <v>1600</v>
      </c>
      <c r="L14" s="5">
        <v>125</v>
      </c>
      <c r="M14" s="5">
        <v>125</v>
      </c>
      <c r="N14" s="5"/>
      <c r="O14" s="5"/>
      <c r="P14" s="5" t="s">
        <v>1708</v>
      </c>
      <c r="Q14" s="5"/>
      <c r="R14" s="5" t="s">
        <v>1709</v>
      </c>
      <c r="S14" s="5"/>
      <c r="T14" s="5"/>
      <c r="U14" s="5"/>
      <c r="V14" s="5"/>
      <c r="W14" s="5" t="s">
        <v>1619</v>
      </c>
      <c r="X14" s="14" t="s">
        <v>69</v>
      </c>
      <c r="AE14" t="s">
        <v>243</v>
      </c>
      <c r="AF14" t="s">
        <v>52</v>
      </c>
      <c r="AG14" t="s">
        <v>3</v>
      </c>
    </row>
    <row r="15" spans="1:33" ht="14" x14ac:dyDescent="0.15">
      <c r="A15" s="4" t="s">
        <v>268</v>
      </c>
      <c r="B15" s="4" t="s">
        <v>49</v>
      </c>
      <c r="C15" s="4" t="s">
        <v>269</v>
      </c>
      <c r="D15" s="6">
        <v>150</v>
      </c>
      <c r="E15" s="6">
        <v>1.8</v>
      </c>
      <c r="F15" s="4" t="s">
        <v>1707</v>
      </c>
      <c r="G15" s="4" t="s">
        <v>1599</v>
      </c>
      <c r="H15" s="4" t="b">
        <v>0</v>
      </c>
      <c r="I15" s="4" t="s">
        <v>1710</v>
      </c>
      <c r="J15" s="4" t="b">
        <v>0</v>
      </c>
      <c r="K15" s="4" t="s">
        <v>1600</v>
      </c>
      <c r="L15" s="5">
        <v>150</v>
      </c>
      <c r="M15" s="5">
        <v>150</v>
      </c>
      <c r="N15" s="5"/>
      <c r="O15" s="5"/>
      <c r="P15" s="5" t="s">
        <v>1708</v>
      </c>
      <c r="Q15" s="5"/>
      <c r="R15" s="5" t="s">
        <v>1709</v>
      </c>
      <c r="S15" s="5"/>
      <c r="T15" s="5"/>
      <c r="U15" s="5"/>
      <c r="V15" s="5"/>
      <c r="W15" s="5" t="s">
        <v>1619</v>
      </c>
      <c r="X15" s="14" t="s">
        <v>69</v>
      </c>
      <c r="AE15" t="s">
        <v>243</v>
      </c>
      <c r="AF15" t="s">
        <v>52</v>
      </c>
      <c r="AG15" t="s">
        <v>3</v>
      </c>
    </row>
    <row r="16" spans="1:33" ht="14" x14ac:dyDescent="0.15">
      <c r="A16" s="4" t="s">
        <v>270</v>
      </c>
      <c r="B16" s="4" t="s">
        <v>49</v>
      </c>
      <c r="C16" s="4" t="s">
        <v>271</v>
      </c>
      <c r="D16" s="6">
        <v>200</v>
      </c>
      <c r="E16" s="6">
        <v>2.5</v>
      </c>
      <c r="F16" s="4" t="s">
        <v>1707</v>
      </c>
      <c r="G16" s="4" t="s">
        <v>1599</v>
      </c>
      <c r="H16" s="4" t="b">
        <v>0</v>
      </c>
      <c r="I16" s="4" t="s">
        <v>1710</v>
      </c>
      <c r="J16" s="4" t="b">
        <v>0</v>
      </c>
      <c r="K16" s="4" t="s">
        <v>1600</v>
      </c>
      <c r="L16" s="5">
        <v>200</v>
      </c>
      <c r="M16" s="5">
        <v>200</v>
      </c>
      <c r="N16" s="5"/>
      <c r="O16" s="5"/>
      <c r="P16" s="5" t="s">
        <v>1708</v>
      </c>
      <c r="Q16" s="5"/>
      <c r="R16" s="5" t="s">
        <v>1709</v>
      </c>
      <c r="S16" s="5"/>
      <c r="T16" s="5"/>
      <c r="U16" s="5"/>
      <c r="V16" s="5"/>
      <c r="W16" s="5" t="s">
        <v>1619</v>
      </c>
      <c r="X16" s="14" t="s">
        <v>69</v>
      </c>
      <c r="AE16" t="s">
        <v>243</v>
      </c>
      <c r="AF16" t="s">
        <v>52</v>
      </c>
      <c r="AG16" t="s">
        <v>3</v>
      </c>
    </row>
    <row r="17" spans="1:33" ht="28" x14ac:dyDescent="0.15">
      <c r="A17" s="4" t="s">
        <v>272</v>
      </c>
      <c r="B17" s="4" t="s">
        <v>49</v>
      </c>
      <c r="C17" s="4" t="s">
        <v>273</v>
      </c>
      <c r="D17" s="6">
        <v>8</v>
      </c>
      <c r="E17" s="6">
        <v>1.9</v>
      </c>
      <c r="F17" s="4" t="s">
        <v>1711</v>
      </c>
      <c r="G17" s="4" t="s">
        <v>1618</v>
      </c>
      <c r="H17" s="4" t="b">
        <v>0</v>
      </c>
      <c r="I17" s="4"/>
      <c r="J17" s="4" t="b">
        <v>0</v>
      </c>
      <c r="K17" s="4" t="s">
        <v>1600</v>
      </c>
      <c r="L17" s="5">
        <v>8</v>
      </c>
      <c r="M17" s="5">
        <v>8</v>
      </c>
      <c r="N17" s="5">
        <v>32.5</v>
      </c>
      <c r="O17" s="5">
        <v>0.3</v>
      </c>
      <c r="P17" s="5" t="s">
        <v>1708</v>
      </c>
      <c r="Q17" s="5"/>
      <c r="R17" s="5" t="s">
        <v>1709</v>
      </c>
      <c r="S17" s="5">
        <v>134</v>
      </c>
      <c r="T17" s="5"/>
      <c r="U17" s="5">
        <v>2000</v>
      </c>
      <c r="V17" s="5" t="s">
        <v>1712</v>
      </c>
      <c r="W17" s="5" t="s">
        <v>1713</v>
      </c>
      <c r="X17" s="14" t="s">
        <v>69</v>
      </c>
      <c r="AE17" t="s">
        <v>243</v>
      </c>
      <c r="AF17" t="s">
        <v>52</v>
      </c>
      <c r="AG17" t="s">
        <v>3</v>
      </c>
    </row>
    <row r="18" spans="1:33" ht="14" x14ac:dyDescent="0.15">
      <c r="A18" s="4" t="s">
        <v>274</v>
      </c>
      <c r="B18" s="4" t="s">
        <v>49</v>
      </c>
      <c r="C18" s="4" t="s">
        <v>275</v>
      </c>
      <c r="D18" s="6">
        <v>10</v>
      </c>
      <c r="E18" s="6">
        <v>1.9</v>
      </c>
      <c r="F18" s="4" t="s">
        <v>1711</v>
      </c>
      <c r="G18" s="4" t="s">
        <v>1618</v>
      </c>
      <c r="H18" s="4" t="b">
        <v>0</v>
      </c>
      <c r="I18" s="4"/>
      <c r="J18" s="4" t="b">
        <v>0</v>
      </c>
      <c r="K18" s="4" t="s">
        <v>1600</v>
      </c>
      <c r="L18" s="5">
        <v>10</v>
      </c>
      <c r="M18" s="5">
        <v>10</v>
      </c>
      <c r="N18" s="5"/>
      <c r="O18" s="5"/>
      <c r="P18" s="5" t="s">
        <v>1708</v>
      </c>
      <c r="Q18" s="5"/>
      <c r="R18" s="5" t="s">
        <v>1709</v>
      </c>
      <c r="S18" s="5"/>
      <c r="T18" s="5"/>
      <c r="U18" s="5"/>
      <c r="V18" s="5"/>
      <c r="W18" s="5" t="s">
        <v>1619</v>
      </c>
      <c r="X18" s="14" t="s">
        <v>69</v>
      </c>
      <c r="AE18" t="s">
        <v>243</v>
      </c>
      <c r="AF18" t="s">
        <v>52</v>
      </c>
      <c r="AG18" t="s">
        <v>3</v>
      </c>
    </row>
    <row r="19" spans="1:33" ht="28" x14ac:dyDescent="0.15">
      <c r="A19" s="4" t="s">
        <v>276</v>
      </c>
      <c r="B19" s="4" t="s">
        <v>49</v>
      </c>
      <c r="C19" s="4" t="s">
        <v>277</v>
      </c>
      <c r="D19" s="6">
        <v>12</v>
      </c>
      <c r="E19" s="6">
        <v>1.9</v>
      </c>
      <c r="F19" s="4" t="s">
        <v>1711</v>
      </c>
      <c r="G19" s="4" t="s">
        <v>1618</v>
      </c>
      <c r="H19" s="4" t="b">
        <v>0</v>
      </c>
      <c r="I19" s="4"/>
      <c r="J19" s="4" t="b">
        <v>0</v>
      </c>
      <c r="K19" s="4" t="s">
        <v>1600</v>
      </c>
      <c r="L19" s="5">
        <v>12</v>
      </c>
      <c r="M19" s="5">
        <v>12</v>
      </c>
      <c r="N19" s="5">
        <v>31</v>
      </c>
      <c r="O19" s="5">
        <v>0.3</v>
      </c>
      <c r="P19" s="5" t="s">
        <v>1708</v>
      </c>
      <c r="Q19" s="5"/>
      <c r="R19" s="5" t="s">
        <v>1709</v>
      </c>
      <c r="S19" s="5">
        <v>156</v>
      </c>
      <c r="T19" s="5"/>
      <c r="U19" s="5">
        <v>1990</v>
      </c>
      <c r="V19" s="5" t="s">
        <v>1712</v>
      </c>
      <c r="W19" s="5" t="s">
        <v>1713</v>
      </c>
      <c r="X19" s="14" t="s">
        <v>69</v>
      </c>
      <c r="AE19" t="s">
        <v>243</v>
      </c>
      <c r="AF19" t="s">
        <v>52</v>
      </c>
      <c r="AG19" t="s">
        <v>3</v>
      </c>
    </row>
    <row r="20" spans="1:33" ht="28" x14ac:dyDescent="0.15">
      <c r="A20" s="4" t="s">
        <v>278</v>
      </c>
      <c r="B20" s="4" t="s">
        <v>49</v>
      </c>
      <c r="C20" s="4" t="s">
        <v>279</v>
      </c>
      <c r="D20" s="6">
        <v>14</v>
      </c>
      <c r="E20" s="6">
        <v>1.9</v>
      </c>
      <c r="F20" s="4" t="s">
        <v>1711</v>
      </c>
      <c r="G20" s="4" t="s">
        <v>1618</v>
      </c>
      <c r="H20" s="4" t="b">
        <v>0</v>
      </c>
      <c r="I20" s="4"/>
      <c r="J20" s="4" t="b">
        <v>0</v>
      </c>
      <c r="K20" s="4" t="s">
        <v>1600</v>
      </c>
      <c r="L20" s="5">
        <v>14</v>
      </c>
      <c r="M20" s="5">
        <v>14</v>
      </c>
      <c r="N20" s="5">
        <v>31.5</v>
      </c>
      <c r="O20" s="5">
        <v>0.23</v>
      </c>
      <c r="P20" s="5" t="s">
        <v>1708</v>
      </c>
      <c r="Q20" s="5"/>
      <c r="R20" s="5" t="s">
        <v>1709</v>
      </c>
      <c r="S20" s="5">
        <v>114</v>
      </c>
      <c r="T20" s="5"/>
      <c r="U20" s="5">
        <v>1800</v>
      </c>
      <c r="V20" s="5" t="s">
        <v>1712</v>
      </c>
      <c r="W20" s="5" t="s">
        <v>1713</v>
      </c>
      <c r="X20" s="14" t="s">
        <v>69</v>
      </c>
      <c r="AE20" t="s">
        <v>243</v>
      </c>
      <c r="AF20" t="s">
        <v>52</v>
      </c>
      <c r="AG20" t="s">
        <v>3</v>
      </c>
    </row>
    <row r="21" spans="1:33" ht="28" x14ac:dyDescent="0.15">
      <c r="A21" s="4" t="s">
        <v>280</v>
      </c>
      <c r="B21" s="4" t="s">
        <v>49</v>
      </c>
      <c r="C21" s="4" t="s">
        <v>281</v>
      </c>
      <c r="D21" s="6">
        <v>16</v>
      </c>
      <c r="E21" s="6">
        <v>1.9</v>
      </c>
      <c r="F21" s="4" t="s">
        <v>1711</v>
      </c>
      <c r="G21" s="4" t="s">
        <v>1618</v>
      </c>
      <c r="H21" s="4" t="b">
        <v>0</v>
      </c>
      <c r="I21" s="4"/>
      <c r="J21" s="4" t="b">
        <v>0</v>
      </c>
      <c r="K21" s="4" t="s">
        <v>1600</v>
      </c>
      <c r="L21" s="5">
        <v>16</v>
      </c>
      <c r="M21" s="5">
        <v>16</v>
      </c>
      <c r="N21" s="5">
        <v>33</v>
      </c>
      <c r="O21" s="5">
        <v>0.23</v>
      </c>
      <c r="P21" s="5" t="s">
        <v>1708</v>
      </c>
      <c r="Q21" s="5"/>
      <c r="R21" s="5" t="s">
        <v>1709</v>
      </c>
      <c r="S21" s="5">
        <v>95</v>
      </c>
      <c r="T21" s="5"/>
      <c r="U21" s="5">
        <v>1200</v>
      </c>
      <c r="V21" s="5" t="s">
        <v>1712</v>
      </c>
      <c r="W21" s="5" t="s">
        <v>1713</v>
      </c>
      <c r="X21" s="14" t="s">
        <v>69</v>
      </c>
      <c r="AE21" t="s">
        <v>243</v>
      </c>
      <c r="AF21" t="s">
        <v>52</v>
      </c>
      <c r="AG21" t="s">
        <v>3</v>
      </c>
    </row>
    <row r="22" spans="1:33" ht="28" x14ac:dyDescent="0.15">
      <c r="A22" s="4" t="s">
        <v>282</v>
      </c>
      <c r="B22" s="4" t="s">
        <v>49</v>
      </c>
      <c r="C22" s="4" t="s">
        <v>283</v>
      </c>
      <c r="D22" s="6">
        <v>20</v>
      </c>
      <c r="E22" s="6">
        <v>1.9</v>
      </c>
      <c r="F22" s="4" t="s">
        <v>1711</v>
      </c>
      <c r="G22" s="4" t="s">
        <v>1618</v>
      </c>
      <c r="H22" s="4" t="b">
        <v>0</v>
      </c>
      <c r="I22" s="4"/>
      <c r="J22" s="4" t="b">
        <v>0</v>
      </c>
      <c r="K22" s="4" t="s">
        <v>1600</v>
      </c>
      <c r="L22" s="5">
        <v>20</v>
      </c>
      <c r="M22" s="5">
        <v>20</v>
      </c>
      <c r="N22" s="5">
        <v>38</v>
      </c>
      <c r="O22" s="5">
        <v>0.3</v>
      </c>
      <c r="P22" s="5" t="s">
        <v>1708</v>
      </c>
      <c r="Q22" s="5"/>
      <c r="R22" s="5" t="s">
        <v>1709</v>
      </c>
      <c r="S22" s="5">
        <v>95</v>
      </c>
      <c r="T22" s="5"/>
      <c r="U22" s="5">
        <v>1200</v>
      </c>
      <c r="V22" s="5" t="s">
        <v>1712</v>
      </c>
      <c r="W22" s="5" t="s">
        <v>1713</v>
      </c>
      <c r="X22" s="14" t="s">
        <v>69</v>
      </c>
      <c r="AE22" t="s">
        <v>243</v>
      </c>
      <c r="AF22" t="s">
        <v>52</v>
      </c>
      <c r="AG22" t="s">
        <v>3</v>
      </c>
    </row>
    <row r="23" spans="1:33" ht="28" x14ac:dyDescent="0.15">
      <c r="A23" s="4" t="s">
        <v>284</v>
      </c>
      <c r="B23" s="4" t="s">
        <v>49</v>
      </c>
      <c r="C23" s="4" t="s">
        <v>285</v>
      </c>
      <c r="D23" s="6">
        <v>24</v>
      </c>
      <c r="E23" s="6">
        <v>1.9</v>
      </c>
      <c r="F23" s="4" t="s">
        <v>1711</v>
      </c>
      <c r="G23" s="4" t="s">
        <v>1618</v>
      </c>
      <c r="H23" s="4" t="b">
        <v>0</v>
      </c>
      <c r="I23" s="4"/>
      <c r="J23" s="4" t="b">
        <v>0</v>
      </c>
      <c r="K23" s="4" t="s">
        <v>1600</v>
      </c>
      <c r="L23" s="5">
        <v>24</v>
      </c>
      <c r="M23" s="5">
        <v>24</v>
      </c>
      <c r="N23" s="5">
        <v>38</v>
      </c>
      <c r="O23" s="5">
        <v>0.3</v>
      </c>
      <c r="P23" s="5" t="s">
        <v>1708</v>
      </c>
      <c r="Q23" s="5"/>
      <c r="R23" s="5" t="s">
        <v>1709</v>
      </c>
      <c r="S23" s="5">
        <v>95</v>
      </c>
      <c r="T23" s="5"/>
      <c r="U23" s="5">
        <v>1000</v>
      </c>
      <c r="V23" s="5" t="s">
        <v>1712</v>
      </c>
      <c r="W23" s="5" t="s">
        <v>1713</v>
      </c>
      <c r="X23" s="14" t="s">
        <v>69</v>
      </c>
      <c r="AE23" t="s">
        <v>243</v>
      </c>
      <c r="AF23" t="s">
        <v>52</v>
      </c>
      <c r="AG23" t="s">
        <v>3</v>
      </c>
    </row>
    <row r="24" spans="1:33" ht="28" x14ac:dyDescent="0.15">
      <c r="A24" s="4" t="s">
        <v>286</v>
      </c>
      <c r="B24" s="4" t="s">
        <v>49</v>
      </c>
      <c r="C24" s="4" t="s">
        <v>287</v>
      </c>
      <c r="D24" s="6">
        <v>32</v>
      </c>
      <c r="E24" s="6">
        <v>1.9</v>
      </c>
      <c r="F24" s="4" t="s">
        <v>1711</v>
      </c>
      <c r="G24" s="4" t="s">
        <v>1618</v>
      </c>
      <c r="H24" s="4" t="b">
        <v>0</v>
      </c>
      <c r="I24" s="4"/>
      <c r="J24" s="4" t="b">
        <v>0</v>
      </c>
      <c r="K24" s="4" t="s">
        <v>1600</v>
      </c>
      <c r="L24" s="5">
        <v>32</v>
      </c>
      <c r="M24" s="5">
        <v>32</v>
      </c>
      <c r="N24" s="5">
        <v>43</v>
      </c>
      <c r="O24" s="5">
        <v>0.38</v>
      </c>
      <c r="P24" s="5" t="s">
        <v>1708</v>
      </c>
      <c r="Q24" s="5"/>
      <c r="R24" s="5" t="s">
        <v>1709</v>
      </c>
      <c r="S24" s="5">
        <v>95</v>
      </c>
      <c r="T24" s="5"/>
      <c r="U24" s="5">
        <v>1100</v>
      </c>
      <c r="V24" s="5" t="s">
        <v>1712</v>
      </c>
      <c r="W24" s="5" t="s">
        <v>1713</v>
      </c>
      <c r="X24" s="14" t="s">
        <v>69</v>
      </c>
      <c r="AE24" t="s">
        <v>243</v>
      </c>
      <c r="AF24" t="s">
        <v>52</v>
      </c>
      <c r="AG24" t="s">
        <v>3</v>
      </c>
    </row>
    <row r="25" spans="1:33" ht="28" x14ac:dyDescent="0.15">
      <c r="A25" s="4" t="s">
        <v>288</v>
      </c>
      <c r="B25" s="4" t="s">
        <v>49</v>
      </c>
      <c r="C25" s="4" t="s">
        <v>289</v>
      </c>
      <c r="D25" s="6">
        <v>40</v>
      </c>
      <c r="E25" s="6">
        <v>1.9</v>
      </c>
      <c r="F25" s="4" t="s">
        <v>1711</v>
      </c>
      <c r="G25" s="4" t="s">
        <v>1618</v>
      </c>
      <c r="H25" s="4" t="b">
        <v>0</v>
      </c>
      <c r="I25" s="4"/>
      <c r="J25" s="4" t="b">
        <v>0</v>
      </c>
      <c r="K25" s="4" t="s">
        <v>1600</v>
      </c>
      <c r="L25" s="5">
        <v>40</v>
      </c>
      <c r="M25" s="5">
        <v>40</v>
      </c>
      <c r="N25" s="5">
        <v>41</v>
      </c>
      <c r="O25" s="5">
        <v>0.46</v>
      </c>
      <c r="P25" s="5" t="s">
        <v>1708</v>
      </c>
      <c r="Q25" s="5"/>
      <c r="R25" s="5" t="s">
        <v>1709</v>
      </c>
      <c r="S25" s="5">
        <v>95</v>
      </c>
      <c r="T25" s="5"/>
      <c r="U25" s="5">
        <v>1000</v>
      </c>
      <c r="V25" s="5" t="s">
        <v>1712</v>
      </c>
      <c r="W25" s="5" t="s">
        <v>1713</v>
      </c>
      <c r="X25" s="14" t="s">
        <v>69</v>
      </c>
      <c r="AE25" t="s">
        <v>243</v>
      </c>
      <c r="AF25" t="s">
        <v>52</v>
      </c>
      <c r="AG25" t="s">
        <v>3</v>
      </c>
    </row>
    <row r="26" spans="1:33" ht="28" x14ac:dyDescent="0.15">
      <c r="A26" s="4" t="s">
        <v>290</v>
      </c>
      <c r="B26" s="4" t="s">
        <v>49</v>
      </c>
      <c r="C26" s="4" t="s">
        <v>291</v>
      </c>
      <c r="D26" s="6">
        <v>50</v>
      </c>
      <c r="E26" s="6">
        <v>1.9</v>
      </c>
      <c r="F26" s="4" t="s">
        <v>1711</v>
      </c>
      <c r="G26" s="4" t="s">
        <v>1618</v>
      </c>
      <c r="H26" s="4" t="b">
        <v>0</v>
      </c>
      <c r="I26" s="4"/>
      <c r="J26" s="4" t="b">
        <v>0</v>
      </c>
      <c r="K26" s="4" t="s">
        <v>1600</v>
      </c>
      <c r="L26" s="5">
        <v>50</v>
      </c>
      <c r="M26" s="5">
        <v>50</v>
      </c>
      <c r="N26" s="5">
        <v>40</v>
      </c>
      <c r="O26" s="5">
        <v>0.61</v>
      </c>
      <c r="P26" s="5" t="s">
        <v>1708</v>
      </c>
      <c r="Q26" s="5"/>
      <c r="R26" s="5" t="s">
        <v>1709</v>
      </c>
      <c r="S26" s="5">
        <v>95</v>
      </c>
      <c r="T26" s="5"/>
      <c r="U26" s="5">
        <v>1000</v>
      </c>
      <c r="V26" s="5" t="s">
        <v>1712</v>
      </c>
      <c r="W26" s="5" t="s">
        <v>1713</v>
      </c>
      <c r="X26" s="14" t="s">
        <v>69</v>
      </c>
      <c r="AE26" t="s">
        <v>243</v>
      </c>
      <c r="AF26" t="s">
        <v>52</v>
      </c>
      <c r="AG26" t="s">
        <v>3</v>
      </c>
    </row>
    <row r="27" spans="1:33" ht="28" x14ac:dyDescent="0.15">
      <c r="A27" s="4" t="s">
        <v>292</v>
      </c>
      <c r="B27" s="4" t="s">
        <v>49</v>
      </c>
      <c r="C27" s="4" t="s">
        <v>293</v>
      </c>
      <c r="D27" s="6">
        <v>65</v>
      </c>
      <c r="E27" s="6">
        <v>1.9</v>
      </c>
      <c r="F27" s="4" t="s">
        <v>1711</v>
      </c>
      <c r="G27" s="4" t="s">
        <v>1618</v>
      </c>
      <c r="H27" s="4" t="b">
        <v>0</v>
      </c>
      <c r="I27" s="4"/>
      <c r="J27" s="4" t="b">
        <v>0</v>
      </c>
      <c r="K27" s="4" t="s">
        <v>1600</v>
      </c>
      <c r="L27" s="5">
        <v>65</v>
      </c>
      <c r="M27" s="5">
        <v>65</v>
      </c>
      <c r="N27" s="5">
        <v>43</v>
      </c>
      <c r="O27" s="5">
        <v>0.69</v>
      </c>
      <c r="P27" s="5" t="s">
        <v>1708</v>
      </c>
      <c r="Q27" s="5"/>
      <c r="R27" s="5" t="s">
        <v>1709</v>
      </c>
      <c r="S27" s="5">
        <v>95</v>
      </c>
      <c r="T27" s="5"/>
      <c r="U27" s="5">
        <v>1120</v>
      </c>
      <c r="V27" s="5" t="s">
        <v>1712</v>
      </c>
      <c r="W27" s="5" t="s">
        <v>1713</v>
      </c>
      <c r="X27" s="14" t="s">
        <v>69</v>
      </c>
      <c r="AE27" t="s">
        <v>243</v>
      </c>
      <c r="AF27" t="s">
        <v>52</v>
      </c>
      <c r="AG27" t="s">
        <v>3</v>
      </c>
    </row>
    <row r="28" spans="1:33" ht="28" x14ac:dyDescent="0.15">
      <c r="A28" s="4" t="s">
        <v>294</v>
      </c>
      <c r="B28" s="4" t="s">
        <v>49</v>
      </c>
      <c r="C28" s="4" t="s">
        <v>295</v>
      </c>
      <c r="D28" s="6">
        <v>85</v>
      </c>
      <c r="E28" s="6">
        <v>1.9</v>
      </c>
      <c r="F28" s="4" t="s">
        <v>1711</v>
      </c>
      <c r="G28" s="4" t="s">
        <v>1618</v>
      </c>
      <c r="H28" s="4" t="b">
        <v>0</v>
      </c>
      <c r="I28" s="4"/>
      <c r="J28" s="4" t="b">
        <v>0</v>
      </c>
      <c r="K28" s="4" t="s">
        <v>1600</v>
      </c>
      <c r="L28" s="5">
        <v>85</v>
      </c>
      <c r="M28" s="5">
        <v>85</v>
      </c>
      <c r="N28" s="5">
        <v>43</v>
      </c>
      <c r="O28" s="5">
        <v>0.91</v>
      </c>
      <c r="P28" s="5" t="s">
        <v>1708</v>
      </c>
      <c r="Q28" s="5"/>
      <c r="R28" s="5" t="s">
        <v>1709</v>
      </c>
      <c r="S28" s="5">
        <v>95</v>
      </c>
      <c r="T28" s="5"/>
      <c r="U28" s="5">
        <v>1200</v>
      </c>
      <c r="V28" s="5" t="s">
        <v>1712</v>
      </c>
      <c r="W28" s="5" t="s">
        <v>1713</v>
      </c>
      <c r="X28" s="14" t="s">
        <v>69</v>
      </c>
      <c r="AE28" t="s">
        <v>243</v>
      </c>
      <c r="AF28" t="s">
        <v>52</v>
      </c>
      <c r="AG28" t="s">
        <v>3</v>
      </c>
    </row>
    <row r="29" spans="1:33" ht="28" x14ac:dyDescent="0.15">
      <c r="A29" s="4" t="s">
        <v>296</v>
      </c>
      <c r="B29" s="4" t="s">
        <v>49</v>
      </c>
      <c r="C29" s="4" t="s">
        <v>297</v>
      </c>
      <c r="D29" s="6">
        <v>100</v>
      </c>
      <c r="E29" s="6">
        <v>1.9</v>
      </c>
      <c r="F29" s="4" t="s">
        <v>1711</v>
      </c>
      <c r="G29" s="4" t="s">
        <v>1618</v>
      </c>
      <c r="H29" s="4" t="b">
        <v>0</v>
      </c>
      <c r="I29" s="4"/>
      <c r="J29" s="4" t="b">
        <v>0</v>
      </c>
      <c r="K29" s="4" t="s">
        <v>1600</v>
      </c>
      <c r="L29" s="5">
        <v>100</v>
      </c>
      <c r="M29" s="5">
        <v>100</v>
      </c>
      <c r="N29" s="5">
        <v>43</v>
      </c>
      <c r="O29" s="5">
        <v>0.91</v>
      </c>
      <c r="P29" s="5" t="s">
        <v>1708</v>
      </c>
      <c r="Q29" s="5"/>
      <c r="R29" s="5" t="s">
        <v>1709</v>
      </c>
      <c r="S29" s="5">
        <v>95</v>
      </c>
      <c r="T29" s="5"/>
      <c r="U29" s="5">
        <v>1200</v>
      </c>
      <c r="V29" s="5" t="s">
        <v>1712</v>
      </c>
      <c r="W29" s="5" t="s">
        <v>1713</v>
      </c>
      <c r="X29" s="14" t="s">
        <v>69</v>
      </c>
      <c r="AE29" t="s">
        <v>243</v>
      </c>
      <c r="AF29" t="s">
        <v>52</v>
      </c>
      <c r="AG29" t="s">
        <v>3</v>
      </c>
    </row>
    <row r="30" spans="1:33" ht="28" x14ac:dyDescent="0.15">
      <c r="A30" s="4" t="s">
        <v>298</v>
      </c>
      <c r="B30" s="4" t="s">
        <v>49</v>
      </c>
      <c r="C30" s="4" t="s">
        <v>299</v>
      </c>
      <c r="D30" s="6">
        <v>135</v>
      </c>
      <c r="E30" s="6">
        <v>1.9</v>
      </c>
      <c r="F30" s="4" t="s">
        <v>1711</v>
      </c>
      <c r="G30" s="4" t="s">
        <v>1618</v>
      </c>
      <c r="H30" s="4" t="b">
        <v>0</v>
      </c>
      <c r="I30" s="4"/>
      <c r="J30" s="4" t="b">
        <v>0</v>
      </c>
      <c r="K30" s="4" t="s">
        <v>1600</v>
      </c>
      <c r="L30" s="5">
        <v>135</v>
      </c>
      <c r="M30" s="5">
        <v>135</v>
      </c>
      <c r="N30" s="5">
        <v>43</v>
      </c>
      <c r="O30" s="5">
        <v>1.52</v>
      </c>
      <c r="P30" s="5" t="s">
        <v>1708</v>
      </c>
      <c r="Q30" s="5"/>
      <c r="R30" s="5" t="s">
        <v>1709</v>
      </c>
      <c r="S30" s="5">
        <v>95</v>
      </c>
      <c r="T30" s="5"/>
      <c r="U30" s="5">
        <v>1600</v>
      </c>
      <c r="V30" s="5" t="s">
        <v>1712</v>
      </c>
      <c r="W30" s="5" t="s">
        <v>1713</v>
      </c>
      <c r="X30" s="14" t="s">
        <v>69</v>
      </c>
      <c r="AE30" t="s">
        <v>243</v>
      </c>
      <c r="AF30" t="s">
        <v>52</v>
      </c>
      <c r="AG30" t="s">
        <v>3</v>
      </c>
    </row>
    <row r="31" spans="1:33" ht="28" x14ac:dyDescent="0.15">
      <c r="A31" s="4" t="s">
        <v>300</v>
      </c>
      <c r="B31" s="4" t="s">
        <v>49</v>
      </c>
      <c r="C31" s="4" t="s">
        <v>301</v>
      </c>
      <c r="D31" s="6">
        <v>180</v>
      </c>
      <c r="E31" s="6">
        <v>1.9</v>
      </c>
      <c r="F31" s="4" t="s">
        <v>1711</v>
      </c>
      <c r="G31" s="4" t="s">
        <v>1618</v>
      </c>
      <c r="H31" s="4" t="b">
        <v>0</v>
      </c>
      <c r="I31" s="4"/>
      <c r="J31" s="4" t="b">
        <v>0</v>
      </c>
      <c r="K31" s="4" t="s">
        <v>1600</v>
      </c>
      <c r="L31" s="5">
        <v>180</v>
      </c>
      <c r="M31" s="5">
        <v>180</v>
      </c>
      <c r="N31" s="5">
        <v>43</v>
      </c>
      <c r="O31" s="5">
        <v>2.59</v>
      </c>
      <c r="P31" s="5" t="s">
        <v>1708</v>
      </c>
      <c r="Q31" s="5"/>
      <c r="R31" s="5" t="s">
        <v>1709</v>
      </c>
      <c r="S31" s="5">
        <v>114</v>
      </c>
      <c r="T31" s="5"/>
      <c r="U31" s="5">
        <v>2600</v>
      </c>
      <c r="V31" s="5" t="s">
        <v>1712</v>
      </c>
      <c r="W31" s="5" t="s">
        <v>1713</v>
      </c>
      <c r="X31" s="14" t="s">
        <v>69</v>
      </c>
      <c r="AE31" t="s">
        <v>243</v>
      </c>
      <c r="AF31" t="s">
        <v>52</v>
      </c>
      <c r="AG31" t="s">
        <v>3</v>
      </c>
    </row>
    <row r="32" spans="1:33" ht="14" x14ac:dyDescent="0.15">
      <c r="A32" s="4" t="s">
        <v>302</v>
      </c>
      <c r="B32" s="4" t="s">
        <v>49</v>
      </c>
      <c r="C32" s="4" t="s">
        <v>303</v>
      </c>
      <c r="D32" s="6">
        <v>200</v>
      </c>
      <c r="E32" s="6">
        <v>1.9</v>
      </c>
      <c r="F32" s="4" t="s">
        <v>1711</v>
      </c>
      <c r="G32" s="4" t="s">
        <v>1618</v>
      </c>
      <c r="H32" s="4" t="b">
        <v>0</v>
      </c>
      <c r="I32" s="4"/>
      <c r="J32" s="4" t="b">
        <v>0</v>
      </c>
      <c r="K32" s="4" t="s">
        <v>1600</v>
      </c>
      <c r="L32" s="5">
        <v>200</v>
      </c>
      <c r="M32" s="5">
        <v>200</v>
      </c>
      <c r="N32" s="5"/>
      <c r="O32" s="5"/>
      <c r="P32" s="5" t="s">
        <v>1708</v>
      </c>
      <c r="Q32" s="5"/>
      <c r="R32" s="5" t="s">
        <v>1709</v>
      </c>
      <c r="S32" s="5"/>
      <c r="T32" s="5"/>
      <c r="U32" s="5"/>
      <c r="V32" s="5"/>
      <c r="W32" s="5" t="s">
        <v>1619</v>
      </c>
      <c r="X32" s="14" t="s">
        <v>69</v>
      </c>
      <c r="AE32" t="s">
        <v>243</v>
      </c>
      <c r="AF32" t="s">
        <v>52</v>
      </c>
      <c r="AG32" t="s">
        <v>3</v>
      </c>
    </row>
    <row r="33" spans="1:33" ht="14" x14ac:dyDescent="0.15">
      <c r="A33" s="4" t="s">
        <v>304</v>
      </c>
      <c r="B33" s="4" t="s">
        <v>49</v>
      </c>
      <c r="C33" s="4" t="s">
        <v>305</v>
      </c>
      <c r="D33" s="6">
        <v>280</v>
      </c>
      <c r="E33" s="6">
        <v>2.8</v>
      </c>
      <c r="F33" s="4" t="s">
        <v>1707</v>
      </c>
      <c r="G33" s="4" t="s">
        <v>1618</v>
      </c>
      <c r="H33" s="4" t="b">
        <v>0</v>
      </c>
      <c r="I33" s="4" t="s">
        <v>1710</v>
      </c>
      <c r="J33" s="4" t="b">
        <v>0</v>
      </c>
      <c r="K33" s="4" t="s">
        <v>1600</v>
      </c>
      <c r="L33" s="5">
        <v>280</v>
      </c>
      <c r="M33" s="5">
        <v>280</v>
      </c>
      <c r="N33" s="5"/>
      <c r="O33" s="5"/>
      <c r="P33" s="5" t="s">
        <v>1708</v>
      </c>
      <c r="Q33" s="5"/>
      <c r="R33" s="5" t="s">
        <v>1709</v>
      </c>
      <c r="S33" s="5"/>
      <c r="T33" s="5"/>
      <c r="U33" s="5"/>
      <c r="V33" s="5"/>
      <c r="W33" s="5" t="s">
        <v>1619</v>
      </c>
      <c r="X33" s="14" t="s">
        <v>69</v>
      </c>
      <c r="AE33" t="s">
        <v>243</v>
      </c>
      <c r="AF33" t="s">
        <v>52</v>
      </c>
      <c r="AG33" t="s">
        <v>3</v>
      </c>
    </row>
    <row r="34" spans="1:33" ht="14" x14ac:dyDescent="0.15">
      <c r="A34" s="4" t="s">
        <v>306</v>
      </c>
      <c r="B34" s="4" t="s">
        <v>307</v>
      </c>
      <c r="C34" s="4" t="s">
        <v>308</v>
      </c>
      <c r="D34" s="6">
        <v>18</v>
      </c>
      <c r="E34" s="6">
        <v>2.8</v>
      </c>
      <c r="F34" s="4" t="s">
        <v>1711</v>
      </c>
      <c r="G34" s="4" t="s">
        <v>1618</v>
      </c>
      <c r="H34" s="4" t="b">
        <v>0</v>
      </c>
      <c r="I34" s="4"/>
      <c r="J34" s="4" t="b">
        <v>0</v>
      </c>
      <c r="K34" s="4" t="s">
        <v>1600</v>
      </c>
      <c r="L34" s="5">
        <v>18</v>
      </c>
      <c r="M34" s="5">
        <v>18</v>
      </c>
      <c r="N34" s="5"/>
      <c r="O34" s="5"/>
      <c r="P34" s="5" t="s">
        <v>1708</v>
      </c>
      <c r="Q34" s="5"/>
      <c r="R34" s="5" t="s">
        <v>1709</v>
      </c>
      <c r="S34" s="5"/>
      <c r="T34" s="5"/>
      <c r="U34" s="5"/>
      <c r="V34" s="5"/>
      <c r="W34" s="5" t="s">
        <v>1619</v>
      </c>
      <c r="X34" s="14" t="s">
        <v>69</v>
      </c>
      <c r="AE34" t="s">
        <v>243</v>
      </c>
      <c r="AF34" t="s">
        <v>52</v>
      </c>
      <c r="AG34" t="s">
        <v>3</v>
      </c>
    </row>
    <row r="35" spans="1:33" ht="14" x14ac:dyDescent="0.15">
      <c r="A35" s="4" t="s">
        <v>309</v>
      </c>
      <c r="B35" s="4" t="s">
        <v>307</v>
      </c>
      <c r="C35" s="4" t="s">
        <v>310</v>
      </c>
      <c r="D35" s="6">
        <v>25</v>
      </c>
      <c r="E35" s="6">
        <v>2.8</v>
      </c>
      <c r="F35" s="4" t="s">
        <v>1711</v>
      </c>
      <c r="G35" s="4" t="s">
        <v>1618</v>
      </c>
      <c r="H35" s="4" t="b">
        <v>0</v>
      </c>
      <c r="I35" s="4"/>
      <c r="J35" s="4" t="b">
        <v>0</v>
      </c>
      <c r="K35" s="4" t="s">
        <v>1600</v>
      </c>
      <c r="L35" s="5">
        <v>25</v>
      </c>
      <c r="M35" s="5">
        <v>25</v>
      </c>
      <c r="N35" s="5"/>
      <c r="O35" s="5"/>
      <c r="P35" s="5" t="s">
        <v>1708</v>
      </c>
      <c r="Q35" s="5"/>
      <c r="R35" s="5" t="s">
        <v>1709</v>
      </c>
      <c r="S35" s="5"/>
      <c r="T35" s="5"/>
      <c r="U35" s="5"/>
      <c r="V35" s="5"/>
      <c r="W35" s="5" t="s">
        <v>1619</v>
      </c>
      <c r="X35" s="14" t="s">
        <v>69</v>
      </c>
      <c r="AE35" t="s">
        <v>243</v>
      </c>
      <c r="AF35" t="s">
        <v>52</v>
      </c>
      <c r="AG35" t="s">
        <v>3</v>
      </c>
    </row>
    <row r="36" spans="1:33" ht="14" x14ac:dyDescent="0.15">
      <c r="A36" s="4" t="s">
        <v>311</v>
      </c>
      <c r="B36" s="4" t="s">
        <v>307</v>
      </c>
      <c r="C36" s="4" t="s">
        <v>312</v>
      </c>
      <c r="D36" s="6">
        <v>35</v>
      </c>
      <c r="E36" s="6">
        <v>2.8</v>
      </c>
      <c r="F36" s="4" t="s">
        <v>1711</v>
      </c>
      <c r="G36" s="4" t="s">
        <v>1618</v>
      </c>
      <c r="H36" s="4" t="b">
        <v>0</v>
      </c>
      <c r="I36" s="4"/>
      <c r="J36" s="4" t="b">
        <v>0</v>
      </c>
      <c r="K36" s="4" t="s">
        <v>1600</v>
      </c>
      <c r="L36" s="5">
        <v>35</v>
      </c>
      <c r="M36" s="5">
        <v>35</v>
      </c>
      <c r="N36" s="5"/>
      <c r="O36" s="5"/>
      <c r="P36" s="5" t="s">
        <v>1708</v>
      </c>
      <c r="Q36" s="5"/>
      <c r="R36" s="5" t="s">
        <v>1709</v>
      </c>
      <c r="S36" s="5"/>
      <c r="T36" s="5"/>
      <c r="U36" s="5"/>
      <c r="V36" s="5"/>
      <c r="W36" s="5" t="s">
        <v>1619</v>
      </c>
      <c r="X36" s="14" t="s">
        <v>69</v>
      </c>
      <c r="AE36" t="s">
        <v>243</v>
      </c>
      <c r="AF36" t="s">
        <v>52</v>
      </c>
      <c r="AG36" t="s">
        <v>3</v>
      </c>
    </row>
    <row r="37" spans="1:33" ht="14" x14ac:dyDescent="0.15">
      <c r="A37" s="4" t="s">
        <v>313</v>
      </c>
      <c r="B37" s="4" t="s">
        <v>307</v>
      </c>
      <c r="C37" s="4" t="s">
        <v>314</v>
      </c>
      <c r="D37" s="6">
        <v>50</v>
      </c>
      <c r="E37" s="6">
        <v>2.8</v>
      </c>
      <c r="F37" s="4" t="s">
        <v>1711</v>
      </c>
      <c r="G37" s="4" t="s">
        <v>1618</v>
      </c>
      <c r="H37" s="4" t="b">
        <v>0</v>
      </c>
      <c r="I37" s="4"/>
      <c r="J37" s="4" t="b">
        <v>0</v>
      </c>
      <c r="K37" s="4" t="s">
        <v>1600</v>
      </c>
      <c r="L37" s="5">
        <v>50</v>
      </c>
      <c r="M37" s="5">
        <v>50</v>
      </c>
      <c r="N37" s="5"/>
      <c r="O37" s="5"/>
      <c r="P37" s="5" t="s">
        <v>1708</v>
      </c>
      <c r="Q37" s="5"/>
      <c r="R37" s="5" t="s">
        <v>1709</v>
      </c>
      <c r="S37" s="5"/>
      <c r="T37" s="5"/>
      <c r="U37" s="5"/>
      <c r="V37" s="5"/>
      <c r="W37" s="5" t="s">
        <v>1619</v>
      </c>
      <c r="X37" s="14" t="s">
        <v>69</v>
      </c>
      <c r="AE37" t="s">
        <v>243</v>
      </c>
      <c r="AF37" t="s">
        <v>52</v>
      </c>
      <c r="AG37" t="s">
        <v>3</v>
      </c>
    </row>
    <row r="38" spans="1:33" ht="14" x14ac:dyDescent="0.15">
      <c r="A38" s="4" t="s">
        <v>315</v>
      </c>
      <c r="B38" s="4" t="s">
        <v>307</v>
      </c>
      <c r="C38" s="4" t="s">
        <v>316</v>
      </c>
      <c r="D38" s="6">
        <v>75</v>
      </c>
      <c r="E38" s="6">
        <v>2.8</v>
      </c>
      <c r="F38" s="4" t="s">
        <v>1711</v>
      </c>
      <c r="G38" s="4" t="s">
        <v>1618</v>
      </c>
      <c r="H38" s="4" t="b">
        <v>0</v>
      </c>
      <c r="I38" s="4"/>
      <c r="J38" s="4" t="b">
        <v>0</v>
      </c>
      <c r="K38" s="4" t="s">
        <v>1600</v>
      </c>
      <c r="L38" s="5">
        <v>75</v>
      </c>
      <c r="M38" s="5">
        <v>75</v>
      </c>
      <c r="N38" s="5"/>
      <c r="O38" s="5"/>
      <c r="P38" s="5" t="s">
        <v>1708</v>
      </c>
      <c r="Q38" s="5"/>
      <c r="R38" s="5" t="s">
        <v>1709</v>
      </c>
      <c r="S38" s="5"/>
      <c r="T38" s="5"/>
      <c r="U38" s="5"/>
      <c r="V38" s="5"/>
      <c r="W38" s="5" t="s">
        <v>1619</v>
      </c>
      <c r="X38" s="14" t="s">
        <v>69</v>
      </c>
      <c r="AE38" t="s">
        <v>243</v>
      </c>
      <c r="AF38" t="s">
        <v>52</v>
      </c>
      <c r="AG38" t="s">
        <v>3</v>
      </c>
    </row>
    <row r="39" spans="1:33" ht="14" x14ac:dyDescent="0.15">
      <c r="A39" s="4" t="s">
        <v>317</v>
      </c>
      <c r="B39" s="4" t="s">
        <v>307</v>
      </c>
      <c r="C39" s="4" t="s">
        <v>318</v>
      </c>
      <c r="D39" s="6">
        <v>100</v>
      </c>
      <c r="E39" s="6">
        <v>2.8</v>
      </c>
      <c r="F39" s="4" t="s">
        <v>1711</v>
      </c>
      <c r="G39" s="4" t="s">
        <v>1618</v>
      </c>
      <c r="H39" s="4" t="b">
        <v>0</v>
      </c>
      <c r="I39" s="4"/>
      <c r="J39" s="4" t="b">
        <v>0</v>
      </c>
      <c r="K39" s="4" t="s">
        <v>1600</v>
      </c>
      <c r="L39" s="5">
        <v>100</v>
      </c>
      <c r="M39" s="5">
        <v>100</v>
      </c>
      <c r="N39" s="5"/>
      <c r="O39" s="5"/>
      <c r="P39" s="5" t="s">
        <v>1708</v>
      </c>
      <c r="Q39" s="5"/>
      <c r="R39" s="5" t="s">
        <v>1709</v>
      </c>
      <c r="S39" s="5"/>
      <c r="T39" s="5"/>
      <c r="U39" s="5"/>
      <c r="V39" s="5"/>
      <c r="W39" s="5" t="s">
        <v>1619</v>
      </c>
      <c r="X39" s="14" t="s">
        <v>69</v>
      </c>
      <c r="AE39" t="s">
        <v>243</v>
      </c>
      <c r="AF39" t="s">
        <v>52</v>
      </c>
      <c r="AG39" t="s">
        <v>3</v>
      </c>
    </row>
    <row r="40" spans="1:33" ht="14" x14ac:dyDescent="0.15">
      <c r="A40" s="4" t="s">
        <v>319</v>
      </c>
      <c r="B40" s="4" t="s">
        <v>320</v>
      </c>
      <c r="C40" s="4" t="s">
        <v>321</v>
      </c>
      <c r="D40" s="6">
        <v>0</v>
      </c>
      <c r="E40" s="6">
        <v>2.8</v>
      </c>
      <c r="F40" s="4" t="s">
        <v>1711</v>
      </c>
      <c r="G40" s="4" t="s">
        <v>1618</v>
      </c>
      <c r="H40" s="4" t="b">
        <v>0</v>
      </c>
      <c r="I40" s="4"/>
      <c r="J40" s="4" t="b">
        <v>0</v>
      </c>
      <c r="K40" s="4" t="s">
        <v>1600</v>
      </c>
      <c r="L40" s="5">
        <v>24</v>
      </c>
      <c r="M40" s="5">
        <v>290</v>
      </c>
      <c r="N40" s="5"/>
      <c r="O40" s="5"/>
      <c r="P40" s="5" t="s">
        <v>1708</v>
      </c>
      <c r="Q40" s="5"/>
      <c r="R40" s="5" t="s">
        <v>1709</v>
      </c>
      <c r="S40" s="5"/>
      <c r="T40" s="5"/>
      <c r="U40" s="5"/>
      <c r="V40" s="5"/>
      <c r="W40" s="5" t="s">
        <v>1619</v>
      </c>
      <c r="X40" s="14" t="s">
        <v>69</v>
      </c>
      <c r="AE40" t="s">
        <v>243</v>
      </c>
      <c r="AF40" t="s">
        <v>52</v>
      </c>
      <c r="AG40" t="s">
        <v>3</v>
      </c>
    </row>
    <row r="41" spans="1:33" ht="14" x14ac:dyDescent="0.15">
      <c r="A41" s="4" t="s">
        <v>322</v>
      </c>
      <c r="B41" s="4" t="s">
        <v>320</v>
      </c>
      <c r="C41" s="4" t="s">
        <v>323</v>
      </c>
      <c r="D41" s="6">
        <v>0</v>
      </c>
      <c r="E41" s="6">
        <v>2.8</v>
      </c>
      <c r="F41" s="4" t="s">
        <v>1711</v>
      </c>
      <c r="G41" s="4" t="s">
        <v>1618</v>
      </c>
      <c r="H41" s="4" t="b">
        <v>0</v>
      </c>
      <c r="I41" s="4"/>
      <c r="J41" s="4" t="b">
        <v>0</v>
      </c>
      <c r="K41" s="4" t="s">
        <v>1600</v>
      </c>
      <c r="L41" s="5">
        <v>15</v>
      </c>
      <c r="M41" s="5">
        <v>40</v>
      </c>
      <c r="N41" s="5"/>
      <c r="O41" s="5"/>
      <c r="P41" s="5" t="s">
        <v>1708</v>
      </c>
      <c r="Q41" s="5"/>
      <c r="R41" s="5" t="s">
        <v>1709</v>
      </c>
      <c r="S41" s="5"/>
      <c r="T41" s="5"/>
      <c r="U41" s="5"/>
      <c r="V41" s="5"/>
      <c r="W41" s="5" t="s">
        <v>1619</v>
      </c>
      <c r="X41" s="14" t="s">
        <v>69</v>
      </c>
      <c r="AE41" t="s">
        <v>243</v>
      </c>
      <c r="AF41" t="s">
        <v>52</v>
      </c>
      <c r="AG41" t="s">
        <v>3</v>
      </c>
    </row>
    <row r="42" spans="1:33" ht="14" x14ac:dyDescent="0.15">
      <c r="A42" s="4" t="s">
        <v>324</v>
      </c>
      <c r="B42" s="4" t="s">
        <v>320</v>
      </c>
      <c r="C42" s="4" t="s">
        <v>325</v>
      </c>
      <c r="D42" s="6">
        <v>0</v>
      </c>
      <c r="E42" s="6">
        <v>2.8</v>
      </c>
      <c r="F42" s="4" t="s">
        <v>1711</v>
      </c>
      <c r="G42" s="4" t="s">
        <v>1618</v>
      </c>
      <c r="H42" s="4" t="b">
        <v>0</v>
      </c>
      <c r="I42" s="4"/>
      <c r="J42" s="4" t="b">
        <v>0</v>
      </c>
      <c r="K42" s="4" t="s">
        <v>1600</v>
      </c>
      <c r="L42" s="5">
        <v>28</v>
      </c>
      <c r="M42" s="5">
        <v>340</v>
      </c>
      <c r="N42" s="5"/>
      <c r="O42" s="5"/>
      <c r="P42" s="5" t="s">
        <v>1708</v>
      </c>
      <c r="Q42" s="5"/>
      <c r="R42" s="5" t="s">
        <v>1709</v>
      </c>
      <c r="S42" s="5"/>
      <c r="T42" s="5"/>
      <c r="U42" s="5"/>
      <c r="V42" s="5"/>
      <c r="W42" s="5" t="s">
        <v>1619</v>
      </c>
      <c r="X42" s="14" t="s">
        <v>69</v>
      </c>
      <c r="AE42" t="s">
        <v>243</v>
      </c>
      <c r="AF42" t="s">
        <v>52</v>
      </c>
      <c r="AG42" t="s">
        <v>3</v>
      </c>
    </row>
    <row r="43" spans="1:33" ht="14" x14ac:dyDescent="0.15">
      <c r="A43" s="4" t="s">
        <v>326</v>
      </c>
      <c r="B43" s="4" t="s">
        <v>320</v>
      </c>
      <c r="C43" s="4" t="s">
        <v>327</v>
      </c>
      <c r="D43" s="6">
        <v>0</v>
      </c>
      <c r="E43" s="6">
        <v>2</v>
      </c>
      <c r="F43" s="4" t="s">
        <v>1711</v>
      </c>
      <c r="G43" s="4" t="s">
        <v>1618</v>
      </c>
      <c r="H43" s="4" t="b">
        <v>0</v>
      </c>
      <c r="I43" s="4"/>
      <c r="J43" s="4" t="b">
        <v>0</v>
      </c>
      <c r="K43" s="4" t="s">
        <v>1600</v>
      </c>
      <c r="L43" s="5">
        <v>30</v>
      </c>
      <c r="M43" s="5">
        <v>90</v>
      </c>
      <c r="N43" s="5"/>
      <c r="O43" s="5"/>
      <c r="P43" s="5" t="s">
        <v>1708</v>
      </c>
      <c r="Q43" s="5"/>
      <c r="R43" s="5" t="s">
        <v>1709</v>
      </c>
      <c r="S43" s="5"/>
      <c r="T43" s="5"/>
      <c r="U43" s="5"/>
      <c r="V43" s="5"/>
      <c r="W43" s="5" t="s">
        <v>1619</v>
      </c>
      <c r="X43" s="14" t="s">
        <v>69</v>
      </c>
      <c r="AE43" t="s">
        <v>243</v>
      </c>
      <c r="AF43" t="s">
        <v>52</v>
      </c>
      <c r="AG43" t="s">
        <v>3</v>
      </c>
    </row>
    <row r="44" spans="1:33" ht="14" x14ac:dyDescent="0.15">
      <c r="A44" s="4" t="s">
        <v>328</v>
      </c>
      <c r="B44" s="4" t="s">
        <v>320</v>
      </c>
      <c r="C44" s="4" t="s">
        <v>329</v>
      </c>
      <c r="D44" s="6">
        <v>0</v>
      </c>
      <c r="E44" s="6">
        <v>2</v>
      </c>
      <c r="F44" s="4" t="s">
        <v>1711</v>
      </c>
      <c r="G44" s="4" t="s">
        <v>1618</v>
      </c>
      <c r="H44" s="4" t="b">
        <v>0</v>
      </c>
      <c r="I44" s="4"/>
      <c r="J44" s="4" t="b">
        <v>0</v>
      </c>
      <c r="K44" s="4" t="s">
        <v>1600</v>
      </c>
      <c r="L44" s="5">
        <v>15</v>
      </c>
      <c r="M44" s="5">
        <v>40</v>
      </c>
      <c r="N44" s="5"/>
      <c r="O44" s="5"/>
      <c r="P44" s="5" t="s">
        <v>1708</v>
      </c>
      <c r="Q44" s="5"/>
      <c r="R44" s="5" t="s">
        <v>1709</v>
      </c>
      <c r="S44" s="5"/>
      <c r="T44" s="5"/>
      <c r="U44" s="5"/>
      <c r="V44" s="5"/>
      <c r="W44" s="5" t="s">
        <v>1619</v>
      </c>
      <c r="X44" s="14" t="s">
        <v>69</v>
      </c>
      <c r="AE44" t="s">
        <v>243</v>
      </c>
      <c r="AF44" t="s">
        <v>52</v>
      </c>
      <c r="AG44" t="s">
        <v>3</v>
      </c>
    </row>
    <row r="45" spans="1:33" ht="14" x14ac:dyDescent="0.15">
      <c r="A45" s="4" t="s">
        <v>330</v>
      </c>
      <c r="B45" s="4" t="s">
        <v>320</v>
      </c>
      <c r="C45" s="4" t="s">
        <v>331</v>
      </c>
      <c r="D45" s="6">
        <v>0</v>
      </c>
      <c r="E45" s="6">
        <v>3</v>
      </c>
      <c r="F45" s="4" t="s">
        <v>1711</v>
      </c>
      <c r="G45" s="4" t="s">
        <v>1618</v>
      </c>
      <c r="H45" s="4" t="b">
        <v>0</v>
      </c>
      <c r="I45" s="4"/>
      <c r="J45" s="4" t="b">
        <v>0</v>
      </c>
      <c r="K45" s="4" t="s">
        <v>1600</v>
      </c>
      <c r="L45" s="5">
        <v>45</v>
      </c>
      <c r="M45" s="5">
        <v>135</v>
      </c>
      <c r="N45" s="5"/>
      <c r="O45" s="5"/>
      <c r="P45" s="5" t="s">
        <v>1708</v>
      </c>
      <c r="Q45" s="5"/>
      <c r="R45" s="5" t="s">
        <v>1709</v>
      </c>
      <c r="S45" s="5"/>
      <c r="T45" s="5"/>
      <c r="U45" s="5"/>
      <c r="V45" s="5"/>
      <c r="W45" s="5" t="s">
        <v>1619</v>
      </c>
      <c r="X45" s="14" t="s">
        <v>69</v>
      </c>
      <c r="AE45" t="s">
        <v>243</v>
      </c>
      <c r="AF45" t="s">
        <v>52</v>
      </c>
      <c r="AG45" t="s">
        <v>3</v>
      </c>
    </row>
    <row r="46" spans="1:33" ht="14" x14ac:dyDescent="0.15">
      <c r="A46" s="4" t="s">
        <v>332</v>
      </c>
      <c r="B46" s="4" t="s">
        <v>320</v>
      </c>
      <c r="C46" s="4" t="s">
        <v>333</v>
      </c>
      <c r="D46" s="6">
        <v>0</v>
      </c>
      <c r="E46" s="6">
        <v>2.8</v>
      </c>
      <c r="F46" s="4" t="s">
        <v>1714</v>
      </c>
      <c r="G46" s="4" t="s">
        <v>1618</v>
      </c>
      <c r="H46" s="4" t="b">
        <v>0</v>
      </c>
      <c r="I46" s="4"/>
      <c r="J46" s="4" t="b">
        <v>0</v>
      </c>
      <c r="K46" s="4" t="s">
        <v>1600</v>
      </c>
      <c r="L46" s="5"/>
      <c r="M46" s="5"/>
      <c r="N46" s="5"/>
      <c r="O46" s="5"/>
      <c r="P46" s="5" t="s">
        <v>1708</v>
      </c>
      <c r="Q46" s="5"/>
      <c r="R46" s="5" t="s">
        <v>1709</v>
      </c>
      <c r="S46" s="5"/>
      <c r="T46" s="5"/>
      <c r="U46" s="5"/>
      <c r="V46" s="5"/>
      <c r="W46" s="5" t="s">
        <v>1715</v>
      </c>
      <c r="X46" s="14" t="s">
        <v>69</v>
      </c>
      <c r="AE46" t="s">
        <v>243</v>
      </c>
      <c r="AF46" t="s">
        <v>52</v>
      </c>
      <c r="AG46" t="s">
        <v>3</v>
      </c>
    </row>
    <row r="47" spans="1:33" ht="14" x14ac:dyDescent="0.15">
      <c r="A47" s="4" t="s">
        <v>334</v>
      </c>
      <c r="B47" s="4" t="s">
        <v>320</v>
      </c>
      <c r="C47" s="4" t="s">
        <v>335</v>
      </c>
      <c r="D47" s="6">
        <v>21</v>
      </c>
      <c r="E47" s="6">
        <v>1.8</v>
      </c>
      <c r="F47" s="4" t="s">
        <v>1714</v>
      </c>
      <c r="G47" s="4" t="s">
        <v>1618</v>
      </c>
      <c r="H47" s="4" t="b">
        <v>0</v>
      </c>
      <c r="I47" s="4"/>
      <c r="J47" s="4" t="b">
        <v>0</v>
      </c>
      <c r="K47" s="4" t="s">
        <v>1600</v>
      </c>
      <c r="L47" s="5">
        <v>21</v>
      </c>
      <c r="M47" s="5">
        <v>21</v>
      </c>
      <c r="N47" s="5"/>
      <c r="O47" s="5"/>
      <c r="P47" s="5" t="s">
        <v>1708</v>
      </c>
      <c r="Q47" s="5"/>
      <c r="R47" s="5" t="s">
        <v>1709</v>
      </c>
      <c r="S47" s="5"/>
      <c r="T47" s="5"/>
      <c r="U47" s="5"/>
      <c r="V47" s="5"/>
      <c r="W47" s="5" t="s">
        <v>1619</v>
      </c>
      <c r="X47" s="14" t="s">
        <v>69</v>
      </c>
      <c r="AE47" t="s">
        <v>243</v>
      </c>
      <c r="AF47" t="s">
        <v>52</v>
      </c>
      <c r="AG47" t="s">
        <v>3</v>
      </c>
    </row>
    <row r="48" spans="1:33" ht="14" x14ac:dyDescent="0.15">
      <c r="A48" s="4" t="s">
        <v>336</v>
      </c>
      <c r="B48" s="4" t="s">
        <v>320</v>
      </c>
      <c r="C48" s="4" t="s">
        <v>337</v>
      </c>
      <c r="D48" s="6">
        <v>24</v>
      </c>
      <c r="E48" s="6">
        <v>1.8</v>
      </c>
      <c r="F48" s="4" t="s">
        <v>1714</v>
      </c>
      <c r="G48" s="4" t="s">
        <v>1618</v>
      </c>
      <c r="H48" s="4" t="b">
        <v>0</v>
      </c>
      <c r="I48" s="4"/>
      <c r="J48" s="4" t="b">
        <v>0</v>
      </c>
      <c r="K48" s="4" t="s">
        <v>1600</v>
      </c>
      <c r="L48" s="5">
        <v>24</v>
      </c>
      <c r="M48" s="5">
        <v>24</v>
      </c>
      <c r="N48" s="5"/>
      <c r="O48" s="5"/>
      <c r="P48" s="5" t="s">
        <v>1708</v>
      </c>
      <c r="Q48" s="5"/>
      <c r="R48" s="5" t="s">
        <v>1709</v>
      </c>
      <c r="S48" s="5"/>
      <c r="T48" s="5"/>
      <c r="U48" s="5"/>
      <c r="V48" s="5"/>
      <c r="W48" s="5" t="s">
        <v>1619</v>
      </c>
      <c r="X48" s="14" t="s">
        <v>69</v>
      </c>
      <c r="AE48" t="s">
        <v>243</v>
      </c>
      <c r="AF48" t="s">
        <v>52</v>
      </c>
      <c r="AG48" t="s">
        <v>3</v>
      </c>
    </row>
    <row r="49" spans="1:33" ht="14" x14ac:dyDescent="0.15">
      <c r="A49" s="4" t="s">
        <v>338</v>
      </c>
      <c r="B49" s="4" t="s">
        <v>320</v>
      </c>
      <c r="C49" s="4" t="s">
        <v>339</v>
      </c>
      <c r="D49" s="6">
        <v>28</v>
      </c>
      <c r="E49" s="6">
        <v>1.8</v>
      </c>
      <c r="F49" s="4" t="s">
        <v>1714</v>
      </c>
      <c r="G49" s="4" t="s">
        <v>1618</v>
      </c>
      <c r="H49" s="4" t="b">
        <v>0</v>
      </c>
      <c r="I49" s="4"/>
      <c r="J49" s="4" t="b">
        <v>0</v>
      </c>
      <c r="K49" s="4" t="s">
        <v>1600</v>
      </c>
      <c r="L49" s="5">
        <v>28</v>
      </c>
      <c r="M49" s="5">
        <v>28</v>
      </c>
      <c r="N49" s="5"/>
      <c r="O49" s="5"/>
      <c r="P49" s="5" t="s">
        <v>1708</v>
      </c>
      <c r="Q49" s="5"/>
      <c r="R49" s="5" t="s">
        <v>1709</v>
      </c>
      <c r="S49" s="5"/>
      <c r="T49" s="5"/>
      <c r="U49" s="5"/>
      <c r="V49" s="5"/>
      <c r="W49" s="5" t="s">
        <v>1619</v>
      </c>
      <c r="X49" s="14" t="s">
        <v>69</v>
      </c>
      <c r="AE49" t="s">
        <v>243</v>
      </c>
      <c r="AF49" t="s">
        <v>52</v>
      </c>
      <c r="AG49" t="s">
        <v>3</v>
      </c>
    </row>
    <row r="50" spans="1:33" ht="14" x14ac:dyDescent="0.15">
      <c r="A50" s="4" t="s">
        <v>340</v>
      </c>
      <c r="B50" s="4" t="s">
        <v>320</v>
      </c>
      <c r="C50" s="4" t="s">
        <v>341</v>
      </c>
      <c r="D50" s="6">
        <v>32</v>
      </c>
      <c r="E50" s="6">
        <v>1.8</v>
      </c>
      <c r="F50" s="4" t="s">
        <v>1714</v>
      </c>
      <c r="G50" s="4" t="s">
        <v>1618</v>
      </c>
      <c r="H50" s="4" t="b">
        <v>0</v>
      </c>
      <c r="I50" s="4"/>
      <c r="J50" s="4" t="b">
        <v>0</v>
      </c>
      <c r="K50" s="4" t="s">
        <v>1600</v>
      </c>
      <c r="L50" s="5">
        <v>32</v>
      </c>
      <c r="M50" s="5">
        <v>32</v>
      </c>
      <c r="N50" s="5"/>
      <c r="O50" s="5"/>
      <c r="P50" s="5" t="s">
        <v>1708</v>
      </c>
      <c r="Q50" s="5"/>
      <c r="R50" s="5" t="s">
        <v>1709</v>
      </c>
      <c r="S50" s="5"/>
      <c r="T50" s="5"/>
      <c r="U50" s="5"/>
      <c r="V50" s="5"/>
      <c r="W50" s="5" t="s">
        <v>1619</v>
      </c>
      <c r="X50" s="14" t="s">
        <v>69</v>
      </c>
      <c r="AE50" t="s">
        <v>243</v>
      </c>
      <c r="AF50" t="s">
        <v>52</v>
      </c>
      <c r="AG50" t="s">
        <v>3</v>
      </c>
    </row>
    <row r="51" spans="1:33" ht="14" x14ac:dyDescent="0.15">
      <c r="A51" s="4" t="s">
        <v>342</v>
      </c>
      <c r="B51" s="4" t="s">
        <v>320</v>
      </c>
      <c r="C51" s="4" t="s">
        <v>343</v>
      </c>
      <c r="D51" s="6">
        <v>40</v>
      </c>
      <c r="E51" s="6">
        <v>1.8</v>
      </c>
      <c r="F51" s="4" t="s">
        <v>1714</v>
      </c>
      <c r="G51" s="4" t="s">
        <v>1618</v>
      </c>
      <c r="H51" s="4" t="b">
        <v>0</v>
      </c>
      <c r="I51" s="4"/>
      <c r="J51" s="4" t="b">
        <v>0</v>
      </c>
      <c r="K51" s="4" t="s">
        <v>1600</v>
      </c>
      <c r="L51" s="5">
        <v>40</v>
      </c>
      <c r="M51" s="5">
        <v>40</v>
      </c>
      <c r="N51" s="5"/>
      <c r="O51" s="5"/>
      <c r="P51" s="5" t="s">
        <v>1708</v>
      </c>
      <c r="Q51" s="5"/>
      <c r="R51" s="5" t="s">
        <v>1709</v>
      </c>
      <c r="S51" s="5"/>
      <c r="T51" s="5"/>
      <c r="U51" s="5"/>
      <c r="V51" s="5"/>
      <c r="W51" s="5" t="s">
        <v>1619</v>
      </c>
      <c r="X51" s="14" t="s">
        <v>69</v>
      </c>
      <c r="AE51" t="s">
        <v>243</v>
      </c>
      <c r="AF51" t="s">
        <v>52</v>
      </c>
      <c r="AG51" t="s">
        <v>3</v>
      </c>
    </row>
    <row r="52" spans="1:33" ht="14" x14ac:dyDescent="0.15">
      <c r="A52" s="4" t="s">
        <v>344</v>
      </c>
      <c r="B52" s="4" t="s">
        <v>320</v>
      </c>
      <c r="C52" s="4" t="s">
        <v>345</v>
      </c>
      <c r="D52" s="6">
        <v>50</v>
      </c>
      <c r="E52" s="6">
        <v>1.8</v>
      </c>
      <c r="F52" s="4" t="s">
        <v>1714</v>
      </c>
      <c r="G52" s="4" t="s">
        <v>1618</v>
      </c>
      <c r="H52" s="4" t="b">
        <v>0</v>
      </c>
      <c r="I52" s="4"/>
      <c r="J52" s="4" t="b">
        <v>0</v>
      </c>
      <c r="K52" s="4" t="s">
        <v>1600</v>
      </c>
      <c r="L52" s="5">
        <v>50</v>
      </c>
      <c r="M52" s="5">
        <v>50</v>
      </c>
      <c r="N52" s="5"/>
      <c r="O52" s="5"/>
      <c r="P52" s="5" t="s">
        <v>1708</v>
      </c>
      <c r="Q52" s="5"/>
      <c r="R52" s="5" t="s">
        <v>1709</v>
      </c>
      <c r="S52" s="5"/>
      <c r="T52" s="5"/>
      <c r="U52" s="5"/>
      <c r="V52" s="5"/>
      <c r="W52" s="5" t="s">
        <v>1619</v>
      </c>
      <c r="X52" s="14" t="s">
        <v>69</v>
      </c>
      <c r="AE52" t="s">
        <v>243</v>
      </c>
      <c r="AF52" t="s">
        <v>52</v>
      </c>
      <c r="AG52" t="s">
        <v>3</v>
      </c>
    </row>
    <row r="53" spans="1:33" ht="14" x14ac:dyDescent="0.15">
      <c r="A53" s="4" t="s">
        <v>346</v>
      </c>
      <c r="B53" s="4" t="s">
        <v>320</v>
      </c>
      <c r="C53" s="4" t="s">
        <v>347</v>
      </c>
      <c r="D53" s="6">
        <v>75</v>
      </c>
      <c r="E53" s="6">
        <v>1.8</v>
      </c>
      <c r="F53" s="4" t="s">
        <v>1714</v>
      </c>
      <c r="G53" s="4" t="s">
        <v>1618</v>
      </c>
      <c r="H53" s="4" t="b">
        <v>0</v>
      </c>
      <c r="I53" s="4"/>
      <c r="J53" s="4" t="b">
        <v>0</v>
      </c>
      <c r="K53" s="4" t="s">
        <v>1600</v>
      </c>
      <c r="L53" s="5">
        <v>75</v>
      </c>
      <c r="M53" s="5">
        <v>75</v>
      </c>
      <c r="N53" s="5"/>
      <c r="O53" s="5"/>
      <c r="P53" s="5" t="s">
        <v>1708</v>
      </c>
      <c r="Q53" s="5"/>
      <c r="R53" s="5" t="s">
        <v>1709</v>
      </c>
      <c r="S53" s="5"/>
      <c r="T53" s="5"/>
      <c r="U53" s="5"/>
      <c r="V53" s="5"/>
      <c r="W53" s="5" t="s">
        <v>1619</v>
      </c>
      <c r="X53" s="14" t="s">
        <v>69</v>
      </c>
      <c r="AE53" t="s">
        <v>243</v>
      </c>
      <c r="AF53" t="s">
        <v>52</v>
      </c>
      <c r="AG53" t="s">
        <v>3</v>
      </c>
    </row>
    <row r="54" spans="1:33" ht="14" x14ac:dyDescent="0.15">
      <c r="A54" s="4" t="s">
        <v>348</v>
      </c>
      <c r="B54" s="4" t="s">
        <v>320</v>
      </c>
      <c r="C54" s="4" t="s">
        <v>349</v>
      </c>
      <c r="D54" s="6">
        <v>100</v>
      </c>
      <c r="E54" s="6">
        <v>1.8</v>
      </c>
      <c r="F54" s="4" t="s">
        <v>1714</v>
      </c>
      <c r="G54" s="4" t="s">
        <v>1618</v>
      </c>
      <c r="H54" s="4" t="b">
        <v>0</v>
      </c>
      <c r="I54" s="4"/>
      <c r="J54" s="4" t="b">
        <v>0</v>
      </c>
      <c r="K54" s="4" t="s">
        <v>1600</v>
      </c>
      <c r="L54" s="5">
        <v>100</v>
      </c>
      <c r="M54" s="5">
        <v>100</v>
      </c>
      <c r="N54" s="5"/>
      <c r="O54" s="5"/>
      <c r="P54" s="5" t="s">
        <v>1708</v>
      </c>
      <c r="Q54" s="5"/>
      <c r="R54" s="5" t="s">
        <v>1709</v>
      </c>
      <c r="S54" s="5"/>
      <c r="T54" s="5"/>
      <c r="U54" s="5"/>
      <c r="V54" s="5"/>
      <c r="W54" s="5" t="s">
        <v>1619</v>
      </c>
      <c r="X54" s="14" t="s">
        <v>69</v>
      </c>
      <c r="AE54" t="s">
        <v>243</v>
      </c>
      <c r="AF54" t="s">
        <v>52</v>
      </c>
      <c r="AG54" t="s">
        <v>3</v>
      </c>
    </row>
    <row r="55" spans="1:33" ht="14" x14ac:dyDescent="0.15">
      <c r="A55" s="4" t="s">
        <v>350</v>
      </c>
      <c r="B55" s="4" t="s">
        <v>320</v>
      </c>
      <c r="C55" s="4" t="s">
        <v>351</v>
      </c>
      <c r="D55" s="6">
        <v>135</v>
      </c>
      <c r="E55" s="6">
        <v>1.8</v>
      </c>
      <c r="F55" s="4" t="s">
        <v>1714</v>
      </c>
      <c r="G55" s="4" t="s">
        <v>1618</v>
      </c>
      <c r="H55" s="4" t="b">
        <v>0</v>
      </c>
      <c r="I55" s="4"/>
      <c r="J55" s="4" t="b">
        <v>0</v>
      </c>
      <c r="K55" s="4" t="s">
        <v>1600</v>
      </c>
      <c r="L55" s="5">
        <v>135</v>
      </c>
      <c r="M55" s="5">
        <v>135</v>
      </c>
      <c r="N55" s="5"/>
      <c r="O55" s="5"/>
      <c r="P55" s="5" t="s">
        <v>1708</v>
      </c>
      <c r="Q55" s="5"/>
      <c r="R55" s="5" t="s">
        <v>1709</v>
      </c>
      <c r="S55" s="5"/>
      <c r="T55" s="5"/>
      <c r="U55" s="5"/>
      <c r="V55" s="5"/>
      <c r="W55" s="5" t="s">
        <v>1619</v>
      </c>
      <c r="X55" s="14" t="s">
        <v>69</v>
      </c>
      <c r="AE55" t="s">
        <v>243</v>
      </c>
      <c r="AF55" t="s">
        <v>52</v>
      </c>
      <c r="AG55" t="s">
        <v>3</v>
      </c>
    </row>
    <row r="56" spans="1:33" ht="14" x14ac:dyDescent="0.15">
      <c r="A56" s="4" t="s">
        <v>352</v>
      </c>
      <c r="B56" s="4" t="s">
        <v>320</v>
      </c>
      <c r="C56" s="4" t="s">
        <v>353</v>
      </c>
      <c r="D56" s="6">
        <v>0</v>
      </c>
      <c r="E56" s="6">
        <v>2</v>
      </c>
      <c r="F56" s="4" t="s">
        <v>1711</v>
      </c>
      <c r="G56" s="4" t="s">
        <v>1618</v>
      </c>
      <c r="H56" s="4" t="b">
        <v>0</v>
      </c>
      <c r="I56" s="4" t="s">
        <v>1716</v>
      </c>
      <c r="J56" s="4" t="b">
        <v>0</v>
      </c>
      <c r="K56" s="4" t="s">
        <v>1600</v>
      </c>
      <c r="L56" s="5">
        <v>30</v>
      </c>
      <c r="M56" s="5">
        <v>90</v>
      </c>
      <c r="N56" s="5"/>
      <c r="O56" s="5"/>
      <c r="P56" s="5" t="s">
        <v>1708</v>
      </c>
      <c r="Q56" s="5"/>
      <c r="R56" s="5" t="s">
        <v>1709</v>
      </c>
      <c r="S56" s="5"/>
      <c r="T56" s="5"/>
      <c r="U56" s="5"/>
      <c r="V56" s="5"/>
      <c r="W56" s="5" t="s">
        <v>1619</v>
      </c>
      <c r="X56" s="14" t="s">
        <v>69</v>
      </c>
      <c r="AE56" t="s">
        <v>243</v>
      </c>
      <c r="AF56" t="s">
        <v>52</v>
      </c>
      <c r="AG56" t="s">
        <v>3</v>
      </c>
    </row>
    <row r="57" spans="1:33" ht="14" x14ac:dyDescent="0.15">
      <c r="A57" s="4" t="s">
        <v>354</v>
      </c>
      <c r="B57" s="4" t="s">
        <v>320</v>
      </c>
      <c r="C57" s="4" t="s">
        <v>355</v>
      </c>
      <c r="D57" s="6">
        <v>0</v>
      </c>
      <c r="E57" s="6">
        <v>2</v>
      </c>
      <c r="F57" s="4" t="s">
        <v>1711</v>
      </c>
      <c r="G57" s="4" t="s">
        <v>1618</v>
      </c>
      <c r="H57" s="4" t="b">
        <v>0</v>
      </c>
      <c r="I57" s="4" t="s">
        <v>1717</v>
      </c>
      <c r="J57" s="4" t="b">
        <v>0</v>
      </c>
      <c r="K57" s="4" t="s">
        <v>1600</v>
      </c>
      <c r="L57" s="5">
        <v>15</v>
      </c>
      <c r="M57" s="5">
        <v>40</v>
      </c>
      <c r="N57" s="5"/>
      <c r="O57" s="5"/>
      <c r="P57" s="5" t="s">
        <v>1708</v>
      </c>
      <c r="Q57" s="5"/>
      <c r="R57" s="5" t="s">
        <v>1709</v>
      </c>
      <c r="S57" s="5"/>
      <c r="T57" s="5"/>
      <c r="U57" s="5"/>
      <c r="V57" s="5"/>
      <c r="W57" s="5" t="s">
        <v>1619</v>
      </c>
      <c r="X57" s="14" t="s">
        <v>69</v>
      </c>
      <c r="AE57" t="s">
        <v>243</v>
      </c>
      <c r="AF57" t="s">
        <v>52</v>
      </c>
      <c r="AG57" t="s">
        <v>3</v>
      </c>
    </row>
    <row r="58" spans="1:33" ht="14" x14ac:dyDescent="0.15">
      <c r="A58" s="4" t="s">
        <v>356</v>
      </c>
      <c r="B58" s="4" t="s">
        <v>357</v>
      </c>
      <c r="C58" s="4" t="s">
        <v>358</v>
      </c>
      <c r="D58" s="6">
        <v>32</v>
      </c>
      <c r="E58" s="6">
        <v>2</v>
      </c>
      <c r="F58" s="4" t="s">
        <v>1711</v>
      </c>
      <c r="G58" s="4" t="s">
        <v>1618</v>
      </c>
      <c r="H58" s="4" t="b">
        <v>1</v>
      </c>
      <c r="I58" s="4"/>
      <c r="J58" s="4" t="b">
        <v>0</v>
      </c>
      <c r="K58" s="4" t="s">
        <v>1600</v>
      </c>
      <c r="L58" s="5">
        <v>32</v>
      </c>
      <c r="M58" s="5">
        <v>32</v>
      </c>
      <c r="N58" s="5"/>
      <c r="O58" s="5"/>
      <c r="P58" s="5" t="s">
        <v>1708</v>
      </c>
      <c r="Q58" s="5"/>
      <c r="R58" s="5" t="s">
        <v>1718</v>
      </c>
      <c r="S58" s="5"/>
      <c r="T58" s="5"/>
      <c r="U58" s="5"/>
      <c r="V58" s="5"/>
      <c r="W58" s="5" t="s">
        <v>1619</v>
      </c>
      <c r="X58" s="14" t="s">
        <v>69</v>
      </c>
      <c r="AE58" t="s">
        <v>243</v>
      </c>
      <c r="AF58" t="s">
        <v>52</v>
      </c>
      <c r="AG58" t="s">
        <v>3</v>
      </c>
    </row>
    <row r="59" spans="1:33" ht="14" x14ac:dyDescent="0.15">
      <c r="A59" s="4" t="s">
        <v>359</v>
      </c>
      <c r="B59" s="4" t="s">
        <v>357</v>
      </c>
      <c r="C59" s="4" t="s">
        <v>360</v>
      </c>
      <c r="D59" s="6">
        <v>40</v>
      </c>
      <c r="E59" s="6">
        <v>2</v>
      </c>
      <c r="F59" s="4" t="s">
        <v>1711</v>
      </c>
      <c r="G59" s="4" t="s">
        <v>1618</v>
      </c>
      <c r="H59" s="4" t="b">
        <v>1</v>
      </c>
      <c r="I59" s="4"/>
      <c r="J59" s="4" t="b">
        <v>0</v>
      </c>
      <c r="K59" s="4" t="s">
        <v>1600</v>
      </c>
      <c r="L59" s="5">
        <v>40</v>
      </c>
      <c r="M59" s="5">
        <v>40</v>
      </c>
      <c r="N59" s="5"/>
      <c r="O59" s="5"/>
      <c r="P59" s="5" t="s">
        <v>1708</v>
      </c>
      <c r="Q59" s="5"/>
      <c r="R59" s="5" t="s">
        <v>1718</v>
      </c>
      <c r="S59" s="5"/>
      <c r="T59" s="5"/>
      <c r="U59" s="5"/>
      <c r="V59" s="5"/>
      <c r="W59" s="5" t="s">
        <v>1619</v>
      </c>
      <c r="X59" s="14" t="s">
        <v>69</v>
      </c>
      <c r="AE59" t="s">
        <v>243</v>
      </c>
      <c r="AF59" t="s">
        <v>52</v>
      </c>
      <c r="AG59" t="s">
        <v>3</v>
      </c>
    </row>
    <row r="60" spans="1:33" ht="14" x14ac:dyDescent="0.15">
      <c r="A60" s="4" t="s">
        <v>361</v>
      </c>
      <c r="B60" s="4" t="s">
        <v>357</v>
      </c>
      <c r="C60" s="4" t="s">
        <v>362</v>
      </c>
      <c r="D60" s="6">
        <v>50</v>
      </c>
      <c r="E60" s="6">
        <v>2</v>
      </c>
      <c r="F60" s="4" t="s">
        <v>1711</v>
      </c>
      <c r="G60" s="4" t="s">
        <v>1618</v>
      </c>
      <c r="H60" s="4" t="b">
        <v>1</v>
      </c>
      <c r="I60" s="4"/>
      <c r="J60" s="4" t="b">
        <v>0</v>
      </c>
      <c r="K60" s="4" t="s">
        <v>1600</v>
      </c>
      <c r="L60" s="5">
        <v>50</v>
      </c>
      <c r="M60" s="5">
        <v>50</v>
      </c>
      <c r="N60" s="5"/>
      <c r="O60" s="5"/>
      <c r="P60" s="5" t="s">
        <v>1708</v>
      </c>
      <c r="Q60" s="5"/>
      <c r="R60" s="5" t="s">
        <v>1718</v>
      </c>
      <c r="S60" s="5"/>
      <c r="T60" s="5"/>
      <c r="U60" s="5"/>
      <c r="V60" s="5"/>
      <c r="W60" s="5" t="s">
        <v>1619</v>
      </c>
      <c r="X60" s="14" t="s">
        <v>69</v>
      </c>
      <c r="AE60" t="s">
        <v>243</v>
      </c>
      <c r="AF60" t="s">
        <v>52</v>
      </c>
      <c r="AG60" t="s">
        <v>3</v>
      </c>
    </row>
    <row r="61" spans="1:33" ht="14" x14ac:dyDescent="0.15">
      <c r="A61" s="4" t="s">
        <v>363</v>
      </c>
      <c r="B61" s="4" t="s">
        <v>357</v>
      </c>
      <c r="C61" s="4" t="s">
        <v>364</v>
      </c>
      <c r="D61" s="6">
        <v>65</v>
      </c>
      <c r="E61" s="6">
        <v>2</v>
      </c>
      <c r="F61" s="4" t="s">
        <v>1711</v>
      </c>
      <c r="G61" s="4" t="s">
        <v>1618</v>
      </c>
      <c r="H61" s="4" t="b">
        <v>1</v>
      </c>
      <c r="I61" s="4"/>
      <c r="J61" s="4" t="b">
        <v>0</v>
      </c>
      <c r="K61" s="4" t="s">
        <v>1600</v>
      </c>
      <c r="L61" s="5">
        <v>65</v>
      </c>
      <c r="M61" s="5">
        <v>65</v>
      </c>
      <c r="N61" s="5"/>
      <c r="O61" s="5"/>
      <c r="P61" s="5" t="s">
        <v>1708</v>
      </c>
      <c r="Q61" s="5"/>
      <c r="R61" s="5" t="s">
        <v>1718</v>
      </c>
      <c r="S61" s="5"/>
      <c r="T61" s="5"/>
      <c r="U61" s="5"/>
      <c r="V61" s="5"/>
      <c r="W61" s="5" t="s">
        <v>1619</v>
      </c>
      <c r="X61" s="14" t="s">
        <v>69</v>
      </c>
      <c r="AE61" t="s">
        <v>243</v>
      </c>
      <c r="AF61" t="s">
        <v>52</v>
      </c>
      <c r="AG61" t="s">
        <v>3</v>
      </c>
    </row>
    <row r="62" spans="1:33" ht="14" x14ac:dyDescent="0.15">
      <c r="A62" s="4" t="s">
        <v>365</v>
      </c>
      <c r="B62" s="4" t="s">
        <v>357</v>
      </c>
      <c r="C62" s="4" t="s">
        <v>366</v>
      </c>
      <c r="D62" s="6">
        <v>80</v>
      </c>
      <c r="E62" s="6">
        <v>2</v>
      </c>
      <c r="F62" s="4" t="s">
        <v>1711</v>
      </c>
      <c r="G62" s="4" t="s">
        <v>1618</v>
      </c>
      <c r="H62" s="4" t="b">
        <v>1</v>
      </c>
      <c r="I62" s="4"/>
      <c r="J62" s="4" t="b">
        <v>0</v>
      </c>
      <c r="K62" s="4" t="s">
        <v>1600</v>
      </c>
      <c r="L62" s="5">
        <v>80</v>
      </c>
      <c r="M62" s="5">
        <v>80</v>
      </c>
      <c r="N62" s="5"/>
      <c r="O62" s="5"/>
      <c r="P62" s="5" t="s">
        <v>1708</v>
      </c>
      <c r="Q62" s="5"/>
      <c r="R62" s="5" t="s">
        <v>1718</v>
      </c>
      <c r="S62" s="5"/>
      <c r="T62" s="5"/>
      <c r="U62" s="5"/>
      <c r="V62" s="5"/>
      <c r="W62" s="5" t="s">
        <v>1619</v>
      </c>
      <c r="X62" s="14" t="s">
        <v>69</v>
      </c>
      <c r="AE62" t="s">
        <v>243</v>
      </c>
      <c r="AF62" t="s">
        <v>52</v>
      </c>
      <c r="AG62" t="s">
        <v>3</v>
      </c>
    </row>
    <row r="63" spans="1:33" ht="14" x14ac:dyDescent="0.15">
      <c r="A63" s="4" t="s">
        <v>367</v>
      </c>
      <c r="B63" s="4" t="s">
        <v>357</v>
      </c>
      <c r="C63" s="4" t="s">
        <v>368</v>
      </c>
      <c r="D63" s="6">
        <v>100</v>
      </c>
      <c r="E63" s="6">
        <v>2</v>
      </c>
      <c r="F63" s="4" t="s">
        <v>1711</v>
      </c>
      <c r="G63" s="4" t="s">
        <v>1618</v>
      </c>
      <c r="H63" s="4" t="b">
        <v>1</v>
      </c>
      <c r="I63" s="4"/>
      <c r="J63" s="4" t="b">
        <v>0</v>
      </c>
      <c r="K63" s="4" t="s">
        <v>1600</v>
      </c>
      <c r="L63" s="5">
        <v>100</v>
      </c>
      <c r="M63" s="5">
        <v>100</v>
      </c>
      <c r="N63" s="5"/>
      <c r="O63" s="5"/>
      <c r="P63" s="5" t="s">
        <v>1708</v>
      </c>
      <c r="Q63" s="5"/>
      <c r="R63" s="5" t="s">
        <v>1718</v>
      </c>
      <c r="S63" s="5"/>
      <c r="T63" s="5"/>
      <c r="U63" s="5"/>
      <c r="V63" s="5"/>
      <c r="W63" s="5" t="s">
        <v>1619</v>
      </c>
      <c r="X63" s="14" t="s">
        <v>69</v>
      </c>
      <c r="AE63" t="s">
        <v>243</v>
      </c>
      <c r="AF63" t="s">
        <v>52</v>
      </c>
      <c r="AG63" t="s">
        <v>3</v>
      </c>
    </row>
    <row r="64" spans="1:33" ht="14" x14ac:dyDescent="0.15">
      <c r="A64" s="4" t="s">
        <v>369</v>
      </c>
      <c r="B64" s="4" t="s">
        <v>357</v>
      </c>
      <c r="C64" s="4" t="s">
        <v>370</v>
      </c>
      <c r="D64" s="6">
        <v>135</v>
      </c>
      <c r="E64" s="6">
        <v>2.8</v>
      </c>
      <c r="F64" s="4" t="s">
        <v>1714</v>
      </c>
      <c r="G64" s="4" t="s">
        <v>1618</v>
      </c>
      <c r="H64" s="4" t="b">
        <v>1</v>
      </c>
      <c r="I64" s="4" t="s">
        <v>1719</v>
      </c>
      <c r="J64" s="4" t="b">
        <v>0</v>
      </c>
      <c r="K64" s="4" t="s">
        <v>1600</v>
      </c>
      <c r="L64" s="5">
        <v>135</v>
      </c>
      <c r="M64" s="5">
        <v>135</v>
      </c>
      <c r="N64" s="5"/>
      <c r="O64" s="5"/>
      <c r="P64" s="5" t="s">
        <v>1708</v>
      </c>
      <c r="Q64" s="5"/>
      <c r="R64" s="5" t="s">
        <v>1718</v>
      </c>
      <c r="S64" s="5"/>
      <c r="T64" s="5"/>
      <c r="U64" s="5"/>
      <c r="V64" s="5"/>
      <c r="W64" s="5" t="s">
        <v>1619</v>
      </c>
      <c r="X64" s="14" t="s">
        <v>69</v>
      </c>
      <c r="AE64" t="s">
        <v>243</v>
      </c>
      <c r="AF64" t="s">
        <v>52</v>
      </c>
      <c r="AG64" t="s">
        <v>3</v>
      </c>
    </row>
    <row r="65" spans="1:33" ht="14" x14ac:dyDescent="0.15">
      <c r="A65" s="4" t="s">
        <v>371</v>
      </c>
      <c r="B65" s="4" t="s">
        <v>117</v>
      </c>
      <c r="C65" s="4" t="s">
        <v>372</v>
      </c>
      <c r="D65" s="6">
        <v>14</v>
      </c>
      <c r="E65" s="6">
        <v>2.8</v>
      </c>
      <c r="F65" s="4" t="s">
        <v>1714</v>
      </c>
      <c r="G65" s="4" t="s">
        <v>1632</v>
      </c>
      <c r="H65" s="4" t="b">
        <v>0</v>
      </c>
      <c r="I65" s="4"/>
      <c r="J65" s="4" t="b">
        <v>0</v>
      </c>
      <c r="K65" s="4" t="s">
        <v>1600</v>
      </c>
      <c r="L65" s="5">
        <v>14</v>
      </c>
      <c r="M65" s="5">
        <v>14</v>
      </c>
      <c r="N65" s="5"/>
      <c r="O65" s="5"/>
      <c r="P65" s="5" t="s">
        <v>1708</v>
      </c>
      <c r="Q65" s="5"/>
      <c r="R65" s="5" t="s">
        <v>1709</v>
      </c>
      <c r="S65" s="5"/>
      <c r="T65" s="5"/>
      <c r="U65" s="5"/>
      <c r="V65" s="5"/>
      <c r="W65" s="5" t="s">
        <v>1619</v>
      </c>
      <c r="X65" s="14" t="s">
        <v>69</v>
      </c>
      <c r="AE65" t="s">
        <v>243</v>
      </c>
      <c r="AF65" t="s">
        <v>52</v>
      </c>
      <c r="AG65" t="s">
        <v>3</v>
      </c>
    </row>
    <row r="66" spans="1:33" ht="14" x14ac:dyDescent="0.15">
      <c r="A66" s="4" t="s">
        <v>373</v>
      </c>
      <c r="B66" s="4" t="s">
        <v>117</v>
      </c>
      <c r="C66" s="4" t="s">
        <v>374</v>
      </c>
      <c r="D66" s="6">
        <v>20</v>
      </c>
      <c r="E66" s="6">
        <v>2.8</v>
      </c>
      <c r="F66" s="4" t="s">
        <v>1714</v>
      </c>
      <c r="G66" s="4" t="s">
        <v>1632</v>
      </c>
      <c r="H66" s="4" t="b">
        <v>0</v>
      </c>
      <c r="I66" s="4"/>
      <c r="J66" s="4" t="b">
        <v>0</v>
      </c>
      <c r="K66" s="4" t="s">
        <v>1600</v>
      </c>
      <c r="L66" s="5">
        <v>20</v>
      </c>
      <c r="M66" s="5">
        <v>20</v>
      </c>
      <c r="N66" s="5"/>
      <c r="O66" s="5"/>
      <c r="P66" s="5" t="s">
        <v>1708</v>
      </c>
      <c r="Q66" s="5"/>
      <c r="R66" s="5" t="s">
        <v>1709</v>
      </c>
      <c r="S66" s="5"/>
      <c r="T66" s="5"/>
      <c r="U66" s="5"/>
      <c r="V66" s="5"/>
      <c r="W66" s="5" t="s">
        <v>1619</v>
      </c>
      <c r="X66" s="14" t="s">
        <v>69</v>
      </c>
      <c r="AE66" t="s">
        <v>243</v>
      </c>
      <c r="AF66" t="s">
        <v>52</v>
      </c>
      <c r="AG66" t="s">
        <v>3</v>
      </c>
    </row>
    <row r="67" spans="1:33" ht="14" x14ac:dyDescent="0.15">
      <c r="A67" s="4" t="s">
        <v>375</v>
      </c>
      <c r="B67" s="4" t="s">
        <v>117</v>
      </c>
      <c r="C67" s="4" t="s">
        <v>376</v>
      </c>
      <c r="D67" s="6">
        <v>24</v>
      </c>
      <c r="E67" s="6">
        <v>2.8</v>
      </c>
      <c r="F67" s="4" t="s">
        <v>1714</v>
      </c>
      <c r="G67" s="4" t="s">
        <v>1632</v>
      </c>
      <c r="H67" s="4" t="b">
        <v>0</v>
      </c>
      <c r="I67" s="4"/>
      <c r="J67" s="4" t="b">
        <v>0</v>
      </c>
      <c r="K67" s="4" t="s">
        <v>1600</v>
      </c>
      <c r="L67" s="5">
        <v>24</v>
      </c>
      <c r="M67" s="5">
        <v>24</v>
      </c>
      <c r="N67" s="5"/>
      <c r="O67" s="5"/>
      <c r="P67" s="5" t="s">
        <v>1708</v>
      </c>
      <c r="Q67" s="5"/>
      <c r="R67" s="5" t="s">
        <v>1709</v>
      </c>
      <c r="S67" s="5"/>
      <c r="T67" s="5"/>
      <c r="U67" s="5"/>
      <c r="V67" s="5"/>
      <c r="W67" s="5" t="s">
        <v>1619</v>
      </c>
      <c r="X67" s="14" t="s">
        <v>69</v>
      </c>
      <c r="AE67" t="s">
        <v>243</v>
      </c>
      <c r="AF67" t="s">
        <v>52</v>
      </c>
      <c r="AG67" t="s">
        <v>3</v>
      </c>
    </row>
    <row r="68" spans="1:33" ht="14" x14ac:dyDescent="0.15">
      <c r="A68" s="4" t="s">
        <v>377</v>
      </c>
      <c r="B68" s="4" t="s">
        <v>117</v>
      </c>
      <c r="C68" s="4" t="s">
        <v>378</v>
      </c>
      <c r="D68" s="6">
        <v>35</v>
      </c>
      <c r="E68" s="6">
        <v>2.8</v>
      </c>
      <c r="F68" s="4" t="s">
        <v>1714</v>
      </c>
      <c r="G68" s="4" t="s">
        <v>1632</v>
      </c>
      <c r="H68" s="4" t="b">
        <v>0</v>
      </c>
      <c r="I68" s="4"/>
      <c r="J68" s="4" t="b">
        <v>0</v>
      </c>
      <c r="K68" s="4" t="s">
        <v>1600</v>
      </c>
      <c r="L68" s="5">
        <v>35</v>
      </c>
      <c r="M68" s="5">
        <v>35</v>
      </c>
      <c r="N68" s="5"/>
      <c r="O68" s="5"/>
      <c r="P68" s="5" t="s">
        <v>1708</v>
      </c>
      <c r="Q68" s="5"/>
      <c r="R68" s="5" t="s">
        <v>1709</v>
      </c>
      <c r="S68" s="5"/>
      <c r="T68" s="5"/>
      <c r="U68" s="5"/>
      <c r="V68" s="5"/>
      <c r="W68" s="5" t="s">
        <v>1619</v>
      </c>
      <c r="X68" s="14" t="s">
        <v>69</v>
      </c>
      <c r="AE68" t="s">
        <v>243</v>
      </c>
      <c r="AF68" t="s">
        <v>52</v>
      </c>
      <c r="AG68" t="s">
        <v>3</v>
      </c>
    </row>
    <row r="69" spans="1:33" ht="14" x14ac:dyDescent="0.15">
      <c r="A69" s="4" t="s">
        <v>379</v>
      </c>
      <c r="B69" s="4" t="s">
        <v>117</v>
      </c>
      <c r="C69" s="4" t="s">
        <v>380</v>
      </c>
      <c r="D69" s="6">
        <v>50</v>
      </c>
      <c r="E69" s="6">
        <v>2.8</v>
      </c>
      <c r="F69" s="4" t="s">
        <v>1714</v>
      </c>
      <c r="G69" s="4" t="s">
        <v>1632</v>
      </c>
      <c r="H69" s="4" t="b">
        <v>0</v>
      </c>
      <c r="I69" s="4"/>
      <c r="J69" s="4" t="b">
        <v>0</v>
      </c>
      <c r="K69" s="4" t="s">
        <v>1600</v>
      </c>
      <c r="L69" s="5">
        <v>50</v>
      </c>
      <c r="M69" s="5">
        <v>50</v>
      </c>
      <c r="N69" s="5"/>
      <c r="O69" s="5"/>
      <c r="P69" s="5" t="s">
        <v>1708</v>
      </c>
      <c r="Q69" s="5"/>
      <c r="R69" s="5" t="s">
        <v>1709</v>
      </c>
      <c r="S69" s="5"/>
      <c r="T69" s="5"/>
      <c r="U69" s="5"/>
      <c r="V69" s="5"/>
      <c r="W69" s="5" t="s">
        <v>1619</v>
      </c>
      <c r="X69" s="14" t="s">
        <v>69</v>
      </c>
      <c r="AE69" t="s">
        <v>243</v>
      </c>
      <c r="AF69" t="s">
        <v>52</v>
      </c>
      <c r="AG69" t="s">
        <v>3</v>
      </c>
    </row>
    <row r="70" spans="1:33" ht="14" x14ac:dyDescent="0.15">
      <c r="A70" s="4" t="s">
        <v>381</v>
      </c>
      <c r="B70" s="4" t="s">
        <v>117</v>
      </c>
      <c r="C70" s="4" t="s">
        <v>382</v>
      </c>
      <c r="D70" s="6">
        <v>85</v>
      </c>
      <c r="E70" s="6">
        <v>2.8</v>
      </c>
      <c r="F70" s="4" t="s">
        <v>1714</v>
      </c>
      <c r="G70" s="4" t="s">
        <v>1632</v>
      </c>
      <c r="H70" s="4" t="b">
        <v>0</v>
      </c>
      <c r="I70" s="4"/>
      <c r="J70" s="4" t="b">
        <v>0</v>
      </c>
      <c r="K70" s="4" t="s">
        <v>1600</v>
      </c>
      <c r="L70" s="5">
        <v>85</v>
      </c>
      <c r="M70" s="5">
        <v>85</v>
      </c>
      <c r="N70" s="5"/>
      <c r="O70" s="5"/>
      <c r="P70" s="5" t="s">
        <v>1708</v>
      </c>
      <c r="Q70" s="5"/>
      <c r="R70" s="5" t="s">
        <v>1709</v>
      </c>
      <c r="S70" s="5"/>
      <c r="T70" s="5"/>
      <c r="U70" s="5"/>
      <c r="V70" s="5"/>
      <c r="W70" s="5" t="s">
        <v>1619</v>
      </c>
      <c r="X70" s="14" t="s">
        <v>69</v>
      </c>
      <c r="AE70" t="s">
        <v>243</v>
      </c>
      <c r="AF70" t="s">
        <v>52</v>
      </c>
      <c r="AG70" t="s">
        <v>3</v>
      </c>
    </row>
    <row r="71" spans="1:33" ht="14" x14ac:dyDescent="0.15">
      <c r="A71" s="4" t="s">
        <v>383</v>
      </c>
      <c r="B71" s="4" t="s">
        <v>117</v>
      </c>
      <c r="C71" s="4" t="s">
        <v>384</v>
      </c>
      <c r="D71" s="6">
        <v>135</v>
      </c>
      <c r="E71" s="6">
        <v>2.8</v>
      </c>
      <c r="F71" s="4" t="s">
        <v>1714</v>
      </c>
      <c r="G71" s="4" t="s">
        <v>1632</v>
      </c>
      <c r="H71" s="4" t="b">
        <v>0</v>
      </c>
      <c r="I71" s="4"/>
      <c r="J71" s="4" t="b">
        <v>0</v>
      </c>
      <c r="K71" s="4" t="s">
        <v>1600</v>
      </c>
      <c r="L71" s="5">
        <v>135</v>
      </c>
      <c r="M71" s="5">
        <v>135</v>
      </c>
      <c r="N71" s="5"/>
      <c r="O71" s="5"/>
      <c r="P71" s="5" t="s">
        <v>1708</v>
      </c>
      <c r="Q71" s="5"/>
      <c r="R71" s="5" t="s">
        <v>1709</v>
      </c>
      <c r="S71" s="5"/>
      <c r="T71" s="5"/>
      <c r="U71" s="5"/>
      <c r="V71" s="5"/>
      <c r="W71" s="5" t="s">
        <v>1619</v>
      </c>
      <c r="X71" s="14" t="s">
        <v>69</v>
      </c>
      <c r="AE71" t="s">
        <v>243</v>
      </c>
      <c r="AF71" t="s">
        <v>52</v>
      </c>
      <c r="AG71" t="s">
        <v>3</v>
      </c>
    </row>
    <row r="72" spans="1:33" ht="14" x14ac:dyDescent="0.15">
      <c r="A72" s="4" t="s">
        <v>385</v>
      </c>
      <c r="B72" s="4" t="s">
        <v>117</v>
      </c>
      <c r="C72" s="4" t="s">
        <v>386</v>
      </c>
      <c r="D72" s="6">
        <v>18</v>
      </c>
      <c r="E72" s="6">
        <v>2</v>
      </c>
      <c r="F72" s="4" t="s">
        <v>1714</v>
      </c>
      <c r="G72" s="4" t="s">
        <v>1618</v>
      </c>
      <c r="H72" s="4" t="b">
        <v>0</v>
      </c>
      <c r="I72" s="4"/>
      <c r="J72" s="4" t="b">
        <v>0</v>
      </c>
      <c r="K72" s="4" t="s">
        <v>1600</v>
      </c>
      <c r="L72" s="5">
        <v>18</v>
      </c>
      <c r="M72" s="5">
        <v>18</v>
      </c>
      <c r="N72" s="5"/>
      <c r="O72" s="5"/>
      <c r="P72" s="5" t="s">
        <v>1708</v>
      </c>
      <c r="Q72" s="5"/>
      <c r="R72" s="5" t="s">
        <v>1709</v>
      </c>
      <c r="S72" s="5"/>
      <c r="T72" s="5"/>
      <c r="U72" s="5"/>
      <c r="V72" s="5"/>
      <c r="W72" s="5" t="s">
        <v>1619</v>
      </c>
      <c r="X72" s="14" t="s">
        <v>69</v>
      </c>
      <c r="AE72" t="s">
        <v>243</v>
      </c>
      <c r="AF72" t="s">
        <v>52</v>
      </c>
      <c r="AG72" t="s">
        <v>3</v>
      </c>
    </row>
    <row r="73" spans="1:33" ht="14" x14ac:dyDescent="0.15">
      <c r="A73" s="4" t="s">
        <v>387</v>
      </c>
      <c r="B73" s="4" t="s">
        <v>117</v>
      </c>
      <c r="C73" s="4" t="s">
        <v>388</v>
      </c>
      <c r="D73" s="6">
        <v>24</v>
      </c>
      <c r="E73" s="6">
        <v>2</v>
      </c>
      <c r="F73" s="4" t="s">
        <v>1714</v>
      </c>
      <c r="G73" s="4" t="s">
        <v>1618</v>
      </c>
      <c r="H73" s="4" t="b">
        <v>0</v>
      </c>
      <c r="I73" s="4"/>
      <c r="J73" s="4" t="b">
        <v>0</v>
      </c>
      <c r="K73" s="4" t="s">
        <v>1600</v>
      </c>
      <c r="L73" s="5">
        <v>24</v>
      </c>
      <c r="M73" s="5">
        <v>24</v>
      </c>
      <c r="N73" s="5"/>
      <c r="O73" s="5"/>
      <c r="P73" s="5" t="s">
        <v>1708</v>
      </c>
      <c r="Q73" s="5"/>
      <c r="R73" s="5" t="s">
        <v>1709</v>
      </c>
      <c r="S73" s="5"/>
      <c r="T73" s="5"/>
      <c r="U73" s="5"/>
      <c r="V73" s="5"/>
      <c r="W73" s="5" t="s">
        <v>1619</v>
      </c>
      <c r="X73" s="14" t="s">
        <v>69</v>
      </c>
      <c r="AE73" t="s">
        <v>243</v>
      </c>
      <c r="AF73" t="s">
        <v>52</v>
      </c>
      <c r="AG73" t="s">
        <v>3</v>
      </c>
    </row>
    <row r="74" spans="1:33" ht="14" x14ac:dyDescent="0.15">
      <c r="A74" s="4" t="s">
        <v>389</v>
      </c>
      <c r="B74" s="4" t="s">
        <v>117</v>
      </c>
      <c r="C74" s="4" t="s">
        <v>390</v>
      </c>
      <c r="D74" s="6">
        <v>35</v>
      </c>
      <c r="E74" s="6">
        <v>2</v>
      </c>
      <c r="F74" s="4" t="s">
        <v>1714</v>
      </c>
      <c r="G74" s="4" t="s">
        <v>1618</v>
      </c>
      <c r="H74" s="4" t="b">
        <v>0</v>
      </c>
      <c r="I74" s="4"/>
      <c r="J74" s="4" t="b">
        <v>0</v>
      </c>
      <c r="K74" s="4" t="s">
        <v>1600</v>
      </c>
      <c r="L74" s="5">
        <v>35</v>
      </c>
      <c r="M74" s="5">
        <v>35</v>
      </c>
      <c r="N74" s="5"/>
      <c r="O74" s="5"/>
      <c r="P74" s="5" t="s">
        <v>1708</v>
      </c>
      <c r="Q74" s="5"/>
      <c r="R74" s="5" t="s">
        <v>1709</v>
      </c>
      <c r="S74" s="5"/>
      <c r="T74" s="5"/>
      <c r="U74" s="5"/>
      <c r="V74" s="5"/>
      <c r="W74" s="5" t="s">
        <v>1619</v>
      </c>
      <c r="X74" s="14" t="s">
        <v>69</v>
      </c>
      <c r="AE74" t="s">
        <v>243</v>
      </c>
      <c r="AF74" t="s">
        <v>52</v>
      </c>
      <c r="AG74" t="s">
        <v>3</v>
      </c>
    </row>
    <row r="75" spans="1:33" ht="14" x14ac:dyDescent="0.15">
      <c r="A75" s="4" t="s">
        <v>391</v>
      </c>
      <c r="B75" s="4" t="s">
        <v>117</v>
      </c>
      <c r="C75" s="4" t="s">
        <v>392</v>
      </c>
      <c r="D75" s="6">
        <v>55</v>
      </c>
      <c r="E75" s="6">
        <v>2</v>
      </c>
      <c r="F75" s="4" t="s">
        <v>1714</v>
      </c>
      <c r="G75" s="4" t="s">
        <v>1618</v>
      </c>
      <c r="H75" s="4" t="b">
        <v>0</v>
      </c>
      <c r="I75" s="4"/>
      <c r="J75" s="4" t="b">
        <v>0</v>
      </c>
      <c r="K75" s="4" t="s">
        <v>1600</v>
      </c>
      <c r="L75" s="5">
        <v>55</v>
      </c>
      <c r="M75" s="5">
        <v>55</v>
      </c>
      <c r="N75" s="5"/>
      <c r="O75" s="5"/>
      <c r="P75" s="5" t="s">
        <v>1708</v>
      </c>
      <c r="Q75" s="5"/>
      <c r="R75" s="5" t="s">
        <v>1709</v>
      </c>
      <c r="S75" s="5"/>
      <c r="T75" s="5"/>
      <c r="U75" s="5"/>
      <c r="V75" s="5"/>
      <c r="W75" s="5" t="s">
        <v>1619</v>
      </c>
      <c r="X75" s="14" t="s">
        <v>69</v>
      </c>
      <c r="AE75" t="s">
        <v>243</v>
      </c>
      <c r="AF75" t="s">
        <v>52</v>
      </c>
      <c r="AG75" t="s">
        <v>3</v>
      </c>
    </row>
    <row r="76" spans="1:33" ht="14" x14ac:dyDescent="0.15">
      <c r="A76" s="4" t="s">
        <v>393</v>
      </c>
      <c r="B76" s="4" t="s">
        <v>117</v>
      </c>
      <c r="C76" s="4" t="s">
        <v>394</v>
      </c>
      <c r="D76" s="6">
        <v>85</v>
      </c>
      <c r="E76" s="6">
        <v>2</v>
      </c>
      <c r="F76" s="4" t="s">
        <v>1714</v>
      </c>
      <c r="G76" s="4" t="s">
        <v>1618</v>
      </c>
      <c r="H76" s="4" t="b">
        <v>0</v>
      </c>
      <c r="I76" s="4"/>
      <c r="J76" s="4" t="b">
        <v>0</v>
      </c>
      <c r="K76" s="4" t="s">
        <v>1600</v>
      </c>
      <c r="L76" s="5">
        <v>85</v>
      </c>
      <c r="M76" s="5">
        <v>85</v>
      </c>
      <c r="N76" s="5"/>
      <c r="O76" s="5"/>
      <c r="P76" s="5" t="s">
        <v>1708</v>
      </c>
      <c r="Q76" s="5"/>
      <c r="R76" s="5" t="s">
        <v>1709</v>
      </c>
      <c r="S76" s="5"/>
      <c r="T76" s="5"/>
      <c r="U76" s="5"/>
      <c r="V76" s="5"/>
      <c r="W76" s="5" t="s">
        <v>1619</v>
      </c>
      <c r="X76" s="14" t="s">
        <v>69</v>
      </c>
      <c r="AE76" t="s">
        <v>243</v>
      </c>
      <c r="AF76" t="s">
        <v>52</v>
      </c>
      <c r="AG76" t="s">
        <v>3</v>
      </c>
    </row>
    <row r="77" spans="1:33" ht="14" x14ac:dyDescent="0.15">
      <c r="A77" s="4" t="s">
        <v>395</v>
      </c>
      <c r="B77" s="4" t="s">
        <v>117</v>
      </c>
      <c r="C77" s="4" t="s">
        <v>396</v>
      </c>
      <c r="D77" s="6">
        <v>135</v>
      </c>
      <c r="E77" s="6">
        <v>2</v>
      </c>
      <c r="F77" s="4" t="s">
        <v>1714</v>
      </c>
      <c r="G77" s="4" t="s">
        <v>1618</v>
      </c>
      <c r="H77" s="4" t="b">
        <v>0</v>
      </c>
      <c r="I77" s="4"/>
      <c r="J77" s="4" t="b">
        <v>0</v>
      </c>
      <c r="K77" s="4" t="s">
        <v>1600</v>
      </c>
      <c r="L77" s="5">
        <v>135</v>
      </c>
      <c r="M77" s="5">
        <v>135</v>
      </c>
      <c r="N77" s="5"/>
      <c r="O77" s="5"/>
      <c r="P77" s="5" t="s">
        <v>1708</v>
      </c>
      <c r="Q77" s="5"/>
      <c r="R77" s="5" t="s">
        <v>1709</v>
      </c>
      <c r="S77" s="5"/>
      <c r="T77" s="5"/>
      <c r="U77" s="5"/>
      <c r="V77" s="5"/>
      <c r="W77" s="5" t="s">
        <v>1619</v>
      </c>
      <c r="X77" s="14" t="s">
        <v>69</v>
      </c>
      <c r="AE77" t="s">
        <v>243</v>
      </c>
      <c r="AF77" t="s">
        <v>52</v>
      </c>
      <c r="AG77" t="s">
        <v>3</v>
      </c>
    </row>
    <row r="78" spans="1:33" ht="14" x14ac:dyDescent="0.15">
      <c r="A78" s="4" t="s">
        <v>397</v>
      </c>
      <c r="B78" s="4" t="s">
        <v>117</v>
      </c>
      <c r="C78" s="4" t="s">
        <v>398</v>
      </c>
      <c r="D78" s="6">
        <v>14</v>
      </c>
      <c r="E78" s="6">
        <v>1.5</v>
      </c>
      <c r="F78" s="4" t="s">
        <v>1714</v>
      </c>
      <c r="G78" s="4" t="s">
        <v>1618</v>
      </c>
      <c r="H78" s="4" t="b">
        <v>0</v>
      </c>
      <c r="I78" s="4"/>
      <c r="J78" s="4" t="b">
        <v>0</v>
      </c>
      <c r="K78" s="4" t="s">
        <v>1600</v>
      </c>
      <c r="L78" s="5">
        <v>14</v>
      </c>
      <c r="M78" s="5">
        <v>14</v>
      </c>
      <c r="N78" s="5"/>
      <c r="O78" s="5"/>
      <c r="P78" s="5" t="s">
        <v>1708</v>
      </c>
      <c r="Q78" s="5"/>
      <c r="R78" s="5" t="s">
        <v>1709</v>
      </c>
      <c r="S78" s="5"/>
      <c r="T78" s="5"/>
      <c r="U78" s="5"/>
      <c r="V78" s="5"/>
      <c r="W78" s="5" t="s">
        <v>1619</v>
      </c>
      <c r="X78" s="14" t="s">
        <v>69</v>
      </c>
      <c r="AE78" t="s">
        <v>243</v>
      </c>
      <c r="AF78" t="s">
        <v>52</v>
      </c>
      <c r="AG78" t="s">
        <v>3</v>
      </c>
    </row>
    <row r="79" spans="1:33" ht="14" x14ac:dyDescent="0.15">
      <c r="A79" s="4" t="s">
        <v>399</v>
      </c>
      <c r="B79" s="4" t="s">
        <v>117</v>
      </c>
      <c r="C79" s="4" t="s">
        <v>400</v>
      </c>
      <c r="D79" s="6">
        <v>20</v>
      </c>
      <c r="E79" s="6">
        <v>1.5</v>
      </c>
      <c r="F79" s="4" t="s">
        <v>1714</v>
      </c>
      <c r="G79" s="4" t="s">
        <v>1618</v>
      </c>
      <c r="H79" s="4" t="b">
        <v>0</v>
      </c>
      <c r="I79" s="4"/>
      <c r="J79" s="4" t="b">
        <v>0</v>
      </c>
      <c r="K79" s="4" t="s">
        <v>1600</v>
      </c>
      <c r="L79" s="5">
        <v>20</v>
      </c>
      <c r="M79" s="5">
        <v>20</v>
      </c>
      <c r="N79" s="5"/>
      <c r="O79" s="5"/>
      <c r="P79" s="5" t="s">
        <v>1708</v>
      </c>
      <c r="Q79" s="5"/>
      <c r="R79" s="5" t="s">
        <v>1709</v>
      </c>
      <c r="S79" s="5"/>
      <c r="T79" s="5"/>
      <c r="U79" s="5"/>
      <c r="V79" s="5"/>
      <c r="W79" s="5" t="s">
        <v>1619</v>
      </c>
      <c r="X79" s="14" t="s">
        <v>69</v>
      </c>
      <c r="AE79" t="s">
        <v>243</v>
      </c>
      <c r="AF79" t="s">
        <v>52</v>
      </c>
      <c r="AG79" t="s">
        <v>3</v>
      </c>
    </row>
    <row r="80" spans="1:33" ht="14" x14ac:dyDescent="0.15">
      <c r="A80" s="4" t="s">
        <v>401</v>
      </c>
      <c r="B80" s="4" t="s">
        <v>117</v>
      </c>
      <c r="C80" s="4" t="s">
        <v>402</v>
      </c>
      <c r="D80" s="6">
        <v>35</v>
      </c>
      <c r="E80" s="6">
        <v>1.5</v>
      </c>
      <c r="F80" s="4" t="s">
        <v>1714</v>
      </c>
      <c r="G80" s="4" t="s">
        <v>1618</v>
      </c>
      <c r="H80" s="4" t="b">
        <v>0</v>
      </c>
      <c r="I80" s="4"/>
      <c r="J80" s="4" t="b">
        <v>0</v>
      </c>
      <c r="K80" s="4" t="s">
        <v>1600</v>
      </c>
      <c r="L80" s="5">
        <v>35</v>
      </c>
      <c r="M80" s="5">
        <v>35</v>
      </c>
      <c r="N80" s="5"/>
      <c r="O80" s="5"/>
      <c r="P80" s="5" t="s">
        <v>1708</v>
      </c>
      <c r="Q80" s="5"/>
      <c r="R80" s="5" t="s">
        <v>1709</v>
      </c>
      <c r="S80" s="5"/>
      <c r="T80" s="5"/>
      <c r="U80" s="5"/>
      <c r="V80" s="5"/>
      <c r="W80" s="5" t="s">
        <v>1619</v>
      </c>
      <c r="X80" s="14" t="s">
        <v>69</v>
      </c>
      <c r="AE80" t="s">
        <v>243</v>
      </c>
      <c r="AF80" t="s">
        <v>52</v>
      </c>
      <c r="AG80" t="s">
        <v>3</v>
      </c>
    </row>
    <row r="81" spans="1:33" ht="14" x14ac:dyDescent="0.15">
      <c r="A81" s="4" t="s">
        <v>403</v>
      </c>
      <c r="B81" s="4" t="s">
        <v>117</v>
      </c>
      <c r="C81" s="4" t="s">
        <v>404</v>
      </c>
      <c r="D81" s="6">
        <v>50</v>
      </c>
      <c r="E81" s="6">
        <v>1.5</v>
      </c>
      <c r="F81" s="4" t="s">
        <v>1714</v>
      </c>
      <c r="G81" s="4" t="s">
        <v>1618</v>
      </c>
      <c r="H81" s="4" t="b">
        <v>0</v>
      </c>
      <c r="I81" s="4"/>
      <c r="J81" s="4" t="b">
        <v>0</v>
      </c>
      <c r="K81" s="4" t="s">
        <v>1600</v>
      </c>
      <c r="L81" s="5">
        <v>50</v>
      </c>
      <c r="M81" s="5">
        <v>50</v>
      </c>
      <c r="N81" s="5"/>
      <c r="O81" s="5"/>
      <c r="P81" s="5" t="s">
        <v>1708</v>
      </c>
      <c r="Q81" s="5"/>
      <c r="R81" s="5" t="s">
        <v>1709</v>
      </c>
      <c r="S81" s="5"/>
      <c r="T81" s="5"/>
      <c r="U81" s="5"/>
      <c r="V81" s="5"/>
      <c r="W81" s="5" t="s">
        <v>1619</v>
      </c>
      <c r="X81" s="14" t="s">
        <v>69</v>
      </c>
      <c r="AE81" t="s">
        <v>243</v>
      </c>
      <c r="AF81" t="s">
        <v>52</v>
      </c>
      <c r="AG81" t="s">
        <v>3</v>
      </c>
    </row>
    <row r="82" spans="1:33" ht="14" x14ac:dyDescent="0.15">
      <c r="A82" s="4" t="s">
        <v>405</v>
      </c>
      <c r="B82" s="4" t="s">
        <v>117</v>
      </c>
      <c r="C82" s="4" t="s">
        <v>406</v>
      </c>
      <c r="D82" s="6">
        <v>85</v>
      </c>
      <c r="E82" s="6">
        <v>1.5</v>
      </c>
      <c r="F82" s="4" t="s">
        <v>1714</v>
      </c>
      <c r="G82" s="4" t="s">
        <v>1618</v>
      </c>
      <c r="H82" s="4" t="b">
        <v>0</v>
      </c>
      <c r="I82" s="4"/>
      <c r="J82" s="4" t="b">
        <v>0</v>
      </c>
      <c r="K82" s="4" t="s">
        <v>1600</v>
      </c>
      <c r="L82" s="5">
        <v>85</v>
      </c>
      <c r="M82" s="5">
        <v>85</v>
      </c>
      <c r="N82" s="5"/>
      <c r="O82" s="5"/>
      <c r="P82" s="5" t="s">
        <v>1708</v>
      </c>
      <c r="Q82" s="5"/>
      <c r="R82" s="5" t="s">
        <v>1709</v>
      </c>
      <c r="S82" s="5"/>
      <c r="T82" s="5"/>
      <c r="U82" s="5"/>
      <c r="V82" s="5"/>
      <c r="W82" s="5" t="s">
        <v>1619</v>
      </c>
      <c r="X82" s="14" t="s">
        <v>69</v>
      </c>
      <c r="AE82" t="s">
        <v>243</v>
      </c>
      <c r="AF82" t="s">
        <v>52</v>
      </c>
      <c r="AG82" t="s">
        <v>3</v>
      </c>
    </row>
    <row r="83" spans="1:33" ht="14" x14ac:dyDescent="0.15">
      <c r="A83" s="4" t="s">
        <v>407</v>
      </c>
      <c r="B83" s="4" t="s">
        <v>117</v>
      </c>
      <c r="C83" s="4" t="s">
        <v>408</v>
      </c>
      <c r="D83" s="6">
        <v>135</v>
      </c>
      <c r="E83" s="6">
        <v>1.5</v>
      </c>
      <c r="F83" s="4" t="s">
        <v>1714</v>
      </c>
      <c r="G83" s="4" t="s">
        <v>1618</v>
      </c>
      <c r="H83" s="4" t="b">
        <v>0</v>
      </c>
      <c r="I83" s="4"/>
      <c r="J83" s="4" t="b">
        <v>0</v>
      </c>
      <c r="K83" s="4" t="s">
        <v>1600</v>
      </c>
      <c r="L83" s="5">
        <v>135</v>
      </c>
      <c r="M83" s="5">
        <v>135</v>
      </c>
      <c r="N83" s="5"/>
      <c r="O83" s="5"/>
      <c r="P83" s="5" t="s">
        <v>1708</v>
      </c>
      <c r="Q83" s="5"/>
      <c r="R83" s="5" t="s">
        <v>1709</v>
      </c>
      <c r="S83" s="5"/>
      <c r="T83" s="5"/>
      <c r="U83" s="5"/>
      <c r="V83" s="5"/>
      <c r="W83" s="5" t="s">
        <v>1619</v>
      </c>
      <c r="X83" s="14" t="s">
        <v>69</v>
      </c>
      <c r="AE83" t="s">
        <v>243</v>
      </c>
      <c r="AF83" t="s">
        <v>52</v>
      </c>
      <c r="AG83" t="s">
        <v>3</v>
      </c>
    </row>
    <row r="84" spans="1:33" ht="14" x14ac:dyDescent="0.15">
      <c r="A84" s="4" t="s">
        <v>409</v>
      </c>
      <c r="B84" s="4" t="s">
        <v>117</v>
      </c>
      <c r="C84" s="4" t="s">
        <v>410</v>
      </c>
      <c r="D84" s="6">
        <v>24</v>
      </c>
      <c r="E84" s="6">
        <v>1.5</v>
      </c>
      <c r="F84" s="4" t="s">
        <v>1714</v>
      </c>
      <c r="G84" s="4" t="s">
        <v>1618</v>
      </c>
      <c r="H84" s="4" t="b">
        <v>0</v>
      </c>
      <c r="I84" s="4" t="s">
        <v>1720</v>
      </c>
      <c r="J84" s="4" t="b">
        <v>0</v>
      </c>
      <c r="K84" s="4" t="s">
        <v>1600</v>
      </c>
      <c r="L84" s="5">
        <v>24</v>
      </c>
      <c r="M84" s="5">
        <v>24</v>
      </c>
      <c r="N84" s="5"/>
      <c r="O84" s="5"/>
      <c r="P84" s="5" t="s">
        <v>1708</v>
      </c>
      <c r="Q84" s="5"/>
      <c r="R84" s="5" t="s">
        <v>1709</v>
      </c>
      <c r="S84" s="5"/>
      <c r="T84" s="5"/>
      <c r="U84" s="5"/>
      <c r="V84" s="5"/>
      <c r="W84" s="5" t="s">
        <v>1619</v>
      </c>
      <c r="X84" s="14" t="s">
        <v>69</v>
      </c>
      <c r="AE84" t="s">
        <v>243</v>
      </c>
      <c r="AF84" t="s">
        <v>52</v>
      </c>
      <c r="AG84" t="s">
        <v>3</v>
      </c>
    </row>
    <row r="85" spans="1:33" ht="14" x14ac:dyDescent="0.15">
      <c r="A85" s="4" t="s">
        <v>411</v>
      </c>
      <c r="B85" s="4" t="s">
        <v>412</v>
      </c>
      <c r="C85" s="4" t="s">
        <v>413</v>
      </c>
      <c r="D85" s="6">
        <v>85</v>
      </c>
      <c r="E85" s="6">
        <v>2</v>
      </c>
      <c r="F85" s="4" t="s">
        <v>1711</v>
      </c>
      <c r="G85" s="4"/>
      <c r="H85" s="4" t="b">
        <v>0</v>
      </c>
      <c r="I85" s="4"/>
      <c r="J85" s="4" t="b">
        <v>0</v>
      </c>
      <c r="K85" s="4" t="s">
        <v>1600</v>
      </c>
      <c r="L85" s="5">
        <v>85</v>
      </c>
      <c r="M85" s="5">
        <v>85</v>
      </c>
      <c r="N85" s="5"/>
      <c r="O85" s="5"/>
      <c r="P85" s="5" t="s">
        <v>1708</v>
      </c>
      <c r="Q85" s="5"/>
      <c r="R85" s="5" t="s">
        <v>1709</v>
      </c>
      <c r="S85" s="5"/>
      <c r="T85" s="5"/>
      <c r="U85" s="5"/>
      <c r="V85" s="5"/>
      <c r="W85" s="5" t="s">
        <v>1619</v>
      </c>
      <c r="X85" s="14" t="s">
        <v>69</v>
      </c>
      <c r="AE85" t="s">
        <v>243</v>
      </c>
      <c r="AF85" t="s">
        <v>52</v>
      </c>
      <c r="AG85" t="s">
        <v>3</v>
      </c>
    </row>
    <row r="86" spans="1:33" ht="14" x14ac:dyDescent="0.15">
      <c r="A86" s="4" t="s">
        <v>414</v>
      </c>
      <c r="B86" s="4" t="s">
        <v>412</v>
      </c>
      <c r="C86" s="4" t="s">
        <v>415</v>
      </c>
      <c r="D86" s="6">
        <v>12</v>
      </c>
      <c r="E86" s="6">
        <v>2</v>
      </c>
      <c r="F86" s="4" t="s">
        <v>1711</v>
      </c>
      <c r="G86" s="4" t="s">
        <v>1618</v>
      </c>
      <c r="H86" s="4" t="b">
        <v>0</v>
      </c>
      <c r="I86" s="4"/>
      <c r="J86" s="4" t="b">
        <v>0</v>
      </c>
      <c r="K86" s="4" t="s">
        <v>1600</v>
      </c>
      <c r="L86" s="5">
        <v>12</v>
      </c>
      <c r="M86" s="5">
        <v>12</v>
      </c>
      <c r="N86" s="5"/>
      <c r="O86" s="5"/>
      <c r="P86" s="5" t="s">
        <v>1708</v>
      </c>
      <c r="Q86" s="5"/>
      <c r="R86" s="5" t="s">
        <v>1709</v>
      </c>
      <c r="S86" s="5"/>
      <c r="T86" s="5"/>
      <c r="U86" s="5"/>
      <c r="V86" s="5"/>
      <c r="W86" s="5" t="s">
        <v>1619</v>
      </c>
      <c r="X86" s="14" t="s">
        <v>69</v>
      </c>
      <c r="AE86" t="s">
        <v>243</v>
      </c>
      <c r="AF86" t="s">
        <v>52</v>
      </c>
      <c r="AG86" t="s">
        <v>3</v>
      </c>
    </row>
    <row r="87" spans="1:33" ht="14" x14ac:dyDescent="0.15">
      <c r="A87" s="4" t="s">
        <v>416</v>
      </c>
      <c r="B87" s="4" t="s">
        <v>412</v>
      </c>
      <c r="C87" s="4" t="s">
        <v>417</v>
      </c>
      <c r="D87" s="6">
        <v>14</v>
      </c>
      <c r="E87" s="6">
        <v>2</v>
      </c>
      <c r="F87" s="4" t="s">
        <v>1711</v>
      </c>
      <c r="G87" s="4" t="s">
        <v>1618</v>
      </c>
      <c r="H87" s="4" t="b">
        <v>0</v>
      </c>
      <c r="I87" s="4"/>
      <c r="J87" s="4" t="b">
        <v>0</v>
      </c>
      <c r="K87" s="4" t="s">
        <v>1600</v>
      </c>
      <c r="L87" s="5">
        <v>14</v>
      </c>
      <c r="M87" s="5">
        <v>14</v>
      </c>
      <c r="N87" s="5"/>
      <c r="O87" s="5"/>
      <c r="P87" s="5" t="s">
        <v>1708</v>
      </c>
      <c r="Q87" s="5"/>
      <c r="R87" s="5" t="s">
        <v>1709</v>
      </c>
      <c r="S87" s="5"/>
      <c r="T87" s="5"/>
      <c r="U87" s="5"/>
      <c r="V87" s="5"/>
      <c r="W87" s="5" t="s">
        <v>1619</v>
      </c>
      <c r="X87" s="14" t="s">
        <v>69</v>
      </c>
      <c r="AE87" t="s">
        <v>243</v>
      </c>
      <c r="AF87" t="s">
        <v>52</v>
      </c>
      <c r="AG87" t="s">
        <v>3</v>
      </c>
    </row>
    <row r="88" spans="1:33" ht="14" x14ac:dyDescent="0.15">
      <c r="A88" s="4" t="s">
        <v>418</v>
      </c>
      <c r="B88" s="4" t="s">
        <v>412</v>
      </c>
      <c r="C88" s="4" t="s">
        <v>419</v>
      </c>
      <c r="D88" s="6">
        <v>16</v>
      </c>
      <c r="E88" s="6">
        <v>2</v>
      </c>
      <c r="F88" s="4" t="s">
        <v>1711</v>
      </c>
      <c r="G88" s="4" t="s">
        <v>1618</v>
      </c>
      <c r="H88" s="4" t="b">
        <v>0</v>
      </c>
      <c r="I88" s="4"/>
      <c r="J88" s="4" t="b">
        <v>0</v>
      </c>
      <c r="K88" s="4" t="s">
        <v>1600</v>
      </c>
      <c r="L88" s="5">
        <v>16</v>
      </c>
      <c r="M88" s="5">
        <v>16</v>
      </c>
      <c r="N88" s="5"/>
      <c r="O88" s="5"/>
      <c r="P88" s="5" t="s">
        <v>1708</v>
      </c>
      <c r="Q88" s="5"/>
      <c r="R88" s="5" t="s">
        <v>1709</v>
      </c>
      <c r="S88" s="5"/>
      <c r="T88" s="5"/>
      <c r="U88" s="5"/>
      <c r="V88" s="5"/>
      <c r="W88" s="5" t="s">
        <v>1619</v>
      </c>
      <c r="X88" s="14" t="s">
        <v>69</v>
      </c>
      <c r="AE88" t="s">
        <v>243</v>
      </c>
      <c r="AF88" t="s">
        <v>52</v>
      </c>
      <c r="AG88" t="s">
        <v>3</v>
      </c>
    </row>
    <row r="89" spans="1:33" ht="14" x14ac:dyDescent="0.15">
      <c r="A89" s="4" t="s">
        <v>420</v>
      </c>
      <c r="B89" s="4" t="s">
        <v>412</v>
      </c>
      <c r="C89" s="4" t="s">
        <v>421</v>
      </c>
      <c r="D89" s="6">
        <v>18</v>
      </c>
      <c r="E89" s="6">
        <v>2</v>
      </c>
      <c r="F89" s="4" t="s">
        <v>1711</v>
      </c>
      <c r="G89" s="4" t="s">
        <v>1618</v>
      </c>
      <c r="H89" s="4" t="b">
        <v>0</v>
      </c>
      <c r="I89" s="4"/>
      <c r="J89" s="4" t="b">
        <v>0</v>
      </c>
      <c r="K89" s="4" t="s">
        <v>1600</v>
      </c>
      <c r="L89" s="5">
        <v>18</v>
      </c>
      <c r="M89" s="5">
        <v>18</v>
      </c>
      <c r="N89" s="5"/>
      <c r="O89" s="5"/>
      <c r="P89" s="5" t="s">
        <v>1708</v>
      </c>
      <c r="Q89" s="5"/>
      <c r="R89" s="5" t="s">
        <v>1709</v>
      </c>
      <c r="S89" s="5"/>
      <c r="T89" s="5"/>
      <c r="U89" s="5"/>
      <c r="V89" s="5"/>
      <c r="W89" s="5" t="s">
        <v>1619</v>
      </c>
      <c r="X89" s="14" t="s">
        <v>69</v>
      </c>
      <c r="AE89" t="s">
        <v>243</v>
      </c>
      <c r="AF89" t="s">
        <v>52</v>
      </c>
      <c r="AG89" t="s">
        <v>3</v>
      </c>
    </row>
    <row r="90" spans="1:33" ht="14" x14ac:dyDescent="0.15">
      <c r="A90" s="4" t="s">
        <v>422</v>
      </c>
      <c r="B90" s="4" t="s">
        <v>412</v>
      </c>
      <c r="C90" s="4" t="s">
        <v>423</v>
      </c>
      <c r="D90" s="6">
        <v>21</v>
      </c>
      <c r="E90" s="6">
        <v>2</v>
      </c>
      <c r="F90" s="4" t="s">
        <v>1711</v>
      </c>
      <c r="G90" s="4" t="s">
        <v>1618</v>
      </c>
      <c r="H90" s="4" t="b">
        <v>0</v>
      </c>
      <c r="I90" s="4"/>
      <c r="J90" s="4" t="b">
        <v>0</v>
      </c>
      <c r="K90" s="4" t="s">
        <v>1600</v>
      </c>
      <c r="L90" s="5">
        <v>21</v>
      </c>
      <c r="M90" s="5">
        <v>21</v>
      </c>
      <c r="N90" s="5"/>
      <c r="O90" s="5"/>
      <c r="P90" s="5" t="s">
        <v>1708</v>
      </c>
      <c r="Q90" s="5"/>
      <c r="R90" s="5" t="s">
        <v>1709</v>
      </c>
      <c r="S90" s="5"/>
      <c r="T90" s="5"/>
      <c r="U90" s="5"/>
      <c r="V90" s="5"/>
      <c r="W90" s="5" t="s">
        <v>1619</v>
      </c>
      <c r="X90" s="14" t="s">
        <v>69</v>
      </c>
      <c r="AE90" t="s">
        <v>243</v>
      </c>
      <c r="AF90" t="s">
        <v>52</v>
      </c>
      <c r="AG90" t="s">
        <v>3</v>
      </c>
    </row>
    <row r="91" spans="1:33" ht="14" x14ac:dyDescent="0.15">
      <c r="A91" s="4" t="s">
        <v>424</v>
      </c>
      <c r="B91" s="4" t="s">
        <v>412</v>
      </c>
      <c r="C91" s="4" t="s">
        <v>425</v>
      </c>
      <c r="D91" s="6">
        <v>25</v>
      </c>
      <c r="E91" s="6">
        <v>2</v>
      </c>
      <c r="F91" s="4" t="s">
        <v>1711</v>
      </c>
      <c r="G91" s="4" t="s">
        <v>1618</v>
      </c>
      <c r="H91" s="4" t="b">
        <v>0</v>
      </c>
      <c r="I91" s="4"/>
      <c r="J91" s="4" t="b">
        <v>0</v>
      </c>
      <c r="K91" s="4" t="s">
        <v>1600</v>
      </c>
      <c r="L91" s="5">
        <v>25</v>
      </c>
      <c r="M91" s="5">
        <v>25</v>
      </c>
      <c r="N91" s="5"/>
      <c r="O91" s="5"/>
      <c r="P91" s="5" t="s">
        <v>1708</v>
      </c>
      <c r="Q91" s="5"/>
      <c r="R91" s="5" t="s">
        <v>1709</v>
      </c>
      <c r="S91" s="5"/>
      <c r="T91" s="5"/>
      <c r="U91" s="5"/>
      <c r="V91" s="5"/>
      <c r="W91" s="5" t="s">
        <v>1619</v>
      </c>
      <c r="X91" s="14" t="s">
        <v>69</v>
      </c>
      <c r="AE91" t="s">
        <v>243</v>
      </c>
      <c r="AF91" t="s">
        <v>52</v>
      </c>
      <c r="AG91" t="s">
        <v>3</v>
      </c>
    </row>
    <row r="92" spans="1:33" ht="14" x14ac:dyDescent="0.15">
      <c r="A92" s="4" t="s">
        <v>426</v>
      </c>
      <c r="B92" s="4" t="s">
        <v>412</v>
      </c>
      <c r="C92" s="4" t="s">
        <v>427</v>
      </c>
      <c r="D92" s="6">
        <v>32</v>
      </c>
      <c r="E92" s="6">
        <v>2</v>
      </c>
      <c r="F92" s="4" t="s">
        <v>1711</v>
      </c>
      <c r="G92" s="4" t="s">
        <v>1618</v>
      </c>
      <c r="H92" s="4" t="b">
        <v>0</v>
      </c>
      <c r="I92" s="4"/>
      <c r="J92" s="4" t="b">
        <v>0</v>
      </c>
      <c r="K92" s="4" t="s">
        <v>1600</v>
      </c>
      <c r="L92" s="5">
        <v>32</v>
      </c>
      <c r="M92" s="5">
        <v>32</v>
      </c>
      <c r="N92" s="5"/>
      <c r="O92" s="5"/>
      <c r="P92" s="5" t="s">
        <v>1708</v>
      </c>
      <c r="Q92" s="5"/>
      <c r="R92" s="5" t="s">
        <v>1709</v>
      </c>
      <c r="S92" s="5"/>
      <c r="T92" s="5"/>
      <c r="U92" s="5"/>
      <c r="V92" s="5"/>
      <c r="W92" s="5" t="s">
        <v>1619</v>
      </c>
      <c r="X92" s="14" t="s">
        <v>69</v>
      </c>
      <c r="AE92" t="s">
        <v>243</v>
      </c>
      <c r="AF92" t="s">
        <v>52</v>
      </c>
      <c r="AG92" t="s">
        <v>3</v>
      </c>
    </row>
    <row r="93" spans="1:33" ht="14" x14ac:dyDescent="0.15">
      <c r="A93" s="4" t="s">
        <v>428</v>
      </c>
      <c r="B93" s="4" t="s">
        <v>412</v>
      </c>
      <c r="C93" s="4" t="s">
        <v>429</v>
      </c>
      <c r="D93" s="6">
        <v>40</v>
      </c>
      <c r="E93" s="6">
        <v>2</v>
      </c>
      <c r="F93" s="4" t="s">
        <v>1711</v>
      </c>
      <c r="G93" s="4" t="s">
        <v>1618</v>
      </c>
      <c r="H93" s="4" t="b">
        <v>0</v>
      </c>
      <c r="I93" s="4"/>
      <c r="J93" s="4" t="b">
        <v>0</v>
      </c>
      <c r="K93" s="4" t="s">
        <v>1600</v>
      </c>
      <c r="L93" s="5">
        <v>40</v>
      </c>
      <c r="M93" s="5">
        <v>40</v>
      </c>
      <c r="N93" s="5"/>
      <c r="O93" s="5"/>
      <c r="P93" s="5" t="s">
        <v>1708</v>
      </c>
      <c r="Q93" s="5"/>
      <c r="R93" s="5" t="s">
        <v>1709</v>
      </c>
      <c r="S93" s="5"/>
      <c r="T93" s="5"/>
      <c r="U93" s="5"/>
      <c r="V93" s="5"/>
      <c r="W93" s="5" t="s">
        <v>1619</v>
      </c>
      <c r="X93" s="14" t="s">
        <v>69</v>
      </c>
      <c r="AE93" t="s">
        <v>243</v>
      </c>
      <c r="AF93" t="s">
        <v>52</v>
      </c>
      <c r="AG93" t="s">
        <v>3</v>
      </c>
    </row>
    <row r="94" spans="1:33" ht="14" x14ac:dyDescent="0.15">
      <c r="A94" s="4" t="s">
        <v>430</v>
      </c>
      <c r="B94" s="4" t="s">
        <v>412</v>
      </c>
      <c r="C94" s="4" t="s">
        <v>431</v>
      </c>
      <c r="D94" s="6">
        <v>50</v>
      </c>
      <c r="E94" s="6">
        <v>2</v>
      </c>
      <c r="F94" s="4" t="s">
        <v>1711</v>
      </c>
      <c r="G94" s="4" t="s">
        <v>1618</v>
      </c>
      <c r="H94" s="4" t="b">
        <v>0</v>
      </c>
      <c r="I94" s="4"/>
      <c r="J94" s="4" t="b">
        <v>0</v>
      </c>
      <c r="K94" s="4" t="s">
        <v>1600</v>
      </c>
      <c r="L94" s="5">
        <v>50</v>
      </c>
      <c r="M94" s="5">
        <v>50</v>
      </c>
      <c r="N94" s="5"/>
      <c r="O94" s="5"/>
      <c r="P94" s="5" t="s">
        <v>1708</v>
      </c>
      <c r="Q94" s="5"/>
      <c r="R94" s="5" t="s">
        <v>1709</v>
      </c>
      <c r="S94" s="5"/>
      <c r="T94" s="5"/>
      <c r="U94" s="5"/>
      <c r="V94" s="5"/>
      <c r="W94" s="5" t="s">
        <v>1619</v>
      </c>
      <c r="X94" s="14" t="s">
        <v>69</v>
      </c>
      <c r="AE94" t="s">
        <v>243</v>
      </c>
      <c r="AF94" t="s">
        <v>52</v>
      </c>
      <c r="AG94" t="s">
        <v>3</v>
      </c>
    </row>
    <row r="95" spans="1:33" ht="14" x14ac:dyDescent="0.15">
      <c r="A95" s="4" t="s">
        <v>432</v>
      </c>
      <c r="B95" s="4" t="s">
        <v>412</v>
      </c>
      <c r="C95" s="4" t="s">
        <v>433</v>
      </c>
      <c r="D95" s="6">
        <v>75</v>
      </c>
      <c r="E95" s="6">
        <v>2</v>
      </c>
      <c r="F95" s="4" t="s">
        <v>1711</v>
      </c>
      <c r="G95" s="4" t="s">
        <v>1618</v>
      </c>
      <c r="H95" s="4" t="b">
        <v>0</v>
      </c>
      <c r="I95" s="4"/>
      <c r="J95" s="4" t="b">
        <v>0</v>
      </c>
      <c r="K95" s="4" t="s">
        <v>1600</v>
      </c>
      <c r="L95" s="5">
        <v>75</v>
      </c>
      <c r="M95" s="5">
        <v>75</v>
      </c>
      <c r="N95" s="5"/>
      <c r="O95" s="5"/>
      <c r="P95" s="5" t="s">
        <v>1708</v>
      </c>
      <c r="Q95" s="5"/>
      <c r="R95" s="5" t="s">
        <v>1709</v>
      </c>
      <c r="S95" s="5"/>
      <c r="T95" s="5"/>
      <c r="U95" s="5"/>
      <c r="V95" s="5"/>
      <c r="W95" s="5" t="s">
        <v>1619</v>
      </c>
      <c r="X95" s="14" t="s">
        <v>69</v>
      </c>
      <c r="AE95" t="s">
        <v>243</v>
      </c>
      <c r="AF95" t="s">
        <v>52</v>
      </c>
      <c r="AG95" t="s">
        <v>3</v>
      </c>
    </row>
    <row r="96" spans="1:33" ht="14" x14ac:dyDescent="0.15">
      <c r="A96" s="4" t="s">
        <v>434</v>
      </c>
      <c r="B96" s="4" t="s">
        <v>412</v>
      </c>
      <c r="C96" s="4" t="s">
        <v>435</v>
      </c>
      <c r="D96" s="6">
        <v>100</v>
      </c>
      <c r="E96" s="6">
        <v>2</v>
      </c>
      <c r="F96" s="4" t="s">
        <v>1711</v>
      </c>
      <c r="G96" s="4" t="s">
        <v>1618</v>
      </c>
      <c r="H96" s="4" t="b">
        <v>0</v>
      </c>
      <c r="I96" s="4"/>
      <c r="J96" s="4" t="b">
        <v>0</v>
      </c>
      <c r="K96" s="4" t="s">
        <v>1600</v>
      </c>
      <c r="L96" s="5">
        <v>100</v>
      </c>
      <c r="M96" s="5">
        <v>100</v>
      </c>
      <c r="N96" s="5"/>
      <c r="O96" s="5"/>
      <c r="P96" s="5" t="s">
        <v>1708</v>
      </c>
      <c r="Q96" s="5"/>
      <c r="R96" s="5" t="s">
        <v>1709</v>
      </c>
      <c r="S96" s="5"/>
      <c r="T96" s="5"/>
      <c r="U96" s="5"/>
      <c r="V96" s="5"/>
      <c r="W96" s="5" t="s">
        <v>1619</v>
      </c>
      <c r="X96" s="14" t="s">
        <v>69</v>
      </c>
      <c r="AE96" t="s">
        <v>243</v>
      </c>
      <c r="AF96" t="s">
        <v>52</v>
      </c>
      <c r="AG96" t="s">
        <v>3</v>
      </c>
    </row>
    <row r="97" spans="1:33" ht="14" x14ac:dyDescent="0.15">
      <c r="A97" s="4" t="s">
        <v>436</v>
      </c>
      <c r="B97" s="4" t="s">
        <v>412</v>
      </c>
      <c r="C97" s="4" t="s">
        <v>437</v>
      </c>
      <c r="D97" s="6">
        <v>135</v>
      </c>
      <c r="E97" s="6">
        <v>2</v>
      </c>
      <c r="F97" s="4" t="s">
        <v>1711</v>
      </c>
      <c r="G97" s="4" t="s">
        <v>1618</v>
      </c>
      <c r="H97" s="4" t="b">
        <v>0</v>
      </c>
      <c r="I97" s="4"/>
      <c r="J97" s="4" t="b">
        <v>0</v>
      </c>
      <c r="K97" s="4" t="s">
        <v>1600</v>
      </c>
      <c r="L97" s="5">
        <v>135</v>
      </c>
      <c r="M97" s="5">
        <v>135</v>
      </c>
      <c r="N97" s="5"/>
      <c r="O97" s="5"/>
      <c r="P97" s="5" t="s">
        <v>1708</v>
      </c>
      <c r="Q97" s="5"/>
      <c r="R97" s="5" t="s">
        <v>1709</v>
      </c>
      <c r="S97" s="5"/>
      <c r="T97" s="5"/>
      <c r="U97" s="5"/>
      <c r="V97" s="5"/>
      <c r="W97" s="5" t="s">
        <v>1619</v>
      </c>
      <c r="X97" s="14" t="s">
        <v>69</v>
      </c>
      <c r="AE97" t="s">
        <v>243</v>
      </c>
      <c r="AF97" t="s">
        <v>52</v>
      </c>
      <c r="AG97" t="s">
        <v>3</v>
      </c>
    </row>
    <row r="98" spans="1:33" ht="14" x14ac:dyDescent="0.15">
      <c r="A98" s="4" t="s">
        <v>438</v>
      </c>
      <c r="B98" s="4" t="s">
        <v>412</v>
      </c>
      <c r="C98" s="4" t="s">
        <v>439</v>
      </c>
      <c r="D98" s="6">
        <v>152</v>
      </c>
      <c r="E98" s="6">
        <v>2</v>
      </c>
      <c r="F98" s="4" t="s">
        <v>1711</v>
      </c>
      <c r="G98" s="4" t="s">
        <v>1618</v>
      </c>
      <c r="H98" s="4" t="b">
        <v>0</v>
      </c>
      <c r="I98" s="4"/>
      <c r="J98" s="4" t="b">
        <v>0</v>
      </c>
      <c r="K98" s="4" t="s">
        <v>1600</v>
      </c>
      <c r="L98" s="5">
        <v>152</v>
      </c>
      <c r="M98" s="5">
        <v>152</v>
      </c>
      <c r="N98" s="5"/>
      <c r="O98" s="5"/>
      <c r="P98" s="5" t="s">
        <v>1708</v>
      </c>
      <c r="Q98" s="5"/>
      <c r="R98" s="5" t="s">
        <v>1709</v>
      </c>
      <c r="S98" s="5"/>
      <c r="T98" s="5"/>
      <c r="U98" s="5"/>
      <c r="V98" s="5"/>
      <c r="W98" s="5" t="s">
        <v>1619</v>
      </c>
      <c r="X98" s="14" t="s">
        <v>69</v>
      </c>
      <c r="AE98" t="s">
        <v>243</v>
      </c>
      <c r="AF98" t="s">
        <v>52</v>
      </c>
      <c r="AG98" t="s">
        <v>3</v>
      </c>
    </row>
    <row r="99" spans="1:33" ht="14" x14ac:dyDescent="0.15">
      <c r="A99" s="4" t="s">
        <v>440</v>
      </c>
      <c r="B99" s="4" t="s">
        <v>412</v>
      </c>
      <c r="C99" s="4" t="s">
        <v>441</v>
      </c>
      <c r="D99" s="6">
        <v>16</v>
      </c>
      <c r="E99" s="6">
        <v>2</v>
      </c>
      <c r="F99" s="4" t="s">
        <v>1714</v>
      </c>
      <c r="G99" s="4" t="s">
        <v>1618</v>
      </c>
      <c r="H99" s="4" t="b">
        <v>0</v>
      </c>
      <c r="I99" s="4"/>
      <c r="J99" s="4" t="b">
        <v>0</v>
      </c>
      <c r="K99" s="4" t="s">
        <v>1600</v>
      </c>
      <c r="L99" s="5">
        <v>16</v>
      </c>
      <c r="M99" s="5">
        <v>16</v>
      </c>
      <c r="N99" s="5"/>
      <c r="O99" s="5"/>
      <c r="P99" s="5" t="s">
        <v>1708</v>
      </c>
      <c r="Q99" s="5"/>
      <c r="R99" s="5" t="s">
        <v>1709</v>
      </c>
      <c r="S99" s="5"/>
      <c r="T99" s="5"/>
      <c r="U99" s="5"/>
      <c r="V99" s="5"/>
      <c r="W99" s="5" t="s">
        <v>1619</v>
      </c>
      <c r="X99" s="14" t="s">
        <v>69</v>
      </c>
      <c r="AE99" t="s">
        <v>243</v>
      </c>
      <c r="AF99" t="s">
        <v>52</v>
      </c>
      <c r="AG99" t="s">
        <v>3</v>
      </c>
    </row>
    <row r="100" spans="1:33" ht="14" x14ac:dyDescent="0.15">
      <c r="A100" s="4" t="s">
        <v>442</v>
      </c>
      <c r="B100" s="4" t="s">
        <v>412</v>
      </c>
      <c r="C100" s="4" t="s">
        <v>443</v>
      </c>
      <c r="D100" s="6">
        <v>18</v>
      </c>
      <c r="E100" s="6">
        <v>2</v>
      </c>
      <c r="F100" s="4" t="s">
        <v>1714</v>
      </c>
      <c r="G100" s="4" t="s">
        <v>1618</v>
      </c>
      <c r="H100" s="4" t="b">
        <v>0</v>
      </c>
      <c r="I100" s="4"/>
      <c r="J100" s="4" t="b">
        <v>0</v>
      </c>
      <c r="K100" s="4" t="s">
        <v>1600</v>
      </c>
      <c r="L100" s="5">
        <v>18</v>
      </c>
      <c r="M100" s="5">
        <v>18</v>
      </c>
      <c r="N100" s="5"/>
      <c r="O100" s="5"/>
      <c r="P100" s="5" t="s">
        <v>1708</v>
      </c>
      <c r="Q100" s="5"/>
      <c r="R100" s="5" t="s">
        <v>1709</v>
      </c>
      <c r="S100" s="5"/>
      <c r="T100" s="5"/>
      <c r="U100" s="5"/>
      <c r="V100" s="5"/>
      <c r="W100" s="5" t="s">
        <v>1619</v>
      </c>
      <c r="X100" s="14" t="s">
        <v>69</v>
      </c>
      <c r="AE100" t="s">
        <v>243</v>
      </c>
      <c r="AF100" t="s">
        <v>52</v>
      </c>
      <c r="AG100" t="s">
        <v>3</v>
      </c>
    </row>
    <row r="101" spans="1:33" ht="14" x14ac:dyDescent="0.15">
      <c r="A101" s="4" t="s">
        <v>444</v>
      </c>
      <c r="B101" s="4" t="s">
        <v>412</v>
      </c>
      <c r="C101" s="4" t="s">
        <v>445</v>
      </c>
      <c r="D101" s="6">
        <v>21</v>
      </c>
      <c r="E101" s="6">
        <v>2</v>
      </c>
      <c r="F101" s="4" t="s">
        <v>1714</v>
      </c>
      <c r="G101" s="4" t="s">
        <v>1618</v>
      </c>
      <c r="H101" s="4" t="b">
        <v>0</v>
      </c>
      <c r="I101" s="4"/>
      <c r="J101" s="4" t="b">
        <v>0</v>
      </c>
      <c r="K101" s="4" t="s">
        <v>1600</v>
      </c>
      <c r="L101" s="5">
        <v>21</v>
      </c>
      <c r="M101" s="5">
        <v>21</v>
      </c>
      <c r="N101" s="5"/>
      <c r="O101" s="5"/>
      <c r="P101" s="5" t="s">
        <v>1708</v>
      </c>
      <c r="Q101" s="5"/>
      <c r="R101" s="5" t="s">
        <v>1709</v>
      </c>
      <c r="S101" s="5"/>
      <c r="T101" s="5"/>
      <c r="U101" s="5"/>
      <c r="V101" s="5"/>
      <c r="W101" s="5" t="s">
        <v>1619</v>
      </c>
      <c r="X101" s="14" t="s">
        <v>69</v>
      </c>
      <c r="AE101" t="s">
        <v>243</v>
      </c>
      <c r="AF101" t="s">
        <v>52</v>
      </c>
      <c r="AG101" t="s">
        <v>3</v>
      </c>
    </row>
    <row r="102" spans="1:33" ht="14" x14ac:dyDescent="0.15">
      <c r="A102" s="4" t="s">
        <v>446</v>
      </c>
      <c r="B102" s="4" t="s">
        <v>412</v>
      </c>
      <c r="C102" s="4" t="s">
        <v>447</v>
      </c>
      <c r="D102" s="6">
        <v>25</v>
      </c>
      <c r="E102" s="6">
        <v>2</v>
      </c>
      <c r="F102" s="4" t="s">
        <v>1714</v>
      </c>
      <c r="G102" s="4" t="s">
        <v>1618</v>
      </c>
      <c r="H102" s="4" t="b">
        <v>0</v>
      </c>
      <c r="I102" s="4"/>
      <c r="J102" s="4" t="b">
        <v>0</v>
      </c>
      <c r="K102" s="4" t="s">
        <v>1600</v>
      </c>
      <c r="L102" s="5">
        <v>25</v>
      </c>
      <c r="M102" s="5">
        <v>25</v>
      </c>
      <c r="N102" s="5"/>
      <c r="O102" s="5"/>
      <c r="P102" s="5" t="s">
        <v>1708</v>
      </c>
      <c r="Q102" s="5"/>
      <c r="R102" s="5" t="s">
        <v>1709</v>
      </c>
      <c r="S102" s="5"/>
      <c r="T102" s="5"/>
      <c r="U102" s="5"/>
      <c r="V102" s="5"/>
      <c r="W102" s="5" t="s">
        <v>1619</v>
      </c>
      <c r="X102" s="14" t="s">
        <v>69</v>
      </c>
      <c r="AE102" t="s">
        <v>243</v>
      </c>
      <c r="AF102" t="s">
        <v>52</v>
      </c>
      <c r="AG102" t="s">
        <v>3</v>
      </c>
    </row>
    <row r="103" spans="1:33" ht="14" x14ac:dyDescent="0.15">
      <c r="A103" s="4" t="s">
        <v>448</v>
      </c>
      <c r="B103" s="4" t="s">
        <v>412</v>
      </c>
      <c r="C103" s="4" t="s">
        <v>449</v>
      </c>
      <c r="D103" s="6">
        <v>32</v>
      </c>
      <c r="E103" s="6">
        <v>2</v>
      </c>
      <c r="F103" s="4" t="s">
        <v>1714</v>
      </c>
      <c r="G103" s="4" t="s">
        <v>1618</v>
      </c>
      <c r="H103" s="4" t="b">
        <v>0</v>
      </c>
      <c r="I103" s="4"/>
      <c r="J103" s="4" t="b">
        <v>0</v>
      </c>
      <c r="K103" s="4" t="s">
        <v>1600</v>
      </c>
      <c r="L103" s="5">
        <v>32</v>
      </c>
      <c r="M103" s="5">
        <v>32</v>
      </c>
      <c r="N103" s="5"/>
      <c r="O103" s="5"/>
      <c r="P103" s="5" t="s">
        <v>1708</v>
      </c>
      <c r="Q103" s="5"/>
      <c r="R103" s="5" t="s">
        <v>1709</v>
      </c>
      <c r="S103" s="5"/>
      <c r="T103" s="5"/>
      <c r="U103" s="5"/>
      <c r="V103" s="5"/>
      <c r="W103" s="5" t="s">
        <v>1619</v>
      </c>
      <c r="X103" s="14" t="s">
        <v>69</v>
      </c>
      <c r="AE103" t="s">
        <v>243</v>
      </c>
      <c r="AF103" t="s">
        <v>52</v>
      </c>
      <c r="AG103" t="s">
        <v>3</v>
      </c>
    </row>
    <row r="104" spans="1:33" ht="14" x14ac:dyDescent="0.15">
      <c r="A104" s="4" t="s">
        <v>450</v>
      </c>
      <c r="B104" s="4" t="s">
        <v>412</v>
      </c>
      <c r="C104" s="4" t="s">
        <v>451</v>
      </c>
      <c r="D104" s="6">
        <v>40</v>
      </c>
      <c r="E104" s="6">
        <v>2</v>
      </c>
      <c r="F104" s="4" t="s">
        <v>1714</v>
      </c>
      <c r="G104" s="4" t="s">
        <v>1618</v>
      </c>
      <c r="H104" s="4" t="b">
        <v>0</v>
      </c>
      <c r="I104" s="4"/>
      <c r="J104" s="4" t="b">
        <v>0</v>
      </c>
      <c r="K104" s="4" t="s">
        <v>1600</v>
      </c>
      <c r="L104" s="5">
        <v>40</v>
      </c>
      <c r="M104" s="5">
        <v>40</v>
      </c>
      <c r="N104" s="5"/>
      <c r="O104" s="5"/>
      <c r="P104" s="5" t="s">
        <v>1708</v>
      </c>
      <c r="Q104" s="5"/>
      <c r="R104" s="5" t="s">
        <v>1709</v>
      </c>
      <c r="S104" s="5"/>
      <c r="T104" s="5"/>
      <c r="U104" s="5"/>
      <c r="V104" s="5"/>
      <c r="W104" s="5" t="s">
        <v>1619</v>
      </c>
      <c r="X104" s="14" t="s">
        <v>69</v>
      </c>
      <c r="AE104" t="s">
        <v>243</v>
      </c>
      <c r="AF104" t="s">
        <v>52</v>
      </c>
      <c r="AG104" t="s">
        <v>3</v>
      </c>
    </row>
    <row r="105" spans="1:33" ht="14" x14ac:dyDescent="0.15">
      <c r="A105" s="4" t="s">
        <v>452</v>
      </c>
      <c r="B105" s="4" t="s">
        <v>412</v>
      </c>
      <c r="C105" s="4" t="s">
        <v>453</v>
      </c>
      <c r="D105" s="6">
        <v>50</v>
      </c>
      <c r="E105" s="6">
        <v>2</v>
      </c>
      <c r="F105" s="4" t="s">
        <v>1714</v>
      </c>
      <c r="G105" s="4" t="s">
        <v>1618</v>
      </c>
      <c r="H105" s="4" t="b">
        <v>0</v>
      </c>
      <c r="I105" s="4"/>
      <c r="J105" s="4" t="b">
        <v>0</v>
      </c>
      <c r="K105" s="4" t="s">
        <v>1600</v>
      </c>
      <c r="L105" s="5">
        <v>50</v>
      </c>
      <c r="M105" s="5">
        <v>50</v>
      </c>
      <c r="N105" s="5"/>
      <c r="O105" s="5"/>
      <c r="P105" s="5" t="s">
        <v>1708</v>
      </c>
      <c r="Q105" s="5"/>
      <c r="R105" s="5" t="s">
        <v>1709</v>
      </c>
      <c r="S105" s="5"/>
      <c r="T105" s="5"/>
      <c r="U105" s="5"/>
      <c r="V105" s="5"/>
      <c r="W105" s="5" t="s">
        <v>1619</v>
      </c>
      <c r="X105" s="14" t="s">
        <v>69</v>
      </c>
      <c r="AE105" t="s">
        <v>243</v>
      </c>
      <c r="AF105" t="s">
        <v>52</v>
      </c>
      <c r="AG105" t="s">
        <v>3</v>
      </c>
    </row>
    <row r="106" spans="1:33" ht="14" x14ac:dyDescent="0.15">
      <c r="A106" s="4" t="s">
        <v>454</v>
      </c>
      <c r="B106" s="4" t="s">
        <v>412</v>
      </c>
      <c r="C106" s="4" t="s">
        <v>455</v>
      </c>
      <c r="D106" s="6">
        <v>75</v>
      </c>
      <c r="E106" s="6">
        <v>2</v>
      </c>
      <c r="F106" s="4" t="s">
        <v>1714</v>
      </c>
      <c r="G106" s="4" t="s">
        <v>1618</v>
      </c>
      <c r="H106" s="4" t="b">
        <v>0</v>
      </c>
      <c r="I106" s="4"/>
      <c r="J106" s="4" t="b">
        <v>0</v>
      </c>
      <c r="K106" s="4" t="s">
        <v>1600</v>
      </c>
      <c r="L106" s="5">
        <v>75</v>
      </c>
      <c r="M106" s="5">
        <v>75</v>
      </c>
      <c r="N106" s="5"/>
      <c r="O106" s="5"/>
      <c r="P106" s="5" t="s">
        <v>1708</v>
      </c>
      <c r="Q106" s="5"/>
      <c r="R106" s="5" t="s">
        <v>1709</v>
      </c>
      <c r="S106" s="5"/>
      <c r="T106" s="5"/>
      <c r="U106" s="5"/>
      <c r="V106" s="5"/>
      <c r="W106" s="5" t="s">
        <v>1619</v>
      </c>
      <c r="X106" s="14" t="s">
        <v>69</v>
      </c>
      <c r="AE106" t="s">
        <v>243</v>
      </c>
      <c r="AF106" t="s">
        <v>52</v>
      </c>
      <c r="AG106" t="s">
        <v>3</v>
      </c>
    </row>
    <row r="107" spans="1:33" ht="14" x14ac:dyDescent="0.15">
      <c r="A107" s="4" t="s">
        <v>456</v>
      </c>
      <c r="B107" s="4" t="s">
        <v>412</v>
      </c>
      <c r="C107" s="4" t="s">
        <v>457</v>
      </c>
      <c r="D107" s="6">
        <v>100</v>
      </c>
      <c r="E107" s="6">
        <v>2</v>
      </c>
      <c r="F107" s="4" t="s">
        <v>1714</v>
      </c>
      <c r="G107" s="4" t="s">
        <v>1618</v>
      </c>
      <c r="H107" s="4" t="b">
        <v>0</v>
      </c>
      <c r="I107" s="4"/>
      <c r="J107" s="4" t="b">
        <v>0</v>
      </c>
      <c r="K107" s="4" t="s">
        <v>1600</v>
      </c>
      <c r="L107" s="5">
        <v>100</v>
      </c>
      <c r="M107" s="5">
        <v>100</v>
      </c>
      <c r="N107" s="5"/>
      <c r="O107" s="5"/>
      <c r="P107" s="5" t="s">
        <v>1708</v>
      </c>
      <c r="Q107" s="5"/>
      <c r="R107" s="5" t="s">
        <v>1709</v>
      </c>
      <c r="S107" s="5"/>
      <c r="T107" s="5"/>
      <c r="U107" s="5"/>
      <c r="V107" s="5"/>
      <c r="W107" s="5" t="s">
        <v>1619</v>
      </c>
      <c r="X107" s="14" t="s">
        <v>69</v>
      </c>
      <c r="AE107" t="s">
        <v>243</v>
      </c>
      <c r="AF107" t="s">
        <v>52</v>
      </c>
      <c r="AG107" t="s">
        <v>3</v>
      </c>
    </row>
    <row r="108" spans="1:33" ht="14" x14ac:dyDescent="0.15">
      <c r="A108" s="4" t="s">
        <v>458</v>
      </c>
      <c r="B108" s="4" t="s">
        <v>412</v>
      </c>
      <c r="C108" s="4" t="s">
        <v>459</v>
      </c>
      <c r="D108" s="6">
        <v>135</v>
      </c>
      <c r="E108" s="6">
        <v>2</v>
      </c>
      <c r="F108" s="4" t="s">
        <v>1714</v>
      </c>
      <c r="G108" s="4" t="s">
        <v>1618</v>
      </c>
      <c r="H108" s="4" t="b">
        <v>0</v>
      </c>
      <c r="I108" s="4"/>
      <c r="J108" s="4" t="b">
        <v>0</v>
      </c>
      <c r="K108" s="4" t="s">
        <v>1600</v>
      </c>
      <c r="L108" s="5">
        <v>135</v>
      </c>
      <c r="M108" s="5">
        <v>135</v>
      </c>
      <c r="N108" s="5"/>
      <c r="O108" s="5"/>
      <c r="P108" s="5" t="s">
        <v>1708</v>
      </c>
      <c r="Q108" s="5"/>
      <c r="R108" s="5" t="s">
        <v>1709</v>
      </c>
      <c r="S108" s="5"/>
      <c r="T108" s="5"/>
      <c r="U108" s="5"/>
      <c r="V108" s="5"/>
      <c r="W108" s="5" t="s">
        <v>1619</v>
      </c>
      <c r="X108" s="14" t="s">
        <v>69</v>
      </c>
      <c r="AE108" t="s">
        <v>243</v>
      </c>
      <c r="AF108" t="s">
        <v>52</v>
      </c>
      <c r="AG108" t="s">
        <v>3</v>
      </c>
    </row>
    <row r="109" spans="1:33" ht="14" x14ac:dyDescent="0.15">
      <c r="A109" s="4" t="s">
        <v>460</v>
      </c>
      <c r="B109" s="4" t="s">
        <v>412</v>
      </c>
      <c r="C109" s="4" t="s">
        <v>461</v>
      </c>
      <c r="D109" s="6">
        <v>152</v>
      </c>
      <c r="E109" s="6">
        <v>2</v>
      </c>
      <c r="F109" s="4" t="s">
        <v>1714</v>
      </c>
      <c r="G109" s="4" t="s">
        <v>1618</v>
      </c>
      <c r="H109" s="4" t="b">
        <v>0</v>
      </c>
      <c r="I109" s="4"/>
      <c r="J109" s="4" t="b">
        <v>0</v>
      </c>
      <c r="K109" s="4" t="s">
        <v>1600</v>
      </c>
      <c r="L109" s="5">
        <v>152</v>
      </c>
      <c r="M109" s="5">
        <v>152</v>
      </c>
      <c r="N109" s="5"/>
      <c r="O109" s="5"/>
      <c r="P109" s="5" t="s">
        <v>1708</v>
      </c>
      <c r="Q109" s="5"/>
      <c r="R109" s="5" t="s">
        <v>1709</v>
      </c>
      <c r="S109" s="5"/>
      <c r="T109" s="5"/>
      <c r="U109" s="5"/>
      <c r="V109" s="5"/>
      <c r="W109" s="5" t="s">
        <v>1619</v>
      </c>
      <c r="X109" s="14" t="s">
        <v>69</v>
      </c>
      <c r="AE109" t="s">
        <v>243</v>
      </c>
      <c r="AF109" t="s">
        <v>52</v>
      </c>
      <c r="AG109" t="s">
        <v>3</v>
      </c>
    </row>
    <row r="110" spans="1:33" ht="14" x14ac:dyDescent="0.15">
      <c r="A110" s="4" t="s">
        <v>462</v>
      </c>
      <c r="B110" s="4" t="s">
        <v>412</v>
      </c>
      <c r="C110" s="4" t="s">
        <v>463</v>
      </c>
      <c r="D110" s="6">
        <v>18</v>
      </c>
      <c r="E110" s="6">
        <v>1.4</v>
      </c>
      <c r="F110" s="4" t="s">
        <v>1714</v>
      </c>
      <c r="G110" s="4" t="s">
        <v>1618</v>
      </c>
      <c r="H110" s="4" t="b">
        <v>0</v>
      </c>
      <c r="I110" s="4"/>
      <c r="J110" s="4" t="b">
        <v>0</v>
      </c>
      <c r="K110" s="4" t="s">
        <v>1600</v>
      </c>
      <c r="L110" s="5">
        <v>18</v>
      </c>
      <c r="M110" s="5">
        <v>18</v>
      </c>
      <c r="N110" s="5"/>
      <c r="O110" s="5"/>
      <c r="P110" s="5" t="s">
        <v>1708</v>
      </c>
      <c r="Q110" s="5"/>
      <c r="R110" s="5" t="s">
        <v>1709</v>
      </c>
      <c r="S110" s="5"/>
      <c r="T110" s="5"/>
      <c r="U110" s="5"/>
      <c r="V110" s="5"/>
      <c r="W110" s="5" t="s">
        <v>1619</v>
      </c>
      <c r="X110" s="14" t="s">
        <v>69</v>
      </c>
      <c r="AE110" t="s">
        <v>243</v>
      </c>
      <c r="AF110" t="s">
        <v>52</v>
      </c>
      <c r="AG110" t="s">
        <v>3</v>
      </c>
    </row>
    <row r="111" spans="1:33" ht="14" x14ac:dyDescent="0.15">
      <c r="A111" s="4" t="s">
        <v>464</v>
      </c>
      <c r="B111" s="4" t="s">
        <v>412</v>
      </c>
      <c r="C111" s="4" t="s">
        <v>465</v>
      </c>
      <c r="D111" s="6">
        <v>21</v>
      </c>
      <c r="E111" s="6">
        <v>1.4</v>
      </c>
      <c r="F111" s="4" t="s">
        <v>1714</v>
      </c>
      <c r="G111" s="4" t="s">
        <v>1618</v>
      </c>
      <c r="H111" s="4" t="b">
        <v>0</v>
      </c>
      <c r="I111" s="4"/>
      <c r="J111" s="4" t="b">
        <v>0</v>
      </c>
      <c r="K111" s="4" t="s">
        <v>1600</v>
      </c>
      <c r="L111" s="5">
        <v>21</v>
      </c>
      <c r="M111" s="5">
        <v>21</v>
      </c>
      <c r="N111" s="5"/>
      <c r="O111" s="5"/>
      <c r="P111" s="5" t="s">
        <v>1708</v>
      </c>
      <c r="Q111" s="5"/>
      <c r="R111" s="5" t="s">
        <v>1709</v>
      </c>
      <c r="S111" s="5"/>
      <c r="T111" s="5"/>
      <c r="U111" s="5"/>
      <c r="V111" s="5"/>
      <c r="W111" s="5" t="s">
        <v>1619</v>
      </c>
      <c r="X111" s="14" t="s">
        <v>69</v>
      </c>
      <c r="AE111" t="s">
        <v>243</v>
      </c>
      <c r="AF111" t="s">
        <v>52</v>
      </c>
      <c r="AG111" t="s">
        <v>3</v>
      </c>
    </row>
    <row r="112" spans="1:33" ht="14" x14ac:dyDescent="0.15">
      <c r="A112" s="4" t="s">
        <v>466</v>
      </c>
      <c r="B112" s="4" t="s">
        <v>412</v>
      </c>
      <c r="C112" s="4" t="s">
        <v>467</v>
      </c>
      <c r="D112" s="6">
        <v>25</v>
      </c>
      <c r="E112" s="6">
        <v>1.4</v>
      </c>
      <c r="F112" s="4" t="s">
        <v>1714</v>
      </c>
      <c r="G112" s="4" t="s">
        <v>1618</v>
      </c>
      <c r="H112" s="4" t="b">
        <v>0</v>
      </c>
      <c r="I112" s="4"/>
      <c r="J112" s="4" t="b">
        <v>0</v>
      </c>
      <c r="K112" s="4" t="s">
        <v>1600</v>
      </c>
      <c r="L112" s="5">
        <v>25</v>
      </c>
      <c r="M112" s="5">
        <v>25</v>
      </c>
      <c r="N112" s="5"/>
      <c r="O112" s="5"/>
      <c r="P112" s="5" t="s">
        <v>1708</v>
      </c>
      <c r="Q112" s="5"/>
      <c r="R112" s="5" t="s">
        <v>1709</v>
      </c>
      <c r="S112" s="5"/>
      <c r="T112" s="5"/>
      <c r="U112" s="5"/>
      <c r="V112" s="5"/>
      <c r="W112" s="5" t="s">
        <v>1619</v>
      </c>
      <c r="X112" s="14" t="s">
        <v>69</v>
      </c>
      <c r="AE112" t="s">
        <v>243</v>
      </c>
      <c r="AF112" t="s">
        <v>52</v>
      </c>
      <c r="AG112" t="s">
        <v>3</v>
      </c>
    </row>
    <row r="113" spans="1:33" ht="14" x14ac:dyDescent="0.15">
      <c r="A113" s="4" t="s">
        <v>468</v>
      </c>
      <c r="B113" s="4" t="s">
        <v>412</v>
      </c>
      <c r="C113" s="4" t="s">
        <v>469</v>
      </c>
      <c r="D113" s="6">
        <v>32</v>
      </c>
      <c r="E113" s="6">
        <v>1.4</v>
      </c>
      <c r="F113" s="4" t="s">
        <v>1714</v>
      </c>
      <c r="G113" s="4" t="s">
        <v>1618</v>
      </c>
      <c r="H113" s="4" t="b">
        <v>0</v>
      </c>
      <c r="I113" s="4"/>
      <c r="J113" s="4" t="b">
        <v>0</v>
      </c>
      <c r="K113" s="4" t="s">
        <v>1600</v>
      </c>
      <c r="L113" s="5">
        <v>32</v>
      </c>
      <c r="M113" s="5">
        <v>32</v>
      </c>
      <c r="N113" s="5"/>
      <c r="O113" s="5"/>
      <c r="P113" s="5" t="s">
        <v>1708</v>
      </c>
      <c r="Q113" s="5"/>
      <c r="R113" s="5" t="s">
        <v>1709</v>
      </c>
      <c r="S113" s="5"/>
      <c r="T113" s="5"/>
      <c r="U113" s="5"/>
      <c r="V113" s="5"/>
      <c r="W113" s="5" t="s">
        <v>1619</v>
      </c>
      <c r="X113" s="14" t="s">
        <v>69</v>
      </c>
      <c r="AE113" t="s">
        <v>243</v>
      </c>
      <c r="AF113" t="s">
        <v>52</v>
      </c>
      <c r="AG113" t="s">
        <v>3</v>
      </c>
    </row>
    <row r="114" spans="1:33" ht="14" x14ac:dyDescent="0.15">
      <c r="A114" s="4" t="s">
        <v>470</v>
      </c>
      <c r="B114" s="4" t="s">
        <v>412</v>
      </c>
      <c r="C114" s="4" t="s">
        <v>471</v>
      </c>
      <c r="D114" s="6">
        <v>40</v>
      </c>
      <c r="E114" s="6">
        <v>1.4</v>
      </c>
      <c r="F114" s="4" t="s">
        <v>1714</v>
      </c>
      <c r="G114" s="4" t="s">
        <v>1618</v>
      </c>
      <c r="H114" s="4" t="b">
        <v>0</v>
      </c>
      <c r="I114" s="4"/>
      <c r="J114" s="4" t="b">
        <v>0</v>
      </c>
      <c r="K114" s="4" t="s">
        <v>1600</v>
      </c>
      <c r="L114" s="5">
        <v>40</v>
      </c>
      <c r="M114" s="5">
        <v>40</v>
      </c>
      <c r="N114" s="5"/>
      <c r="O114" s="5"/>
      <c r="P114" s="5" t="s">
        <v>1708</v>
      </c>
      <c r="Q114" s="5"/>
      <c r="R114" s="5" t="s">
        <v>1709</v>
      </c>
      <c r="S114" s="5"/>
      <c r="T114" s="5"/>
      <c r="U114" s="5"/>
      <c r="V114" s="5"/>
      <c r="W114" s="5" t="s">
        <v>1619</v>
      </c>
      <c r="X114" s="14" t="s">
        <v>69</v>
      </c>
      <c r="AE114" t="s">
        <v>243</v>
      </c>
      <c r="AF114" t="s">
        <v>52</v>
      </c>
      <c r="AG114" t="s">
        <v>3</v>
      </c>
    </row>
    <row r="115" spans="1:33" ht="14" x14ac:dyDescent="0.15">
      <c r="A115" s="4" t="s">
        <v>472</v>
      </c>
      <c r="B115" s="4" t="s">
        <v>412</v>
      </c>
      <c r="C115" s="4" t="s">
        <v>473</v>
      </c>
      <c r="D115" s="6">
        <v>50</v>
      </c>
      <c r="E115" s="6">
        <v>1.4</v>
      </c>
      <c r="F115" s="4" t="s">
        <v>1714</v>
      </c>
      <c r="G115" s="4" t="s">
        <v>1618</v>
      </c>
      <c r="H115" s="4" t="b">
        <v>0</v>
      </c>
      <c r="I115" s="4"/>
      <c r="J115" s="4" t="b">
        <v>0</v>
      </c>
      <c r="K115" s="4" t="s">
        <v>1600</v>
      </c>
      <c r="L115" s="5">
        <v>50</v>
      </c>
      <c r="M115" s="5">
        <v>50</v>
      </c>
      <c r="N115" s="5"/>
      <c r="O115" s="5"/>
      <c r="P115" s="5" t="s">
        <v>1708</v>
      </c>
      <c r="Q115" s="5"/>
      <c r="R115" s="5" t="s">
        <v>1709</v>
      </c>
      <c r="S115" s="5"/>
      <c r="T115" s="5"/>
      <c r="U115" s="5"/>
      <c r="V115" s="5"/>
      <c r="W115" s="5" t="s">
        <v>1619</v>
      </c>
      <c r="X115" s="14" t="s">
        <v>69</v>
      </c>
      <c r="AE115" t="s">
        <v>243</v>
      </c>
      <c r="AF115" t="s">
        <v>52</v>
      </c>
      <c r="AG115" t="s">
        <v>3</v>
      </c>
    </row>
    <row r="116" spans="1:33" ht="14" x14ac:dyDescent="0.15">
      <c r="A116" s="4" t="s">
        <v>474</v>
      </c>
      <c r="B116" s="4" t="s">
        <v>412</v>
      </c>
      <c r="C116" s="4" t="s">
        <v>475</v>
      </c>
      <c r="D116" s="6">
        <v>75</v>
      </c>
      <c r="E116" s="6">
        <v>1.4</v>
      </c>
      <c r="F116" s="4" t="s">
        <v>1714</v>
      </c>
      <c r="G116" s="4" t="s">
        <v>1618</v>
      </c>
      <c r="H116" s="4" t="b">
        <v>0</v>
      </c>
      <c r="I116" s="4"/>
      <c r="J116" s="4" t="b">
        <v>0</v>
      </c>
      <c r="K116" s="4" t="s">
        <v>1600</v>
      </c>
      <c r="L116" s="5">
        <v>75</v>
      </c>
      <c r="M116" s="5">
        <v>75</v>
      </c>
      <c r="N116" s="5"/>
      <c r="O116" s="5"/>
      <c r="P116" s="5" t="s">
        <v>1708</v>
      </c>
      <c r="Q116" s="5"/>
      <c r="R116" s="5" t="s">
        <v>1709</v>
      </c>
      <c r="S116" s="5"/>
      <c r="T116" s="5"/>
      <c r="U116" s="5"/>
      <c r="V116" s="5"/>
      <c r="W116" s="5" t="s">
        <v>1619</v>
      </c>
      <c r="X116" s="14" t="s">
        <v>69</v>
      </c>
      <c r="AE116" t="s">
        <v>243</v>
      </c>
      <c r="AF116" t="s">
        <v>52</v>
      </c>
      <c r="AG116" t="s">
        <v>3</v>
      </c>
    </row>
    <row r="117" spans="1:33" ht="14" x14ac:dyDescent="0.15">
      <c r="A117" s="4" t="s">
        <v>476</v>
      </c>
      <c r="B117" s="4" t="s">
        <v>412</v>
      </c>
      <c r="C117" s="4" t="s">
        <v>477</v>
      </c>
      <c r="D117" s="6">
        <v>100</v>
      </c>
      <c r="E117" s="6">
        <v>1.4</v>
      </c>
      <c r="F117" s="4" t="s">
        <v>1714</v>
      </c>
      <c r="G117" s="4" t="s">
        <v>1618</v>
      </c>
      <c r="H117" s="4" t="b">
        <v>0</v>
      </c>
      <c r="I117" s="4"/>
      <c r="J117" s="4" t="b">
        <v>0</v>
      </c>
      <c r="K117" s="4" t="s">
        <v>1600</v>
      </c>
      <c r="L117" s="5">
        <v>100</v>
      </c>
      <c r="M117" s="5">
        <v>100</v>
      </c>
      <c r="N117" s="5"/>
      <c r="O117" s="5"/>
      <c r="P117" s="5" t="s">
        <v>1708</v>
      </c>
      <c r="Q117" s="5"/>
      <c r="R117" s="5" t="s">
        <v>1709</v>
      </c>
      <c r="S117" s="5"/>
      <c r="T117" s="5"/>
      <c r="U117" s="5"/>
      <c r="V117" s="5"/>
      <c r="W117" s="5" t="s">
        <v>1619</v>
      </c>
      <c r="X117" s="14" t="s">
        <v>69</v>
      </c>
      <c r="AE117" t="s">
        <v>243</v>
      </c>
      <c r="AF117" t="s">
        <v>52</v>
      </c>
      <c r="AG117" t="s">
        <v>3</v>
      </c>
    </row>
    <row r="118" spans="1:33" ht="14" x14ac:dyDescent="0.15">
      <c r="A118" s="4" t="s">
        <v>478</v>
      </c>
      <c r="B118" s="4" t="s">
        <v>412</v>
      </c>
      <c r="C118" s="4" t="s">
        <v>479</v>
      </c>
      <c r="D118" s="6">
        <v>135</v>
      </c>
      <c r="E118" s="6">
        <v>1.4</v>
      </c>
      <c r="F118" s="4" t="s">
        <v>1714</v>
      </c>
      <c r="G118" s="4" t="s">
        <v>1618</v>
      </c>
      <c r="H118" s="4" t="b">
        <v>0</v>
      </c>
      <c r="I118" s="4"/>
      <c r="J118" s="4" t="b">
        <v>0</v>
      </c>
      <c r="K118" s="4" t="s">
        <v>1600</v>
      </c>
      <c r="L118" s="5">
        <v>135</v>
      </c>
      <c r="M118" s="5">
        <v>135</v>
      </c>
      <c r="N118" s="5"/>
      <c r="O118" s="5"/>
      <c r="P118" s="5" t="s">
        <v>1708</v>
      </c>
      <c r="Q118" s="5"/>
      <c r="R118" s="5" t="s">
        <v>1709</v>
      </c>
      <c r="S118" s="5"/>
      <c r="T118" s="5"/>
      <c r="U118" s="5"/>
      <c r="V118" s="5"/>
      <c r="W118" s="5" t="s">
        <v>1619</v>
      </c>
      <c r="X118" s="14" t="s">
        <v>69</v>
      </c>
      <c r="AE118" t="s">
        <v>243</v>
      </c>
      <c r="AF118" t="s">
        <v>52</v>
      </c>
      <c r="AG118" t="s">
        <v>3</v>
      </c>
    </row>
    <row r="119" spans="1:33" ht="14" x14ac:dyDescent="0.15">
      <c r="A119" s="4" t="s">
        <v>480</v>
      </c>
      <c r="B119" s="4" t="s">
        <v>412</v>
      </c>
      <c r="C119" s="4" t="s">
        <v>481</v>
      </c>
      <c r="D119" s="6">
        <v>18</v>
      </c>
      <c r="E119" s="6">
        <v>2.8</v>
      </c>
      <c r="F119" s="4" t="s">
        <v>1711</v>
      </c>
      <c r="G119" s="4" t="s">
        <v>1618</v>
      </c>
      <c r="H119" s="4" t="b">
        <v>0</v>
      </c>
      <c r="I119" s="4"/>
      <c r="J119" s="4" t="b">
        <v>0</v>
      </c>
      <c r="K119" s="4" t="s">
        <v>1600</v>
      </c>
      <c r="L119" s="5">
        <v>18</v>
      </c>
      <c r="M119" s="5">
        <v>18</v>
      </c>
      <c r="N119" s="5"/>
      <c r="O119" s="5"/>
      <c r="P119" s="5" t="s">
        <v>1708</v>
      </c>
      <c r="Q119" s="5"/>
      <c r="R119" s="5" t="s">
        <v>1709</v>
      </c>
      <c r="S119" s="5"/>
      <c r="T119" s="5"/>
      <c r="U119" s="5"/>
      <c r="V119" s="5"/>
      <c r="W119" s="5" t="s">
        <v>1619</v>
      </c>
      <c r="X119" s="14" t="s">
        <v>69</v>
      </c>
      <c r="AE119" t="s">
        <v>243</v>
      </c>
      <c r="AF119" t="s">
        <v>52</v>
      </c>
      <c r="AG119" t="s">
        <v>3</v>
      </c>
    </row>
    <row r="120" spans="1:33" ht="14" x14ac:dyDescent="0.15">
      <c r="A120" s="4" t="s">
        <v>482</v>
      </c>
      <c r="B120" s="4" t="s">
        <v>412</v>
      </c>
      <c r="C120" s="4" t="s">
        <v>483</v>
      </c>
      <c r="D120" s="6">
        <v>25</v>
      </c>
      <c r="E120" s="6">
        <v>2.8</v>
      </c>
      <c r="F120" s="4" t="s">
        <v>1711</v>
      </c>
      <c r="G120" s="4" t="s">
        <v>1618</v>
      </c>
      <c r="H120" s="4" t="b">
        <v>0</v>
      </c>
      <c r="I120" s="4"/>
      <c r="J120" s="4" t="b">
        <v>0</v>
      </c>
      <c r="K120" s="4" t="s">
        <v>1600</v>
      </c>
      <c r="L120" s="5">
        <v>25</v>
      </c>
      <c r="M120" s="5">
        <v>25</v>
      </c>
      <c r="N120" s="5"/>
      <c r="O120" s="5"/>
      <c r="P120" s="5" t="s">
        <v>1708</v>
      </c>
      <c r="Q120" s="5"/>
      <c r="R120" s="5" t="s">
        <v>1709</v>
      </c>
      <c r="S120" s="5"/>
      <c r="T120" s="5"/>
      <c r="U120" s="5"/>
      <c r="V120" s="5"/>
      <c r="W120" s="5" t="s">
        <v>1619</v>
      </c>
      <c r="X120" s="14" t="s">
        <v>69</v>
      </c>
      <c r="AE120" t="s">
        <v>243</v>
      </c>
      <c r="AF120" t="s">
        <v>52</v>
      </c>
      <c r="AG120" t="s">
        <v>3</v>
      </c>
    </row>
    <row r="121" spans="1:33" ht="14" x14ac:dyDescent="0.15">
      <c r="A121" s="4" t="s">
        <v>484</v>
      </c>
      <c r="B121" s="4" t="s">
        <v>412</v>
      </c>
      <c r="C121" s="4" t="s">
        <v>485</v>
      </c>
      <c r="D121" s="6">
        <v>32</v>
      </c>
      <c r="E121" s="6">
        <v>2.8</v>
      </c>
      <c r="F121" s="4" t="s">
        <v>1711</v>
      </c>
      <c r="G121" s="4" t="s">
        <v>1618</v>
      </c>
      <c r="H121" s="4" t="b">
        <v>0</v>
      </c>
      <c r="I121" s="4"/>
      <c r="J121" s="4" t="b">
        <v>0</v>
      </c>
      <c r="K121" s="4" t="s">
        <v>1600</v>
      </c>
      <c r="L121" s="5">
        <v>32</v>
      </c>
      <c r="M121" s="5">
        <v>32</v>
      </c>
      <c r="N121" s="5"/>
      <c r="O121" s="5"/>
      <c r="P121" s="5" t="s">
        <v>1708</v>
      </c>
      <c r="Q121" s="5"/>
      <c r="R121" s="5" t="s">
        <v>1709</v>
      </c>
      <c r="S121" s="5"/>
      <c r="T121" s="5"/>
      <c r="U121" s="5"/>
      <c r="V121" s="5"/>
      <c r="W121" s="5" t="s">
        <v>1619</v>
      </c>
      <c r="X121" s="14" t="s">
        <v>69</v>
      </c>
      <c r="AE121" t="s">
        <v>243</v>
      </c>
      <c r="AF121" t="s">
        <v>52</v>
      </c>
      <c r="AG121" t="s">
        <v>3</v>
      </c>
    </row>
    <row r="122" spans="1:33" ht="14" x14ac:dyDescent="0.15">
      <c r="A122" s="4" t="s">
        <v>486</v>
      </c>
      <c r="B122" s="4" t="s">
        <v>412</v>
      </c>
      <c r="C122" s="4" t="s">
        <v>487</v>
      </c>
      <c r="D122" s="6">
        <v>40</v>
      </c>
      <c r="E122" s="6">
        <v>2.8</v>
      </c>
      <c r="F122" s="4" t="s">
        <v>1711</v>
      </c>
      <c r="G122" s="4" t="s">
        <v>1618</v>
      </c>
      <c r="H122" s="4" t="b">
        <v>0</v>
      </c>
      <c r="I122" s="4"/>
      <c r="J122" s="4" t="b">
        <v>0</v>
      </c>
      <c r="K122" s="4" t="s">
        <v>1600</v>
      </c>
      <c r="L122" s="5">
        <v>40</v>
      </c>
      <c r="M122" s="5">
        <v>40</v>
      </c>
      <c r="N122" s="5"/>
      <c r="O122" s="5"/>
      <c r="P122" s="5" t="s">
        <v>1708</v>
      </c>
      <c r="Q122" s="5"/>
      <c r="R122" s="5" t="s">
        <v>1709</v>
      </c>
      <c r="S122" s="5"/>
      <c r="T122" s="5"/>
      <c r="U122" s="5"/>
      <c r="V122" s="5"/>
      <c r="W122" s="5" t="s">
        <v>1619</v>
      </c>
      <c r="X122" s="14" t="s">
        <v>69</v>
      </c>
      <c r="AE122" t="s">
        <v>243</v>
      </c>
      <c r="AF122" t="s">
        <v>52</v>
      </c>
      <c r="AG122" t="s">
        <v>3</v>
      </c>
    </row>
    <row r="123" spans="1:33" ht="14" x14ac:dyDescent="0.15">
      <c r="A123" s="4" t="s">
        <v>488</v>
      </c>
      <c r="B123" s="4" t="s">
        <v>412</v>
      </c>
      <c r="C123" s="4" t="s">
        <v>489</v>
      </c>
      <c r="D123" s="6">
        <v>50</v>
      </c>
      <c r="E123" s="6">
        <v>2.8</v>
      </c>
      <c r="F123" s="4" t="s">
        <v>1711</v>
      </c>
      <c r="G123" s="4" t="s">
        <v>1618</v>
      </c>
      <c r="H123" s="4" t="b">
        <v>0</v>
      </c>
      <c r="I123" s="4"/>
      <c r="J123" s="4" t="b">
        <v>0</v>
      </c>
      <c r="K123" s="4" t="s">
        <v>1600</v>
      </c>
      <c r="L123" s="5">
        <v>50</v>
      </c>
      <c r="M123" s="5">
        <v>50</v>
      </c>
      <c r="N123" s="5"/>
      <c r="O123" s="5"/>
      <c r="P123" s="5" t="s">
        <v>1708</v>
      </c>
      <c r="Q123" s="5"/>
      <c r="R123" s="5" t="s">
        <v>1709</v>
      </c>
      <c r="S123" s="5"/>
      <c r="T123" s="5"/>
      <c r="U123" s="5"/>
      <c r="V123" s="5"/>
      <c r="W123" s="5" t="s">
        <v>1619</v>
      </c>
      <c r="X123" s="14" t="s">
        <v>69</v>
      </c>
      <c r="AE123" t="s">
        <v>243</v>
      </c>
      <c r="AF123" t="s">
        <v>52</v>
      </c>
      <c r="AG123" t="s">
        <v>3</v>
      </c>
    </row>
    <row r="124" spans="1:33" ht="14" x14ac:dyDescent="0.15">
      <c r="A124" s="4" t="s">
        <v>490</v>
      </c>
      <c r="B124" s="4" t="s">
        <v>412</v>
      </c>
      <c r="C124" s="4" t="s">
        <v>491</v>
      </c>
      <c r="D124" s="6">
        <v>75</v>
      </c>
      <c r="E124" s="6">
        <v>2.8</v>
      </c>
      <c r="F124" s="4" t="s">
        <v>1711</v>
      </c>
      <c r="G124" s="4" t="s">
        <v>1618</v>
      </c>
      <c r="H124" s="4" t="b">
        <v>0</v>
      </c>
      <c r="I124" s="4"/>
      <c r="J124" s="4" t="b">
        <v>0</v>
      </c>
      <c r="K124" s="4" t="s">
        <v>1600</v>
      </c>
      <c r="L124" s="5">
        <v>75</v>
      </c>
      <c r="M124" s="5">
        <v>75</v>
      </c>
      <c r="N124" s="5"/>
      <c r="O124" s="5"/>
      <c r="P124" s="5" t="s">
        <v>1708</v>
      </c>
      <c r="Q124" s="5"/>
      <c r="R124" s="5" t="s">
        <v>1709</v>
      </c>
      <c r="S124" s="5"/>
      <c r="T124" s="5"/>
      <c r="U124" s="5"/>
      <c r="V124" s="5"/>
      <c r="W124" s="5" t="s">
        <v>1619</v>
      </c>
      <c r="X124" s="14" t="s">
        <v>69</v>
      </c>
      <c r="AE124" t="s">
        <v>243</v>
      </c>
      <c r="AF124" t="s">
        <v>52</v>
      </c>
      <c r="AG124" t="s">
        <v>3</v>
      </c>
    </row>
    <row r="125" spans="1:33" ht="14" x14ac:dyDescent="0.15">
      <c r="A125" s="4" t="s">
        <v>492</v>
      </c>
      <c r="B125" s="4" t="s">
        <v>412</v>
      </c>
      <c r="C125" s="4" t="s">
        <v>493</v>
      </c>
      <c r="D125" s="6">
        <v>100</v>
      </c>
      <c r="E125" s="6">
        <v>2.8</v>
      </c>
      <c r="F125" s="4" t="s">
        <v>1711</v>
      </c>
      <c r="G125" s="4" t="s">
        <v>1618</v>
      </c>
      <c r="H125" s="4" t="b">
        <v>0</v>
      </c>
      <c r="I125" s="4"/>
      <c r="J125" s="4" t="b">
        <v>0</v>
      </c>
      <c r="K125" s="4" t="s">
        <v>1600</v>
      </c>
      <c r="L125" s="5">
        <v>100</v>
      </c>
      <c r="M125" s="5">
        <v>100</v>
      </c>
      <c r="N125" s="5"/>
      <c r="O125" s="5"/>
      <c r="P125" s="5" t="s">
        <v>1708</v>
      </c>
      <c r="Q125" s="5"/>
      <c r="R125" s="5" t="s">
        <v>1709</v>
      </c>
      <c r="S125" s="5"/>
      <c r="T125" s="5"/>
      <c r="U125" s="5"/>
      <c r="V125" s="5"/>
      <c r="W125" s="5" t="s">
        <v>1619</v>
      </c>
      <c r="X125" s="14" t="s">
        <v>69</v>
      </c>
      <c r="AE125" t="s">
        <v>243</v>
      </c>
      <c r="AF125" t="s">
        <v>52</v>
      </c>
      <c r="AG125" t="s">
        <v>3</v>
      </c>
    </row>
    <row r="126" spans="1:33" ht="14" x14ac:dyDescent="0.15">
      <c r="A126" s="4" t="s">
        <v>494</v>
      </c>
      <c r="B126" s="4" t="s">
        <v>412</v>
      </c>
      <c r="C126" s="4" t="s">
        <v>495</v>
      </c>
      <c r="D126" s="6">
        <v>152</v>
      </c>
      <c r="E126" s="6">
        <v>2.8</v>
      </c>
      <c r="F126" s="4" t="s">
        <v>1711</v>
      </c>
      <c r="G126" s="4" t="s">
        <v>1618</v>
      </c>
      <c r="H126" s="4" t="b">
        <v>0</v>
      </c>
      <c r="I126" s="4"/>
      <c r="J126" s="4" t="b">
        <v>0</v>
      </c>
      <c r="K126" s="4" t="s">
        <v>1600</v>
      </c>
      <c r="L126" s="5">
        <v>152</v>
      </c>
      <c r="M126" s="5">
        <v>152</v>
      </c>
      <c r="N126" s="5"/>
      <c r="O126" s="5"/>
      <c r="P126" s="5" t="s">
        <v>1708</v>
      </c>
      <c r="Q126" s="5"/>
      <c r="R126" s="5" t="s">
        <v>1709</v>
      </c>
      <c r="S126" s="5"/>
      <c r="T126" s="5"/>
      <c r="U126" s="5"/>
      <c r="V126" s="5"/>
      <c r="W126" s="5" t="s">
        <v>1619</v>
      </c>
      <c r="X126" s="14" t="s">
        <v>69</v>
      </c>
      <c r="AE126" t="s">
        <v>243</v>
      </c>
      <c r="AF126" t="s">
        <v>52</v>
      </c>
      <c r="AG126" t="s">
        <v>3</v>
      </c>
    </row>
    <row r="127" spans="1:33" ht="14" x14ac:dyDescent="0.15">
      <c r="A127" s="4" t="s">
        <v>496</v>
      </c>
      <c r="B127" s="4" t="s">
        <v>412</v>
      </c>
      <c r="C127" s="4" t="s">
        <v>497</v>
      </c>
      <c r="D127" s="6">
        <v>20</v>
      </c>
      <c r="E127" s="6">
        <v>2.8</v>
      </c>
      <c r="F127" s="4" t="s">
        <v>1711</v>
      </c>
      <c r="G127" s="4" t="s">
        <v>1618</v>
      </c>
      <c r="H127" s="4" t="b">
        <v>0</v>
      </c>
      <c r="I127" s="4"/>
      <c r="J127" s="4" t="b">
        <v>0</v>
      </c>
      <c r="K127" s="4" t="s">
        <v>1600</v>
      </c>
      <c r="L127" s="5">
        <v>20</v>
      </c>
      <c r="M127" s="5">
        <v>20</v>
      </c>
      <c r="N127" s="5"/>
      <c r="O127" s="5"/>
      <c r="P127" s="5" t="s">
        <v>1708</v>
      </c>
      <c r="Q127" s="5"/>
      <c r="R127" s="5" t="s">
        <v>1709</v>
      </c>
      <c r="S127" s="5"/>
      <c r="T127" s="5"/>
      <c r="U127" s="5"/>
      <c r="V127" s="5"/>
      <c r="W127" s="5" t="s">
        <v>1619</v>
      </c>
      <c r="X127" s="14" t="s">
        <v>69</v>
      </c>
      <c r="AE127" t="s">
        <v>243</v>
      </c>
      <c r="AF127" t="s">
        <v>52</v>
      </c>
      <c r="AG127" t="s">
        <v>3</v>
      </c>
    </row>
    <row r="128" spans="1:33" ht="14" x14ac:dyDescent="0.15">
      <c r="A128" s="4" t="s">
        <v>498</v>
      </c>
      <c r="B128" s="4" t="s">
        <v>412</v>
      </c>
      <c r="C128" s="4" t="s">
        <v>499</v>
      </c>
      <c r="D128" s="6">
        <v>25</v>
      </c>
      <c r="E128" s="6">
        <v>2.8</v>
      </c>
      <c r="F128" s="4" t="s">
        <v>1711</v>
      </c>
      <c r="G128" s="4" t="s">
        <v>1618</v>
      </c>
      <c r="H128" s="4" t="b">
        <v>0</v>
      </c>
      <c r="I128" s="4"/>
      <c r="J128" s="4" t="b">
        <v>0</v>
      </c>
      <c r="K128" s="4" t="s">
        <v>1600</v>
      </c>
      <c r="L128" s="5">
        <v>25</v>
      </c>
      <c r="M128" s="5">
        <v>25</v>
      </c>
      <c r="N128" s="5"/>
      <c r="O128" s="5"/>
      <c r="P128" s="5" t="s">
        <v>1708</v>
      </c>
      <c r="Q128" s="5"/>
      <c r="R128" s="5" t="s">
        <v>1709</v>
      </c>
      <c r="S128" s="5"/>
      <c r="T128" s="5"/>
      <c r="U128" s="5"/>
      <c r="V128" s="5"/>
      <c r="W128" s="5" t="s">
        <v>1619</v>
      </c>
      <c r="X128" s="14" t="s">
        <v>69</v>
      </c>
      <c r="AE128" t="s">
        <v>243</v>
      </c>
      <c r="AF128" t="s">
        <v>52</v>
      </c>
      <c r="AG128" t="s">
        <v>3</v>
      </c>
    </row>
    <row r="129" spans="1:33" ht="14" x14ac:dyDescent="0.15">
      <c r="A129" s="4" t="s">
        <v>500</v>
      </c>
      <c r="B129" s="4" t="s">
        <v>412</v>
      </c>
      <c r="C129" s="4" t="s">
        <v>501</v>
      </c>
      <c r="D129" s="6">
        <v>35</v>
      </c>
      <c r="E129" s="6">
        <v>2.8</v>
      </c>
      <c r="F129" s="4" t="s">
        <v>1711</v>
      </c>
      <c r="G129" s="4" t="s">
        <v>1618</v>
      </c>
      <c r="H129" s="4" t="b">
        <v>0</v>
      </c>
      <c r="I129" s="4"/>
      <c r="J129" s="4" t="b">
        <v>0</v>
      </c>
      <c r="K129" s="4" t="s">
        <v>1600</v>
      </c>
      <c r="L129" s="5">
        <v>35</v>
      </c>
      <c r="M129" s="5">
        <v>35</v>
      </c>
      <c r="N129" s="5"/>
      <c r="O129" s="5"/>
      <c r="P129" s="5" t="s">
        <v>1708</v>
      </c>
      <c r="Q129" s="5"/>
      <c r="R129" s="5" t="s">
        <v>1709</v>
      </c>
      <c r="S129" s="5"/>
      <c r="T129" s="5"/>
      <c r="U129" s="5"/>
      <c r="V129" s="5"/>
      <c r="W129" s="5" t="s">
        <v>1619</v>
      </c>
      <c r="X129" s="14" t="s">
        <v>69</v>
      </c>
      <c r="AE129" t="s">
        <v>243</v>
      </c>
      <c r="AF129" t="s">
        <v>52</v>
      </c>
      <c r="AG129" t="s">
        <v>3</v>
      </c>
    </row>
    <row r="130" spans="1:33" ht="14" x14ac:dyDescent="0.15">
      <c r="A130" s="4" t="s">
        <v>502</v>
      </c>
      <c r="B130" s="4" t="s">
        <v>412</v>
      </c>
      <c r="C130" s="4" t="s">
        <v>503</v>
      </c>
      <c r="D130" s="6">
        <v>50</v>
      </c>
      <c r="E130" s="6">
        <v>2.8</v>
      </c>
      <c r="F130" s="4" t="s">
        <v>1711</v>
      </c>
      <c r="G130" s="4" t="s">
        <v>1618</v>
      </c>
      <c r="H130" s="4" t="b">
        <v>0</v>
      </c>
      <c r="I130" s="4"/>
      <c r="J130" s="4" t="b">
        <v>0</v>
      </c>
      <c r="K130" s="4" t="s">
        <v>1600</v>
      </c>
      <c r="L130" s="5">
        <v>50</v>
      </c>
      <c r="M130" s="5">
        <v>50</v>
      </c>
      <c r="N130" s="5"/>
      <c r="O130" s="5"/>
      <c r="P130" s="5" t="s">
        <v>1708</v>
      </c>
      <c r="Q130" s="5"/>
      <c r="R130" s="5" t="s">
        <v>1709</v>
      </c>
      <c r="S130" s="5"/>
      <c r="T130" s="5"/>
      <c r="U130" s="5"/>
      <c r="V130" s="5"/>
      <c r="W130" s="5" t="s">
        <v>1619</v>
      </c>
      <c r="X130" s="14" t="s">
        <v>69</v>
      </c>
      <c r="AE130" t="s">
        <v>243</v>
      </c>
      <c r="AF130" t="s">
        <v>52</v>
      </c>
      <c r="AG130" t="s">
        <v>3</v>
      </c>
    </row>
    <row r="131" spans="1:33" ht="14" x14ac:dyDescent="0.15">
      <c r="A131" s="4" t="s">
        <v>504</v>
      </c>
      <c r="B131" s="4" t="s">
        <v>412</v>
      </c>
      <c r="C131" s="4" t="s">
        <v>505</v>
      </c>
      <c r="D131" s="6">
        <v>75</v>
      </c>
      <c r="E131" s="6">
        <v>2.8</v>
      </c>
      <c r="F131" s="4" t="s">
        <v>1711</v>
      </c>
      <c r="G131" s="4" t="s">
        <v>1618</v>
      </c>
      <c r="H131" s="4" t="b">
        <v>0</v>
      </c>
      <c r="I131" s="4"/>
      <c r="J131" s="4" t="b">
        <v>0</v>
      </c>
      <c r="K131" s="4" t="s">
        <v>1600</v>
      </c>
      <c r="L131" s="5">
        <v>75</v>
      </c>
      <c r="M131" s="5">
        <v>75</v>
      </c>
      <c r="N131" s="5"/>
      <c r="O131" s="5"/>
      <c r="P131" s="5" t="s">
        <v>1708</v>
      </c>
      <c r="Q131" s="5"/>
      <c r="R131" s="5" t="s">
        <v>1709</v>
      </c>
      <c r="S131" s="5"/>
      <c r="T131" s="5"/>
      <c r="U131" s="5"/>
      <c r="V131" s="5"/>
      <c r="W131" s="5" t="s">
        <v>1619</v>
      </c>
      <c r="X131" s="14" t="s">
        <v>69</v>
      </c>
      <c r="AE131" t="s">
        <v>243</v>
      </c>
      <c r="AF131" t="s">
        <v>52</v>
      </c>
      <c r="AG131" t="s">
        <v>3</v>
      </c>
    </row>
    <row r="132" spans="1:33" ht="14" x14ac:dyDescent="0.15">
      <c r="A132" s="4" t="s">
        <v>506</v>
      </c>
      <c r="B132" s="4" t="s">
        <v>412</v>
      </c>
      <c r="C132" s="4" t="s">
        <v>507</v>
      </c>
      <c r="D132" s="6">
        <v>100</v>
      </c>
      <c r="E132" s="6">
        <v>2.8</v>
      </c>
      <c r="F132" s="4" t="s">
        <v>1711</v>
      </c>
      <c r="G132" s="4" t="s">
        <v>1618</v>
      </c>
      <c r="H132" s="4" t="b">
        <v>0</v>
      </c>
      <c r="I132" s="4"/>
      <c r="J132" s="4" t="b">
        <v>0</v>
      </c>
      <c r="K132" s="4" t="s">
        <v>1600</v>
      </c>
      <c r="L132" s="5">
        <v>100</v>
      </c>
      <c r="M132" s="5">
        <v>100</v>
      </c>
      <c r="N132" s="5"/>
      <c r="O132" s="5"/>
      <c r="P132" s="5" t="s">
        <v>1708</v>
      </c>
      <c r="Q132" s="5"/>
      <c r="R132" s="5" t="s">
        <v>1709</v>
      </c>
      <c r="S132" s="5"/>
      <c r="T132" s="5"/>
      <c r="U132" s="5"/>
      <c r="V132" s="5"/>
      <c r="W132" s="5" t="s">
        <v>1619</v>
      </c>
      <c r="X132" s="14" t="s">
        <v>69</v>
      </c>
      <c r="AE132" t="s">
        <v>243</v>
      </c>
      <c r="AF132" t="s">
        <v>52</v>
      </c>
      <c r="AG132" t="s">
        <v>3</v>
      </c>
    </row>
    <row r="133" spans="1:33" ht="14" x14ac:dyDescent="0.15">
      <c r="A133" s="4" t="s">
        <v>508</v>
      </c>
      <c r="B133" s="4" t="s">
        <v>412</v>
      </c>
      <c r="C133" s="4" t="s">
        <v>509</v>
      </c>
      <c r="D133" s="6">
        <v>152</v>
      </c>
      <c r="E133" s="6">
        <v>2.8</v>
      </c>
      <c r="F133" s="4" t="s">
        <v>1711</v>
      </c>
      <c r="G133" s="4" t="s">
        <v>1618</v>
      </c>
      <c r="H133" s="4" t="b">
        <v>0</v>
      </c>
      <c r="I133" s="4"/>
      <c r="J133" s="4" t="b">
        <v>0</v>
      </c>
      <c r="K133" s="4" t="s">
        <v>1600</v>
      </c>
      <c r="L133" s="5">
        <v>152</v>
      </c>
      <c r="M133" s="5">
        <v>152</v>
      </c>
      <c r="N133" s="5"/>
      <c r="O133" s="5"/>
      <c r="P133" s="5" t="s">
        <v>1708</v>
      </c>
      <c r="Q133" s="5"/>
      <c r="R133" s="5" t="s">
        <v>1709</v>
      </c>
      <c r="S133" s="5"/>
      <c r="T133" s="5"/>
      <c r="U133" s="5"/>
      <c r="V133" s="5"/>
      <c r="W133" s="5" t="s">
        <v>1619</v>
      </c>
      <c r="X133" s="14" t="s">
        <v>69</v>
      </c>
      <c r="AE133" t="s">
        <v>243</v>
      </c>
      <c r="AF133" t="s">
        <v>52</v>
      </c>
      <c r="AG133" t="s">
        <v>3</v>
      </c>
    </row>
    <row r="134" spans="1:33" ht="14" x14ac:dyDescent="0.15">
      <c r="A134" s="4" t="s">
        <v>510</v>
      </c>
      <c r="B134" s="4" t="s">
        <v>412</v>
      </c>
      <c r="C134" s="4" t="s">
        <v>511</v>
      </c>
      <c r="D134" s="6">
        <v>18</v>
      </c>
      <c r="E134" s="6">
        <v>2.8</v>
      </c>
      <c r="F134" s="4" t="s">
        <v>1714</v>
      </c>
      <c r="G134" s="4" t="s">
        <v>1618</v>
      </c>
      <c r="H134" s="4" t="b">
        <v>0</v>
      </c>
      <c r="I134" s="4"/>
      <c r="J134" s="4" t="b">
        <v>0</v>
      </c>
      <c r="K134" s="4" t="s">
        <v>1600</v>
      </c>
      <c r="L134" s="5">
        <v>18</v>
      </c>
      <c r="M134" s="5">
        <v>18</v>
      </c>
      <c r="N134" s="5"/>
      <c r="O134" s="5"/>
      <c r="P134" s="5" t="s">
        <v>1708</v>
      </c>
      <c r="Q134" s="5"/>
      <c r="R134" s="5" t="s">
        <v>1709</v>
      </c>
      <c r="S134" s="5"/>
      <c r="T134" s="5"/>
      <c r="U134" s="5"/>
      <c r="V134" s="5"/>
      <c r="W134" s="5" t="s">
        <v>1619</v>
      </c>
      <c r="X134" s="14" t="s">
        <v>69</v>
      </c>
      <c r="AE134" t="s">
        <v>243</v>
      </c>
      <c r="AF134" t="s">
        <v>52</v>
      </c>
      <c r="AG134" t="s">
        <v>3</v>
      </c>
    </row>
    <row r="135" spans="1:33" ht="14" x14ac:dyDescent="0.15">
      <c r="A135" s="4" t="s">
        <v>512</v>
      </c>
      <c r="B135" s="4" t="s">
        <v>412</v>
      </c>
      <c r="C135" s="4" t="s">
        <v>513</v>
      </c>
      <c r="D135" s="6">
        <v>21</v>
      </c>
      <c r="E135" s="6">
        <v>2.8</v>
      </c>
      <c r="F135" s="4" t="s">
        <v>1714</v>
      </c>
      <c r="G135" s="4" t="s">
        <v>1618</v>
      </c>
      <c r="H135" s="4" t="b">
        <v>0</v>
      </c>
      <c r="I135" s="4"/>
      <c r="J135" s="4" t="b">
        <v>0</v>
      </c>
      <c r="K135" s="4" t="s">
        <v>1600</v>
      </c>
      <c r="L135" s="5">
        <v>21</v>
      </c>
      <c r="M135" s="5">
        <v>21</v>
      </c>
      <c r="N135" s="5"/>
      <c r="O135" s="5"/>
      <c r="P135" s="5" t="s">
        <v>1708</v>
      </c>
      <c r="Q135" s="5"/>
      <c r="R135" s="5" t="s">
        <v>1709</v>
      </c>
      <c r="S135" s="5"/>
      <c r="T135" s="5"/>
      <c r="U135" s="5"/>
      <c r="V135" s="5"/>
      <c r="W135" s="5" t="s">
        <v>1619</v>
      </c>
      <c r="X135" s="14" t="s">
        <v>69</v>
      </c>
      <c r="AE135" t="s">
        <v>243</v>
      </c>
      <c r="AF135" t="s">
        <v>52</v>
      </c>
      <c r="AG135" t="s">
        <v>3</v>
      </c>
    </row>
    <row r="136" spans="1:33" ht="14" x14ac:dyDescent="0.15">
      <c r="A136" s="4" t="s">
        <v>514</v>
      </c>
      <c r="B136" s="4" t="s">
        <v>412</v>
      </c>
      <c r="C136" s="4" t="s">
        <v>515</v>
      </c>
      <c r="D136" s="6">
        <v>25</v>
      </c>
      <c r="E136" s="6">
        <v>2.8</v>
      </c>
      <c r="F136" s="4" t="s">
        <v>1714</v>
      </c>
      <c r="G136" s="4" t="s">
        <v>1618</v>
      </c>
      <c r="H136" s="4" t="b">
        <v>0</v>
      </c>
      <c r="I136" s="4"/>
      <c r="J136" s="4" t="b">
        <v>0</v>
      </c>
      <c r="K136" s="4" t="s">
        <v>1600</v>
      </c>
      <c r="L136" s="5">
        <v>25</v>
      </c>
      <c r="M136" s="5">
        <v>25</v>
      </c>
      <c r="N136" s="5"/>
      <c r="O136" s="5"/>
      <c r="P136" s="5" t="s">
        <v>1708</v>
      </c>
      <c r="Q136" s="5"/>
      <c r="R136" s="5" t="s">
        <v>1709</v>
      </c>
      <c r="S136" s="5"/>
      <c r="T136" s="5"/>
      <c r="U136" s="5"/>
      <c r="V136" s="5"/>
      <c r="W136" s="5" t="s">
        <v>1619</v>
      </c>
      <c r="X136" s="14" t="s">
        <v>69</v>
      </c>
      <c r="AE136" t="s">
        <v>243</v>
      </c>
      <c r="AF136" t="s">
        <v>52</v>
      </c>
      <c r="AG136" t="s">
        <v>3</v>
      </c>
    </row>
    <row r="137" spans="1:33" ht="14" x14ac:dyDescent="0.15">
      <c r="A137" s="4" t="s">
        <v>516</v>
      </c>
      <c r="B137" s="4" t="s">
        <v>412</v>
      </c>
      <c r="C137" s="4" t="s">
        <v>517</v>
      </c>
      <c r="D137" s="6">
        <v>27</v>
      </c>
      <c r="E137" s="6">
        <v>2.8</v>
      </c>
      <c r="F137" s="4" t="s">
        <v>1714</v>
      </c>
      <c r="G137" s="4" t="s">
        <v>1618</v>
      </c>
      <c r="H137" s="4" t="b">
        <v>0</v>
      </c>
      <c r="I137" s="4"/>
      <c r="J137" s="4" t="b">
        <v>0</v>
      </c>
      <c r="K137" s="4" t="s">
        <v>1600</v>
      </c>
      <c r="L137" s="5">
        <v>27</v>
      </c>
      <c r="M137" s="5">
        <v>27</v>
      </c>
      <c r="N137" s="5"/>
      <c r="O137" s="5"/>
      <c r="P137" s="5" t="s">
        <v>1708</v>
      </c>
      <c r="Q137" s="5"/>
      <c r="R137" s="5" t="s">
        <v>1709</v>
      </c>
      <c r="S137" s="5"/>
      <c r="T137" s="5"/>
      <c r="U137" s="5"/>
      <c r="V137" s="5"/>
      <c r="W137" s="5" t="s">
        <v>1619</v>
      </c>
      <c r="X137" s="14" t="s">
        <v>69</v>
      </c>
      <c r="AE137" t="s">
        <v>243</v>
      </c>
      <c r="AF137" t="s">
        <v>52</v>
      </c>
      <c r="AG137" t="s">
        <v>3</v>
      </c>
    </row>
    <row r="138" spans="1:33" ht="14" x14ac:dyDescent="0.15">
      <c r="A138" s="4" t="s">
        <v>518</v>
      </c>
      <c r="B138" s="4" t="s">
        <v>412</v>
      </c>
      <c r="C138" s="4" t="s">
        <v>519</v>
      </c>
      <c r="D138" s="6">
        <v>32</v>
      </c>
      <c r="E138" s="6">
        <v>2.8</v>
      </c>
      <c r="F138" s="4" t="s">
        <v>1714</v>
      </c>
      <c r="G138" s="4" t="s">
        <v>1618</v>
      </c>
      <c r="H138" s="4" t="b">
        <v>0</v>
      </c>
      <c r="I138" s="4"/>
      <c r="J138" s="4" t="b">
        <v>0</v>
      </c>
      <c r="K138" s="4" t="s">
        <v>1600</v>
      </c>
      <c r="L138" s="5">
        <v>32</v>
      </c>
      <c r="M138" s="5">
        <v>32</v>
      </c>
      <c r="N138" s="5"/>
      <c r="O138" s="5"/>
      <c r="P138" s="5" t="s">
        <v>1708</v>
      </c>
      <c r="Q138" s="5"/>
      <c r="R138" s="5" t="s">
        <v>1709</v>
      </c>
      <c r="S138" s="5"/>
      <c r="T138" s="5"/>
      <c r="U138" s="5"/>
      <c r="V138" s="5"/>
      <c r="W138" s="5" t="s">
        <v>1619</v>
      </c>
      <c r="X138" s="14" t="s">
        <v>69</v>
      </c>
      <c r="AE138" t="s">
        <v>243</v>
      </c>
      <c r="AF138" t="s">
        <v>52</v>
      </c>
      <c r="AG138" t="s">
        <v>3</v>
      </c>
    </row>
    <row r="139" spans="1:33" ht="14" x14ac:dyDescent="0.15">
      <c r="A139" s="4" t="s">
        <v>520</v>
      </c>
      <c r="B139" s="4" t="s">
        <v>412</v>
      </c>
      <c r="C139" s="4" t="s">
        <v>521</v>
      </c>
      <c r="D139" s="6">
        <v>40</v>
      </c>
      <c r="E139" s="6">
        <v>2.8</v>
      </c>
      <c r="F139" s="4" t="s">
        <v>1714</v>
      </c>
      <c r="G139" s="4" t="s">
        <v>1618</v>
      </c>
      <c r="H139" s="4" t="b">
        <v>0</v>
      </c>
      <c r="I139" s="4"/>
      <c r="J139" s="4" t="b">
        <v>0</v>
      </c>
      <c r="K139" s="4" t="s">
        <v>1600</v>
      </c>
      <c r="L139" s="5">
        <v>40</v>
      </c>
      <c r="M139" s="5">
        <v>40</v>
      </c>
      <c r="N139" s="5"/>
      <c r="O139" s="5"/>
      <c r="P139" s="5" t="s">
        <v>1708</v>
      </c>
      <c r="Q139" s="5"/>
      <c r="R139" s="5" t="s">
        <v>1709</v>
      </c>
      <c r="S139" s="5"/>
      <c r="T139" s="5"/>
      <c r="U139" s="5"/>
      <c r="V139" s="5"/>
      <c r="W139" s="5" t="s">
        <v>1619</v>
      </c>
      <c r="X139" s="14" t="s">
        <v>69</v>
      </c>
      <c r="AE139" t="s">
        <v>243</v>
      </c>
      <c r="AF139" t="s">
        <v>52</v>
      </c>
      <c r="AG139" t="s">
        <v>3</v>
      </c>
    </row>
    <row r="140" spans="1:33" ht="14" x14ac:dyDescent="0.15">
      <c r="A140" s="4" t="s">
        <v>522</v>
      </c>
      <c r="B140" s="4" t="s">
        <v>412</v>
      </c>
      <c r="C140" s="4" t="s">
        <v>523</v>
      </c>
      <c r="D140" s="6">
        <v>50</v>
      </c>
      <c r="E140" s="6">
        <v>2.8</v>
      </c>
      <c r="F140" s="4" t="s">
        <v>1714</v>
      </c>
      <c r="G140" s="4" t="s">
        <v>1618</v>
      </c>
      <c r="H140" s="4" t="b">
        <v>0</v>
      </c>
      <c r="I140" s="4"/>
      <c r="J140" s="4" t="b">
        <v>0</v>
      </c>
      <c r="K140" s="4" t="s">
        <v>1600</v>
      </c>
      <c r="L140" s="5">
        <v>50</v>
      </c>
      <c r="M140" s="5">
        <v>50</v>
      </c>
      <c r="N140" s="5"/>
      <c r="O140" s="5"/>
      <c r="P140" s="5" t="s">
        <v>1708</v>
      </c>
      <c r="Q140" s="5"/>
      <c r="R140" s="5" t="s">
        <v>1709</v>
      </c>
      <c r="S140" s="5"/>
      <c r="T140" s="5"/>
      <c r="U140" s="5"/>
      <c r="V140" s="5"/>
      <c r="W140" s="5" t="s">
        <v>1619</v>
      </c>
      <c r="X140" s="14" t="s">
        <v>69</v>
      </c>
      <c r="AE140" t="s">
        <v>243</v>
      </c>
      <c r="AF140" t="s">
        <v>52</v>
      </c>
      <c r="AG140" t="s">
        <v>3</v>
      </c>
    </row>
    <row r="141" spans="1:33" ht="14" x14ac:dyDescent="0.15">
      <c r="A141" s="4" t="s">
        <v>524</v>
      </c>
      <c r="B141" s="4" t="s">
        <v>412</v>
      </c>
      <c r="C141" s="4" t="s">
        <v>525</v>
      </c>
      <c r="D141" s="6">
        <v>65</v>
      </c>
      <c r="E141" s="6">
        <v>2.8</v>
      </c>
      <c r="F141" s="4" t="s">
        <v>1714</v>
      </c>
      <c r="G141" s="4" t="s">
        <v>1618</v>
      </c>
      <c r="H141" s="4" t="b">
        <v>0</v>
      </c>
      <c r="I141" s="4"/>
      <c r="J141" s="4" t="b">
        <v>0</v>
      </c>
      <c r="K141" s="4" t="s">
        <v>1600</v>
      </c>
      <c r="L141" s="5">
        <v>65</v>
      </c>
      <c r="M141" s="5">
        <v>65</v>
      </c>
      <c r="N141" s="5"/>
      <c r="O141" s="5"/>
      <c r="P141" s="5" t="s">
        <v>1708</v>
      </c>
      <c r="Q141" s="5"/>
      <c r="R141" s="5" t="s">
        <v>1709</v>
      </c>
      <c r="S141" s="5"/>
      <c r="T141" s="5"/>
      <c r="U141" s="5"/>
      <c r="V141" s="5"/>
      <c r="W141" s="5" t="s">
        <v>1619</v>
      </c>
      <c r="X141" s="14" t="s">
        <v>69</v>
      </c>
      <c r="AE141" t="s">
        <v>243</v>
      </c>
      <c r="AF141" t="s">
        <v>52</v>
      </c>
      <c r="AG141" t="s">
        <v>3</v>
      </c>
    </row>
    <row r="142" spans="1:33" ht="14" x14ac:dyDescent="0.15">
      <c r="A142" s="4" t="s">
        <v>526</v>
      </c>
      <c r="B142" s="4" t="s">
        <v>412</v>
      </c>
      <c r="C142" s="4" t="s">
        <v>527</v>
      </c>
      <c r="D142" s="6">
        <v>75</v>
      </c>
      <c r="E142" s="6">
        <v>2.8</v>
      </c>
      <c r="F142" s="4" t="s">
        <v>1714</v>
      </c>
      <c r="G142" s="4" t="s">
        <v>1618</v>
      </c>
      <c r="H142" s="4" t="b">
        <v>0</v>
      </c>
      <c r="I142" s="4"/>
      <c r="J142" s="4" t="b">
        <v>0</v>
      </c>
      <c r="K142" s="4" t="s">
        <v>1600</v>
      </c>
      <c r="L142" s="5">
        <v>75</v>
      </c>
      <c r="M142" s="5">
        <v>75</v>
      </c>
      <c r="N142" s="5"/>
      <c r="O142" s="5"/>
      <c r="P142" s="5" t="s">
        <v>1708</v>
      </c>
      <c r="Q142" s="5"/>
      <c r="R142" s="5" t="s">
        <v>1709</v>
      </c>
      <c r="S142" s="5"/>
      <c r="T142" s="5"/>
      <c r="U142" s="5"/>
      <c r="V142" s="5"/>
      <c r="W142" s="5" t="s">
        <v>1619</v>
      </c>
      <c r="X142" s="14" t="s">
        <v>69</v>
      </c>
      <c r="AE142" t="s">
        <v>243</v>
      </c>
      <c r="AF142" t="s">
        <v>52</v>
      </c>
      <c r="AG142" t="s">
        <v>3</v>
      </c>
    </row>
    <row r="143" spans="1:33" ht="14" x14ac:dyDescent="0.15">
      <c r="A143" s="4" t="s">
        <v>528</v>
      </c>
      <c r="B143" s="4" t="s">
        <v>412</v>
      </c>
      <c r="C143" s="4" t="s">
        <v>529</v>
      </c>
      <c r="D143" s="6">
        <v>100</v>
      </c>
      <c r="E143" s="6">
        <v>2.8</v>
      </c>
      <c r="F143" s="4" t="s">
        <v>1714</v>
      </c>
      <c r="G143" s="4" t="s">
        <v>1618</v>
      </c>
      <c r="H143" s="4" t="b">
        <v>0</v>
      </c>
      <c r="I143" s="4"/>
      <c r="J143" s="4" t="b">
        <v>0</v>
      </c>
      <c r="K143" s="4" t="s">
        <v>1600</v>
      </c>
      <c r="L143" s="5">
        <v>100</v>
      </c>
      <c r="M143" s="5">
        <v>100</v>
      </c>
      <c r="N143" s="5"/>
      <c r="O143" s="5"/>
      <c r="P143" s="5" t="s">
        <v>1708</v>
      </c>
      <c r="Q143" s="5"/>
      <c r="R143" s="5" t="s">
        <v>1709</v>
      </c>
      <c r="S143" s="5"/>
      <c r="T143" s="5"/>
      <c r="U143" s="5"/>
      <c r="V143" s="5"/>
      <c r="W143" s="5" t="s">
        <v>1619</v>
      </c>
      <c r="X143" s="14" t="s">
        <v>69</v>
      </c>
      <c r="AE143" t="s">
        <v>243</v>
      </c>
      <c r="AF143" t="s">
        <v>52</v>
      </c>
      <c r="AG143" t="s">
        <v>3</v>
      </c>
    </row>
    <row r="144" spans="1:33" ht="14" x14ac:dyDescent="0.15">
      <c r="A144" s="4" t="s">
        <v>530</v>
      </c>
      <c r="B144" s="4" t="s">
        <v>412</v>
      </c>
      <c r="C144" s="4" t="s">
        <v>531</v>
      </c>
      <c r="D144" s="6">
        <v>152</v>
      </c>
      <c r="E144" s="6">
        <v>2.8</v>
      </c>
      <c r="F144" s="4" t="s">
        <v>1714</v>
      </c>
      <c r="G144" s="4" t="s">
        <v>1618</v>
      </c>
      <c r="H144" s="4" t="b">
        <v>0</v>
      </c>
      <c r="I144" s="4"/>
      <c r="J144" s="4" t="b">
        <v>0</v>
      </c>
      <c r="K144" s="4" t="s">
        <v>1600</v>
      </c>
      <c r="L144" s="5">
        <v>152</v>
      </c>
      <c r="M144" s="5">
        <v>152</v>
      </c>
      <c r="N144" s="5"/>
      <c r="O144" s="5"/>
      <c r="P144" s="5" t="s">
        <v>1708</v>
      </c>
      <c r="Q144" s="5"/>
      <c r="R144" s="5" t="s">
        <v>1709</v>
      </c>
      <c r="S144" s="5"/>
      <c r="T144" s="5"/>
      <c r="U144" s="5"/>
      <c r="V144" s="5"/>
      <c r="W144" s="5" t="s">
        <v>1619</v>
      </c>
      <c r="X144" s="14" t="s">
        <v>69</v>
      </c>
      <c r="AE144" t="s">
        <v>243</v>
      </c>
      <c r="AF144" t="s">
        <v>52</v>
      </c>
      <c r="AG144" t="s">
        <v>3</v>
      </c>
    </row>
    <row r="145" spans="1:33" ht="28" x14ac:dyDescent="0.15">
      <c r="A145" s="4" t="s">
        <v>532</v>
      </c>
      <c r="B145" s="4" t="s">
        <v>412</v>
      </c>
      <c r="C145" s="4" t="s">
        <v>533</v>
      </c>
      <c r="D145" s="6">
        <v>32</v>
      </c>
      <c r="E145" s="6">
        <v>2.2999999999999998</v>
      </c>
      <c r="F145" s="4" t="s">
        <v>1714</v>
      </c>
      <c r="G145" s="4" t="s">
        <v>1618</v>
      </c>
      <c r="H145" s="4" t="b">
        <v>1</v>
      </c>
      <c r="I145" s="4" t="s">
        <v>1721</v>
      </c>
      <c r="J145" s="4" t="b">
        <v>0</v>
      </c>
      <c r="K145" s="4" t="s">
        <v>1600</v>
      </c>
      <c r="L145" s="5">
        <v>32</v>
      </c>
      <c r="M145" s="5">
        <v>32</v>
      </c>
      <c r="N145" s="5"/>
      <c r="O145" s="5"/>
      <c r="P145" s="5" t="s">
        <v>1708</v>
      </c>
      <c r="Q145" s="5"/>
      <c r="R145" s="5" t="s">
        <v>1718</v>
      </c>
      <c r="S145" s="5"/>
      <c r="T145" s="5"/>
      <c r="U145" s="5"/>
      <c r="V145" s="5"/>
      <c r="W145" s="5" t="s">
        <v>1619</v>
      </c>
      <c r="X145" s="14" t="s">
        <v>69</v>
      </c>
      <c r="AE145" t="s">
        <v>243</v>
      </c>
      <c r="AF145" t="s">
        <v>52</v>
      </c>
      <c r="AG145" t="s">
        <v>3</v>
      </c>
    </row>
    <row r="146" spans="1:33" ht="28" x14ac:dyDescent="0.15">
      <c r="A146" s="4" t="s">
        <v>534</v>
      </c>
      <c r="B146" s="4" t="s">
        <v>412</v>
      </c>
      <c r="C146" s="4" t="s">
        <v>535</v>
      </c>
      <c r="D146" s="6">
        <v>40</v>
      </c>
      <c r="E146" s="6">
        <v>2.2999999999999998</v>
      </c>
      <c r="F146" s="4" t="s">
        <v>1714</v>
      </c>
      <c r="G146" s="4" t="s">
        <v>1618</v>
      </c>
      <c r="H146" s="4" t="b">
        <v>1</v>
      </c>
      <c r="I146" s="4" t="s">
        <v>1722</v>
      </c>
      <c r="J146" s="4" t="b">
        <v>0</v>
      </c>
      <c r="K146" s="4" t="s">
        <v>1600</v>
      </c>
      <c r="L146" s="5">
        <v>40</v>
      </c>
      <c r="M146" s="5">
        <v>40</v>
      </c>
      <c r="N146" s="5"/>
      <c r="O146" s="5"/>
      <c r="P146" s="5" t="s">
        <v>1708</v>
      </c>
      <c r="Q146" s="5"/>
      <c r="R146" s="5" t="s">
        <v>1718</v>
      </c>
      <c r="S146" s="5"/>
      <c r="T146" s="5"/>
      <c r="U146" s="5"/>
      <c r="V146" s="5"/>
      <c r="W146" s="5" t="s">
        <v>1619</v>
      </c>
      <c r="X146" s="14" t="s">
        <v>69</v>
      </c>
      <c r="AE146" t="s">
        <v>243</v>
      </c>
      <c r="AF146" t="s">
        <v>52</v>
      </c>
      <c r="AG146" t="s">
        <v>3</v>
      </c>
    </row>
    <row r="147" spans="1:33" ht="28" x14ac:dyDescent="0.15">
      <c r="A147" s="4" t="s">
        <v>536</v>
      </c>
      <c r="B147" s="4" t="s">
        <v>412</v>
      </c>
      <c r="C147" s="4" t="s">
        <v>537</v>
      </c>
      <c r="D147" s="6">
        <v>50</v>
      </c>
      <c r="E147" s="6">
        <v>2.2999999999999998</v>
      </c>
      <c r="F147" s="4" t="s">
        <v>1714</v>
      </c>
      <c r="G147" s="4" t="s">
        <v>1618</v>
      </c>
      <c r="H147" s="4" t="b">
        <v>1</v>
      </c>
      <c r="I147" s="4" t="s">
        <v>1723</v>
      </c>
      <c r="J147" s="4" t="b">
        <v>0</v>
      </c>
      <c r="K147" s="4" t="s">
        <v>1600</v>
      </c>
      <c r="L147" s="5">
        <v>50</v>
      </c>
      <c r="M147" s="5">
        <v>50</v>
      </c>
      <c r="N147" s="5"/>
      <c r="O147" s="5"/>
      <c r="P147" s="5" t="s">
        <v>1708</v>
      </c>
      <c r="Q147" s="5"/>
      <c r="R147" s="5" t="s">
        <v>1718</v>
      </c>
      <c r="S147" s="5"/>
      <c r="T147" s="5"/>
      <c r="U147" s="5"/>
      <c r="V147" s="5"/>
      <c r="W147" s="5" t="s">
        <v>1619</v>
      </c>
      <c r="X147" s="14" t="s">
        <v>69</v>
      </c>
      <c r="AE147" t="s">
        <v>243</v>
      </c>
      <c r="AF147" t="s">
        <v>52</v>
      </c>
      <c r="AG147" t="s">
        <v>3</v>
      </c>
    </row>
    <row r="148" spans="1:33" ht="28" x14ac:dyDescent="0.15">
      <c r="A148" s="4" t="s">
        <v>538</v>
      </c>
      <c r="B148" s="4" t="s">
        <v>412</v>
      </c>
      <c r="C148" s="4" t="s">
        <v>539</v>
      </c>
      <c r="D148" s="6">
        <v>65</v>
      </c>
      <c r="E148" s="6">
        <v>2.2999999999999998</v>
      </c>
      <c r="F148" s="4" t="s">
        <v>1714</v>
      </c>
      <c r="G148" s="4" t="s">
        <v>1618</v>
      </c>
      <c r="H148" s="4" t="b">
        <v>1</v>
      </c>
      <c r="I148" s="4" t="s">
        <v>1724</v>
      </c>
      <c r="J148" s="4" t="b">
        <v>0</v>
      </c>
      <c r="K148" s="4" t="s">
        <v>1600</v>
      </c>
      <c r="L148" s="5">
        <v>65</v>
      </c>
      <c r="M148" s="5">
        <v>65</v>
      </c>
      <c r="N148" s="5"/>
      <c r="O148" s="5"/>
      <c r="P148" s="5" t="s">
        <v>1708</v>
      </c>
      <c r="Q148" s="5"/>
      <c r="R148" s="5" t="s">
        <v>1718</v>
      </c>
      <c r="S148" s="5"/>
      <c r="T148" s="5"/>
      <c r="U148" s="5"/>
      <c r="V148" s="5"/>
      <c r="W148" s="5" t="s">
        <v>1619</v>
      </c>
      <c r="X148" s="14" t="s">
        <v>69</v>
      </c>
      <c r="AE148" t="s">
        <v>243</v>
      </c>
      <c r="AF148" t="s">
        <v>52</v>
      </c>
      <c r="AG148" t="s">
        <v>3</v>
      </c>
    </row>
    <row r="149" spans="1:33" ht="28" x14ac:dyDescent="0.15">
      <c r="A149" s="4" t="s">
        <v>540</v>
      </c>
      <c r="B149" s="4" t="s">
        <v>412</v>
      </c>
      <c r="C149" s="4" t="s">
        <v>541</v>
      </c>
      <c r="D149" s="6">
        <v>80</v>
      </c>
      <c r="E149" s="6">
        <v>2.2999999999999998</v>
      </c>
      <c r="F149" s="4" t="s">
        <v>1714</v>
      </c>
      <c r="G149" s="4" t="s">
        <v>1618</v>
      </c>
      <c r="H149" s="4" t="b">
        <v>1</v>
      </c>
      <c r="I149" s="4" t="s">
        <v>1725</v>
      </c>
      <c r="J149" s="4" t="b">
        <v>0</v>
      </c>
      <c r="K149" s="4" t="s">
        <v>1600</v>
      </c>
      <c r="L149" s="5">
        <v>80</v>
      </c>
      <c r="M149" s="5">
        <v>80</v>
      </c>
      <c r="N149" s="5"/>
      <c r="O149" s="5"/>
      <c r="P149" s="5" t="s">
        <v>1708</v>
      </c>
      <c r="Q149" s="5"/>
      <c r="R149" s="5" t="s">
        <v>1718</v>
      </c>
      <c r="S149" s="5"/>
      <c r="T149" s="5"/>
      <c r="U149" s="5"/>
      <c r="V149" s="5"/>
      <c r="W149" s="5" t="s">
        <v>1619</v>
      </c>
      <c r="X149" s="14" t="s">
        <v>69</v>
      </c>
      <c r="AE149" t="s">
        <v>243</v>
      </c>
      <c r="AF149" t="s">
        <v>52</v>
      </c>
      <c r="AG149" t="s">
        <v>3</v>
      </c>
    </row>
    <row r="150" spans="1:33" ht="28" x14ac:dyDescent="0.15">
      <c r="A150" s="4" t="s">
        <v>542</v>
      </c>
      <c r="B150" s="4" t="s">
        <v>412</v>
      </c>
      <c r="C150" s="4" t="s">
        <v>543</v>
      </c>
      <c r="D150" s="6">
        <v>100</v>
      </c>
      <c r="E150" s="6">
        <v>2.8</v>
      </c>
      <c r="F150" s="4" t="s">
        <v>1714</v>
      </c>
      <c r="G150" s="4" t="s">
        <v>1618</v>
      </c>
      <c r="H150" s="4" t="b">
        <v>1</v>
      </c>
      <c r="I150" s="4" t="s">
        <v>1726</v>
      </c>
      <c r="J150" s="4" t="b">
        <v>0</v>
      </c>
      <c r="K150" s="4" t="s">
        <v>1600</v>
      </c>
      <c r="L150" s="5">
        <v>100</v>
      </c>
      <c r="M150" s="5">
        <v>100</v>
      </c>
      <c r="N150" s="5"/>
      <c r="O150" s="5"/>
      <c r="P150" s="5" t="s">
        <v>1708</v>
      </c>
      <c r="Q150" s="5"/>
      <c r="R150" s="5" t="s">
        <v>1718</v>
      </c>
      <c r="S150" s="5"/>
      <c r="T150" s="5"/>
      <c r="U150" s="5"/>
      <c r="V150" s="5"/>
      <c r="W150" s="5" t="s">
        <v>1619</v>
      </c>
      <c r="X150" s="14" t="s">
        <v>69</v>
      </c>
      <c r="AE150" t="s">
        <v>243</v>
      </c>
      <c r="AF150" t="s">
        <v>52</v>
      </c>
      <c r="AG150" t="s">
        <v>3</v>
      </c>
    </row>
    <row r="151" spans="1:33" ht="28" x14ac:dyDescent="0.15">
      <c r="A151" s="4" t="s">
        <v>544</v>
      </c>
      <c r="B151" s="4" t="s">
        <v>412</v>
      </c>
      <c r="C151" s="4" t="s">
        <v>545</v>
      </c>
      <c r="D151" s="6">
        <v>135</v>
      </c>
      <c r="E151" s="6">
        <v>2.8</v>
      </c>
      <c r="F151" s="4" t="s">
        <v>1714</v>
      </c>
      <c r="G151" s="4" t="s">
        <v>1618</v>
      </c>
      <c r="H151" s="4" t="b">
        <v>1</v>
      </c>
      <c r="I151" s="4" t="s">
        <v>1727</v>
      </c>
      <c r="J151" s="4" t="b">
        <v>0</v>
      </c>
      <c r="K151" s="4" t="s">
        <v>1600</v>
      </c>
      <c r="L151" s="5">
        <v>135</v>
      </c>
      <c r="M151" s="5">
        <v>135</v>
      </c>
      <c r="N151" s="5"/>
      <c r="O151" s="5"/>
      <c r="P151" s="5" t="s">
        <v>1708</v>
      </c>
      <c r="Q151" s="5"/>
      <c r="R151" s="5" t="s">
        <v>1718</v>
      </c>
      <c r="S151" s="5"/>
      <c r="T151" s="5"/>
      <c r="U151" s="5"/>
      <c r="V151" s="5"/>
      <c r="W151" s="5" t="s">
        <v>1619</v>
      </c>
      <c r="X151" s="14" t="s">
        <v>69</v>
      </c>
      <c r="AE151" t="s">
        <v>243</v>
      </c>
      <c r="AF151" t="s">
        <v>52</v>
      </c>
      <c r="AG151" t="s">
        <v>3</v>
      </c>
    </row>
    <row r="152" spans="1:33" ht="28" x14ac:dyDescent="0.15">
      <c r="A152" s="4" t="s">
        <v>546</v>
      </c>
      <c r="B152" s="4" t="s">
        <v>547</v>
      </c>
      <c r="C152" s="4" t="s">
        <v>548</v>
      </c>
      <c r="D152" s="6">
        <v>20</v>
      </c>
      <c r="E152" s="6">
        <v>2.8</v>
      </c>
      <c r="F152" s="4">
        <v>31.7</v>
      </c>
      <c r="G152" s="4" t="s">
        <v>1728</v>
      </c>
      <c r="H152" s="4" t="b">
        <v>0</v>
      </c>
      <c r="I152" s="4"/>
      <c r="J152" s="4" t="b">
        <v>0</v>
      </c>
      <c r="K152" s="4" t="s">
        <v>1600</v>
      </c>
      <c r="L152" s="5">
        <v>20</v>
      </c>
      <c r="M152" s="5">
        <v>55</v>
      </c>
      <c r="N152" s="5">
        <v>31.7</v>
      </c>
      <c r="O152" s="5">
        <v>0.55000000000000004</v>
      </c>
      <c r="P152" s="5" t="s">
        <v>1708</v>
      </c>
      <c r="Q152" s="5"/>
      <c r="R152" s="5" t="s">
        <v>1729</v>
      </c>
      <c r="S152" s="5">
        <v>95</v>
      </c>
      <c r="T152" s="5">
        <v>172</v>
      </c>
      <c r="U152" s="5">
        <v>1520</v>
      </c>
      <c r="V152" s="5" t="s">
        <v>1730</v>
      </c>
      <c r="W152" s="5" t="s">
        <v>1713</v>
      </c>
      <c r="X152" s="14" t="s">
        <v>69</v>
      </c>
      <c r="AE152" t="s">
        <v>243</v>
      </c>
      <c r="AF152" t="s">
        <v>52</v>
      </c>
      <c r="AG152" t="s">
        <v>3</v>
      </c>
    </row>
    <row r="153" spans="1:33" ht="28" x14ac:dyDescent="0.15">
      <c r="A153" s="4" t="s">
        <v>549</v>
      </c>
      <c r="B153" s="4" t="s">
        <v>547</v>
      </c>
      <c r="C153" s="4" t="s">
        <v>550</v>
      </c>
      <c r="D153" s="6">
        <v>50</v>
      </c>
      <c r="E153" s="6">
        <v>2.8</v>
      </c>
      <c r="F153" s="4">
        <v>31.7</v>
      </c>
      <c r="G153" s="4" t="s">
        <v>1728</v>
      </c>
      <c r="H153" s="4" t="b">
        <v>0</v>
      </c>
      <c r="I153" s="4"/>
      <c r="J153" s="4" t="b">
        <v>0</v>
      </c>
      <c r="K153" s="4" t="s">
        <v>1600</v>
      </c>
      <c r="L153" s="5">
        <v>50</v>
      </c>
      <c r="M153" s="5">
        <v>125</v>
      </c>
      <c r="N153" s="5">
        <v>31.7</v>
      </c>
      <c r="O153" s="5">
        <v>0.35</v>
      </c>
      <c r="P153" s="5" t="s">
        <v>1708</v>
      </c>
      <c r="Q153" s="5"/>
      <c r="R153" s="5" t="s">
        <v>1729</v>
      </c>
      <c r="S153" s="5">
        <v>95</v>
      </c>
      <c r="T153" s="5">
        <v>183</v>
      </c>
      <c r="U153" s="5">
        <v>1700</v>
      </c>
      <c r="V153" s="5" t="s">
        <v>1730</v>
      </c>
      <c r="W153" s="5" t="s">
        <v>1713</v>
      </c>
      <c r="X153" s="14" t="s">
        <v>69</v>
      </c>
      <c r="AE153" t="s">
        <v>243</v>
      </c>
      <c r="AF153" t="s">
        <v>52</v>
      </c>
      <c r="AG153" t="s">
        <v>3</v>
      </c>
    </row>
    <row r="154" spans="1:33" ht="14" x14ac:dyDescent="0.15">
      <c r="A154" s="4" t="s">
        <v>551</v>
      </c>
      <c r="B154" s="4" t="s">
        <v>547</v>
      </c>
      <c r="C154" s="4" t="s">
        <v>552</v>
      </c>
      <c r="D154" s="6">
        <v>16</v>
      </c>
      <c r="E154" s="6">
        <v>2.8</v>
      </c>
      <c r="F154" s="4" t="s">
        <v>1714</v>
      </c>
      <c r="G154" s="4" t="s">
        <v>1618</v>
      </c>
      <c r="H154" s="4" t="b">
        <v>0</v>
      </c>
      <c r="I154" s="4" t="s">
        <v>1731</v>
      </c>
      <c r="J154" s="4" t="b">
        <v>0</v>
      </c>
      <c r="K154" s="4" t="s">
        <v>1600</v>
      </c>
      <c r="L154" s="5">
        <v>16</v>
      </c>
      <c r="M154" s="5">
        <v>16</v>
      </c>
      <c r="N154" s="5"/>
      <c r="O154" s="5"/>
      <c r="P154" s="5" t="s">
        <v>1708</v>
      </c>
      <c r="Q154" s="5"/>
      <c r="R154" s="5" t="s">
        <v>1709</v>
      </c>
      <c r="S154" s="5"/>
      <c r="T154" s="5"/>
      <c r="U154" s="5"/>
      <c r="V154" s="5"/>
      <c r="W154" s="5" t="s">
        <v>1619</v>
      </c>
      <c r="X154" s="14" t="s">
        <v>69</v>
      </c>
      <c r="AE154" t="s">
        <v>243</v>
      </c>
      <c r="AF154" t="s">
        <v>52</v>
      </c>
      <c r="AG154" t="s">
        <v>3</v>
      </c>
    </row>
    <row r="155" spans="1:33" ht="14" x14ac:dyDescent="0.15">
      <c r="A155" s="4" t="s">
        <v>553</v>
      </c>
      <c r="B155" s="4" t="s">
        <v>547</v>
      </c>
      <c r="C155" s="4" t="s">
        <v>554</v>
      </c>
      <c r="D155" s="6">
        <v>25</v>
      </c>
      <c r="E155" s="6">
        <v>2.1</v>
      </c>
      <c r="F155" s="4" t="s">
        <v>1714</v>
      </c>
      <c r="G155" s="4" t="s">
        <v>1618</v>
      </c>
      <c r="H155" s="4" t="b">
        <v>0</v>
      </c>
      <c r="I155" s="4" t="s">
        <v>1732</v>
      </c>
      <c r="J155" s="4" t="b">
        <v>0</v>
      </c>
      <c r="K155" s="4" t="s">
        <v>1600</v>
      </c>
      <c r="L155" s="5">
        <v>25</v>
      </c>
      <c r="M155" s="5">
        <v>25</v>
      </c>
      <c r="N155" s="5"/>
      <c r="O155" s="5"/>
      <c r="P155" s="5" t="s">
        <v>1708</v>
      </c>
      <c r="Q155" s="5"/>
      <c r="R155" s="5" t="s">
        <v>1709</v>
      </c>
      <c r="S155" s="5"/>
      <c r="T155" s="5"/>
      <c r="U155" s="5"/>
      <c r="V155" s="5"/>
      <c r="W155" s="5" t="s">
        <v>1619</v>
      </c>
      <c r="X155" s="14" t="s">
        <v>69</v>
      </c>
      <c r="AE155" t="s">
        <v>243</v>
      </c>
      <c r="AF155" t="s">
        <v>52</v>
      </c>
      <c r="AG155" t="s">
        <v>3</v>
      </c>
    </row>
    <row r="156" spans="1:33" ht="14" x14ac:dyDescent="0.15">
      <c r="A156" s="4" t="s">
        <v>555</v>
      </c>
      <c r="B156" s="4" t="s">
        <v>547</v>
      </c>
      <c r="C156" s="4" t="s">
        <v>556</v>
      </c>
      <c r="D156" s="6">
        <v>35</v>
      </c>
      <c r="E156" s="6">
        <v>2.1</v>
      </c>
      <c r="F156" s="4" t="s">
        <v>1714</v>
      </c>
      <c r="G156" s="4" t="s">
        <v>1618</v>
      </c>
      <c r="H156" s="4" t="b">
        <v>0</v>
      </c>
      <c r="I156" s="4" t="s">
        <v>1733</v>
      </c>
      <c r="J156" s="4" t="b">
        <v>0</v>
      </c>
      <c r="K156" s="4" t="s">
        <v>1600</v>
      </c>
      <c r="L156" s="5">
        <v>35</v>
      </c>
      <c r="M156" s="5">
        <v>35</v>
      </c>
      <c r="N156" s="5"/>
      <c r="O156" s="5"/>
      <c r="P156" s="5" t="s">
        <v>1708</v>
      </c>
      <c r="Q156" s="5"/>
      <c r="R156" s="5" t="s">
        <v>1709</v>
      </c>
      <c r="S156" s="5"/>
      <c r="T156" s="5"/>
      <c r="U156" s="5"/>
      <c r="V156" s="5"/>
      <c r="W156" s="5" t="s">
        <v>1619</v>
      </c>
      <c r="X156" s="14" t="s">
        <v>69</v>
      </c>
      <c r="AE156" t="s">
        <v>243</v>
      </c>
      <c r="AF156" t="s">
        <v>52</v>
      </c>
      <c r="AG156" t="s">
        <v>3</v>
      </c>
    </row>
    <row r="157" spans="1:33" ht="14" x14ac:dyDescent="0.15">
      <c r="A157" s="4" t="s">
        <v>557</v>
      </c>
      <c r="B157" s="4" t="s">
        <v>547</v>
      </c>
      <c r="C157" s="4" t="s">
        <v>558</v>
      </c>
      <c r="D157" s="6">
        <v>50</v>
      </c>
      <c r="E157" s="6">
        <v>2.1</v>
      </c>
      <c r="F157" s="4" t="s">
        <v>1714</v>
      </c>
      <c r="G157" s="4" t="s">
        <v>1618</v>
      </c>
      <c r="H157" s="4" t="b">
        <v>0</v>
      </c>
      <c r="I157" s="4" t="s">
        <v>1734</v>
      </c>
      <c r="J157" s="4" t="b">
        <v>0</v>
      </c>
      <c r="K157" s="4" t="s">
        <v>1600</v>
      </c>
      <c r="L157" s="5">
        <v>50</v>
      </c>
      <c r="M157" s="5">
        <v>50</v>
      </c>
      <c r="N157" s="5"/>
      <c r="O157" s="5"/>
      <c r="P157" s="5" t="s">
        <v>1708</v>
      </c>
      <c r="Q157" s="5"/>
      <c r="R157" s="5" t="s">
        <v>1709</v>
      </c>
      <c r="S157" s="5"/>
      <c r="T157" s="5"/>
      <c r="U157" s="5"/>
      <c r="V157" s="5"/>
      <c r="W157" s="5" t="s">
        <v>1619</v>
      </c>
      <c r="X157" s="14" t="s">
        <v>69</v>
      </c>
      <c r="AE157" t="s">
        <v>243</v>
      </c>
      <c r="AF157" t="s">
        <v>52</v>
      </c>
      <c r="AG157" t="s">
        <v>3</v>
      </c>
    </row>
    <row r="158" spans="1:33" ht="14" x14ac:dyDescent="0.15">
      <c r="A158" s="4" t="s">
        <v>559</v>
      </c>
      <c r="B158" s="4" t="s">
        <v>547</v>
      </c>
      <c r="C158" s="4" t="s">
        <v>560</v>
      </c>
      <c r="D158" s="6">
        <v>75</v>
      </c>
      <c r="E158" s="6">
        <v>2.1</v>
      </c>
      <c r="F158" s="4" t="s">
        <v>1714</v>
      </c>
      <c r="G158" s="4" t="s">
        <v>1618</v>
      </c>
      <c r="H158" s="4" t="b">
        <v>0</v>
      </c>
      <c r="I158" s="4" t="s">
        <v>1733</v>
      </c>
      <c r="J158" s="4" t="b">
        <v>0</v>
      </c>
      <c r="K158" s="4" t="s">
        <v>1600</v>
      </c>
      <c r="L158" s="5">
        <v>75</v>
      </c>
      <c r="M158" s="5">
        <v>75</v>
      </c>
      <c r="N158" s="5"/>
      <c r="O158" s="5"/>
      <c r="P158" s="5" t="s">
        <v>1708</v>
      </c>
      <c r="Q158" s="5"/>
      <c r="R158" s="5" t="s">
        <v>1709</v>
      </c>
      <c r="S158" s="5"/>
      <c r="T158" s="5"/>
      <c r="U158" s="5"/>
      <c r="V158" s="5"/>
      <c r="W158" s="5" t="s">
        <v>1619</v>
      </c>
      <c r="X158" s="14" t="s">
        <v>69</v>
      </c>
      <c r="AE158" t="s">
        <v>243</v>
      </c>
      <c r="AF158" t="s">
        <v>52</v>
      </c>
      <c r="AG158" t="s">
        <v>3</v>
      </c>
    </row>
    <row r="159" spans="1:33" ht="14" x14ac:dyDescent="0.15">
      <c r="A159" s="4" t="s">
        <v>561</v>
      </c>
      <c r="B159" s="4" t="s">
        <v>547</v>
      </c>
      <c r="C159" s="4" t="s">
        <v>562</v>
      </c>
      <c r="D159" s="6">
        <v>100</v>
      </c>
      <c r="E159" s="6">
        <v>2.8</v>
      </c>
      <c r="F159" s="4" t="s">
        <v>1714</v>
      </c>
      <c r="G159" s="4" t="s">
        <v>1618</v>
      </c>
      <c r="H159" s="4" t="b">
        <v>0</v>
      </c>
      <c r="I159" s="4" t="s">
        <v>1732</v>
      </c>
      <c r="J159" s="4" t="b">
        <v>0</v>
      </c>
      <c r="K159" s="4" t="s">
        <v>1600</v>
      </c>
      <c r="L159" s="5">
        <v>100</v>
      </c>
      <c r="M159" s="5">
        <v>100</v>
      </c>
      <c r="N159" s="5"/>
      <c r="O159" s="5"/>
      <c r="P159" s="5" t="s">
        <v>1708</v>
      </c>
      <c r="Q159" s="5"/>
      <c r="R159" s="5" t="s">
        <v>1709</v>
      </c>
      <c r="S159" s="5"/>
      <c r="T159" s="5"/>
      <c r="U159" s="5"/>
      <c r="V159" s="5"/>
      <c r="W159" s="5" t="s">
        <v>1619</v>
      </c>
      <c r="X159" s="14" t="s">
        <v>69</v>
      </c>
      <c r="AE159" t="s">
        <v>243</v>
      </c>
      <c r="AF159" t="s">
        <v>52</v>
      </c>
      <c r="AG159" t="s">
        <v>3</v>
      </c>
    </row>
    <row r="160" spans="1:33" ht="14" x14ac:dyDescent="0.15">
      <c r="A160" s="4" t="s">
        <v>563</v>
      </c>
      <c r="B160" s="4" t="s">
        <v>547</v>
      </c>
      <c r="C160" s="4" t="s">
        <v>564</v>
      </c>
      <c r="D160" s="6">
        <v>125</v>
      </c>
      <c r="E160" s="6">
        <v>2.8</v>
      </c>
      <c r="F160" s="4" t="s">
        <v>1714</v>
      </c>
      <c r="G160" s="4" t="s">
        <v>1618</v>
      </c>
      <c r="H160" s="4" t="b">
        <v>0</v>
      </c>
      <c r="I160" s="4" t="s">
        <v>1735</v>
      </c>
      <c r="J160" s="4" t="b">
        <v>0</v>
      </c>
      <c r="K160" s="4" t="s">
        <v>1600</v>
      </c>
      <c r="L160" s="5">
        <v>125</v>
      </c>
      <c r="M160" s="5">
        <v>125</v>
      </c>
      <c r="N160" s="5"/>
      <c r="O160" s="5"/>
      <c r="P160" s="5" t="s">
        <v>1708</v>
      </c>
      <c r="Q160" s="5"/>
      <c r="R160" s="5" t="s">
        <v>1709</v>
      </c>
      <c r="S160" s="5"/>
      <c r="T160" s="5"/>
      <c r="U160" s="5"/>
      <c r="V160" s="5"/>
      <c r="W160" s="5" t="s">
        <v>1619</v>
      </c>
      <c r="X160" s="14" t="s">
        <v>69</v>
      </c>
      <c r="AE160" t="s">
        <v>243</v>
      </c>
      <c r="AF160" t="s">
        <v>52</v>
      </c>
      <c r="AG160" t="s">
        <v>3</v>
      </c>
    </row>
    <row r="161" spans="1:33" ht="14" x14ac:dyDescent="0.15">
      <c r="A161" s="4" t="s">
        <v>565</v>
      </c>
      <c r="B161" s="4" t="s">
        <v>547</v>
      </c>
      <c r="C161" s="4" t="s">
        <v>566</v>
      </c>
      <c r="D161" s="6">
        <v>150</v>
      </c>
      <c r="E161" s="6">
        <v>2.8</v>
      </c>
      <c r="F161" s="4" t="s">
        <v>1714</v>
      </c>
      <c r="G161" s="4" t="s">
        <v>1618</v>
      </c>
      <c r="H161" s="4" t="b">
        <v>0</v>
      </c>
      <c r="I161" s="4" t="s">
        <v>1736</v>
      </c>
      <c r="J161" s="4" t="b">
        <v>0</v>
      </c>
      <c r="K161" s="4" t="s">
        <v>1600</v>
      </c>
      <c r="L161" s="5">
        <v>150</v>
      </c>
      <c r="M161" s="5">
        <v>150</v>
      </c>
      <c r="N161" s="5"/>
      <c r="O161" s="5"/>
      <c r="P161" s="5" t="s">
        <v>1708</v>
      </c>
      <c r="Q161" s="5"/>
      <c r="R161" s="5" t="s">
        <v>1709</v>
      </c>
      <c r="S161" s="5"/>
      <c r="T161" s="5"/>
      <c r="U161" s="5"/>
      <c r="V161" s="5"/>
      <c r="W161" s="5" t="s">
        <v>1619</v>
      </c>
      <c r="X161" s="14" t="s">
        <v>69</v>
      </c>
      <c r="AE161" t="s">
        <v>243</v>
      </c>
      <c r="AF161" t="s">
        <v>52</v>
      </c>
      <c r="AG161" t="s">
        <v>3</v>
      </c>
    </row>
    <row r="162" spans="1:33" ht="14" x14ac:dyDescent="0.15">
      <c r="A162" s="4" t="s">
        <v>567</v>
      </c>
      <c r="B162" s="4" t="s">
        <v>568</v>
      </c>
      <c r="C162" s="4" t="s">
        <v>569</v>
      </c>
      <c r="D162" s="6">
        <v>0</v>
      </c>
      <c r="E162" s="6">
        <v>2.9</v>
      </c>
      <c r="F162" s="4" t="s">
        <v>1714</v>
      </c>
      <c r="G162" s="4" t="s">
        <v>1618</v>
      </c>
      <c r="H162" s="4" t="b">
        <v>0</v>
      </c>
      <c r="I162" s="4"/>
      <c r="J162" s="4" t="b">
        <v>0</v>
      </c>
      <c r="K162" s="4" t="s">
        <v>1600</v>
      </c>
      <c r="L162" s="5">
        <v>28</v>
      </c>
      <c r="M162" s="5">
        <v>100</v>
      </c>
      <c r="N162" s="5"/>
      <c r="O162" s="5"/>
      <c r="P162" s="5" t="s">
        <v>1708</v>
      </c>
      <c r="Q162" s="5"/>
      <c r="R162" s="5" t="s">
        <v>1709</v>
      </c>
      <c r="S162" s="5"/>
      <c r="T162" s="5"/>
      <c r="U162" s="5"/>
      <c r="V162" s="5"/>
      <c r="W162" s="5" t="s">
        <v>1619</v>
      </c>
      <c r="X162" s="14" t="s">
        <v>69</v>
      </c>
      <c r="AE162" t="s">
        <v>243</v>
      </c>
      <c r="AF162" t="s">
        <v>52</v>
      </c>
      <c r="AG162" t="s">
        <v>3</v>
      </c>
    </row>
    <row r="163" spans="1:33" ht="14" x14ac:dyDescent="0.15">
      <c r="A163" s="4" t="s">
        <v>570</v>
      </c>
      <c r="B163" s="4" t="s">
        <v>568</v>
      </c>
      <c r="C163" s="4" t="s">
        <v>571</v>
      </c>
      <c r="D163" s="6">
        <v>0</v>
      </c>
      <c r="E163" s="6">
        <v>2.9</v>
      </c>
      <c r="F163" s="4" t="s">
        <v>1711</v>
      </c>
      <c r="G163" s="4" t="s">
        <v>1618</v>
      </c>
      <c r="H163" s="4" t="b">
        <v>0</v>
      </c>
      <c r="I163" s="4"/>
      <c r="J163" s="4" t="b">
        <v>0</v>
      </c>
      <c r="K163" s="4" t="s">
        <v>1600</v>
      </c>
      <c r="L163" s="5">
        <v>19</v>
      </c>
      <c r="M163" s="5">
        <v>90</v>
      </c>
      <c r="N163" s="5"/>
      <c r="O163" s="5"/>
      <c r="P163" s="5" t="s">
        <v>1708</v>
      </c>
      <c r="Q163" s="5"/>
      <c r="R163" s="5" t="s">
        <v>1709</v>
      </c>
      <c r="S163" s="5"/>
      <c r="T163" s="5"/>
      <c r="U163" s="5"/>
      <c r="V163" s="5"/>
      <c r="W163" s="5" t="s">
        <v>1619</v>
      </c>
      <c r="X163" s="14" t="s">
        <v>69</v>
      </c>
      <c r="AE163" t="s">
        <v>243</v>
      </c>
      <c r="AF163" t="s">
        <v>52</v>
      </c>
      <c r="AG163" t="s">
        <v>3</v>
      </c>
    </row>
    <row r="164" spans="1:33" ht="14" x14ac:dyDescent="0.15">
      <c r="A164" s="4" t="s">
        <v>572</v>
      </c>
      <c r="B164" s="4" t="s">
        <v>568</v>
      </c>
      <c r="C164" s="4" t="s">
        <v>573</v>
      </c>
      <c r="D164" s="6">
        <v>0</v>
      </c>
      <c r="E164" s="6">
        <v>2.9</v>
      </c>
      <c r="F164" s="4" t="s">
        <v>1711</v>
      </c>
      <c r="G164" s="4" t="s">
        <v>1618</v>
      </c>
      <c r="H164" s="4" t="b">
        <v>0</v>
      </c>
      <c r="I164" s="4"/>
      <c r="J164" s="4" t="b">
        <v>0</v>
      </c>
      <c r="K164" s="4" t="s">
        <v>1600</v>
      </c>
      <c r="L164" s="5">
        <v>85</v>
      </c>
      <c r="M164" s="5">
        <v>300</v>
      </c>
      <c r="N164" s="5"/>
      <c r="O164" s="5"/>
      <c r="P164" s="5" t="s">
        <v>1708</v>
      </c>
      <c r="Q164" s="5"/>
      <c r="R164" s="5" t="s">
        <v>1709</v>
      </c>
      <c r="S164" s="5"/>
      <c r="T164" s="5"/>
      <c r="U164" s="5"/>
      <c r="V164" s="5"/>
      <c r="W164" s="5" t="s">
        <v>1619</v>
      </c>
      <c r="X164" s="14" t="s">
        <v>69</v>
      </c>
      <c r="AE164" t="s">
        <v>243</v>
      </c>
      <c r="AF164" t="s">
        <v>52</v>
      </c>
      <c r="AG164" t="s">
        <v>3</v>
      </c>
    </row>
    <row r="165" spans="1:33" ht="14" x14ac:dyDescent="0.15">
      <c r="A165" s="4" t="s">
        <v>574</v>
      </c>
      <c r="B165" s="4" t="s">
        <v>568</v>
      </c>
      <c r="C165" s="4" t="s">
        <v>575</v>
      </c>
      <c r="D165" s="6">
        <v>14</v>
      </c>
      <c r="E165" s="6">
        <v>2</v>
      </c>
      <c r="F165" s="4" t="s">
        <v>1714</v>
      </c>
      <c r="G165" s="4" t="s">
        <v>1618</v>
      </c>
      <c r="H165" s="4" t="b">
        <v>0</v>
      </c>
      <c r="I165" s="4"/>
      <c r="J165" s="4" t="b">
        <v>0</v>
      </c>
      <c r="K165" s="4" t="s">
        <v>1600</v>
      </c>
      <c r="L165" s="5">
        <v>14</v>
      </c>
      <c r="M165" s="5">
        <v>14</v>
      </c>
      <c r="N165" s="5"/>
      <c r="O165" s="5"/>
      <c r="P165" s="5" t="s">
        <v>1708</v>
      </c>
      <c r="Q165" s="5"/>
      <c r="R165" s="5" t="s">
        <v>1709</v>
      </c>
      <c r="S165" s="5"/>
      <c r="T165" s="5"/>
      <c r="U165" s="5"/>
      <c r="V165" s="5"/>
      <c r="W165" s="5" t="s">
        <v>1619</v>
      </c>
      <c r="X165" s="14" t="s">
        <v>69</v>
      </c>
      <c r="AE165" t="s">
        <v>243</v>
      </c>
      <c r="AF165" t="s">
        <v>52</v>
      </c>
      <c r="AG165" t="s">
        <v>3</v>
      </c>
    </row>
    <row r="166" spans="1:33" ht="14" x14ac:dyDescent="0.15">
      <c r="A166" s="4" t="s">
        <v>576</v>
      </c>
      <c r="B166" s="4" t="s">
        <v>568</v>
      </c>
      <c r="C166" s="4" t="s">
        <v>577</v>
      </c>
      <c r="D166" s="6">
        <v>18</v>
      </c>
      <c r="E166" s="6">
        <v>2</v>
      </c>
      <c r="F166" s="4" t="s">
        <v>1714</v>
      </c>
      <c r="G166" s="4" t="s">
        <v>1618</v>
      </c>
      <c r="H166" s="4" t="b">
        <v>0</v>
      </c>
      <c r="I166" s="4"/>
      <c r="J166" s="4" t="b">
        <v>0</v>
      </c>
      <c r="K166" s="4" t="s">
        <v>1600</v>
      </c>
      <c r="L166" s="5">
        <v>18</v>
      </c>
      <c r="M166" s="5">
        <v>18</v>
      </c>
      <c r="N166" s="5"/>
      <c r="O166" s="5"/>
      <c r="P166" s="5" t="s">
        <v>1708</v>
      </c>
      <c r="Q166" s="5"/>
      <c r="R166" s="5" t="s">
        <v>1709</v>
      </c>
      <c r="S166" s="5"/>
      <c r="T166" s="5"/>
      <c r="U166" s="5"/>
      <c r="V166" s="5"/>
      <c r="W166" s="5" t="s">
        <v>1619</v>
      </c>
      <c r="X166" s="14" t="s">
        <v>69</v>
      </c>
      <c r="AE166" t="s">
        <v>243</v>
      </c>
      <c r="AF166" t="s">
        <v>52</v>
      </c>
      <c r="AG166" t="s">
        <v>3</v>
      </c>
    </row>
    <row r="167" spans="1:33" ht="14" x14ac:dyDescent="0.15">
      <c r="A167" s="4" t="s">
        <v>578</v>
      </c>
      <c r="B167" s="4" t="s">
        <v>568</v>
      </c>
      <c r="C167" s="4" t="s">
        <v>579</v>
      </c>
      <c r="D167" s="6">
        <v>21</v>
      </c>
      <c r="E167" s="6">
        <v>2</v>
      </c>
      <c r="F167" s="4" t="s">
        <v>1714</v>
      </c>
      <c r="G167" s="4" t="s">
        <v>1618</v>
      </c>
      <c r="H167" s="4" t="b">
        <v>0</v>
      </c>
      <c r="I167" s="4"/>
      <c r="J167" s="4" t="b">
        <v>0</v>
      </c>
      <c r="K167" s="4" t="s">
        <v>1600</v>
      </c>
      <c r="L167" s="5">
        <v>21</v>
      </c>
      <c r="M167" s="5">
        <v>21</v>
      </c>
      <c r="N167" s="5"/>
      <c r="O167" s="5"/>
      <c r="P167" s="5" t="s">
        <v>1708</v>
      </c>
      <c r="Q167" s="5"/>
      <c r="R167" s="5" t="s">
        <v>1709</v>
      </c>
      <c r="S167" s="5"/>
      <c r="T167" s="5"/>
      <c r="U167" s="5"/>
      <c r="V167" s="5"/>
      <c r="W167" s="5" t="s">
        <v>1619</v>
      </c>
      <c r="X167" s="14" t="s">
        <v>69</v>
      </c>
      <c r="AE167" t="s">
        <v>243</v>
      </c>
      <c r="AF167" t="s">
        <v>52</v>
      </c>
      <c r="AG167" t="s">
        <v>3</v>
      </c>
    </row>
    <row r="168" spans="1:33" ht="14" x14ac:dyDescent="0.15">
      <c r="A168" s="4" t="s">
        <v>580</v>
      </c>
      <c r="B168" s="4" t="s">
        <v>568</v>
      </c>
      <c r="C168" s="4" t="s">
        <v>581</v>
      </c>
      <c r="D168" s="6">
        <v>25</v>
      </c>
      <c r="E168" s="6">
        <v>2</v>
      </c>
      <c r="F168" s="4" t="s">
        <v>1714</v>
      </c>
      <c r="G168" s="4" t="s">
        <v>1618</v>
      </c>
      <c r="H168" s="4" t="b">
        <v>0</v>
      </c>
      <c r="I168" s="4"/>
      <c r="J168" s="4" t="b">
        <v>0</v>
      </c>
      <c r="K168" s="4" t="s">
        <v>1600</v>
      </c>
      <c r="L168" s="5">
        <v>25</v>
      </c>
      <c r="M168" s="5">
        <v>25</v>
      </c>
      <c r="N168" s="5"/>
      <c r="O168" s="5"/>
      <c r="P168" s="5" t="s">
        <v>1708</v>
      </c>
      <c r="Q168" s="5"/>
      <c r="R168" s="5" t="s">
        <v>1709</v>
      </c>
      <c r="S168" s="5"/>
      <c r="T168" s="5"/>
      <c r="U168" s="5"/>
      <c r="V168" s="5"/>
      <c r="W168" s="5" t="s">
        <v>1619</v>
      </c>
      <c r="X168" s="14" t="s">
        <v>69</v>
      </c>
      <c r="AE168" t="s">
        <v>243</v>
      </c>
      <c r="AF168" t="s">
        <v>52</v>
      </c>
      <c r="AG168" t="s">
        <v>3</v>
      </c>
    </row>
    <row r="169" spans="1:33" ht="14" x14ac:dyDescent="0.15">
      <c r="A169" s="4" t="s">
        <v>582</v>
      </c>
      <c r="B169" s="4" t="s">
        <v>568</v>
      </c>
      <c r="C169" s="4" t="s">
        <v>583</v>
      </c>
      <c r="D169" s="6">
        <v>35</v>
      </c>
      <c r="E169" s="6">
        <v>2</v>
      </c>
      <c r="F169" s="4" t="s">
        <v>1714</v>
      </c>
      <c r="G169" s="4" t="s">
        <v>1618</v>
      </c>
      <c r="H169" s="4" t="b">
        <v>0</v>
      </c>
      <c r="I169" s="4"/>
      <c r="J169" s="4" t="b">
        <v>0</v>
      </c>
      <c r="K169" s="4" t="s">
        <v>1600</v>
      </c>
      <c r="L169" s="5">
        <v>35</v>
      </c>
      <c r="M169" s="5">
        <v>35</v>
      </c>
      <c r="N169" s="5"/>
      <c r="O169" s="5"/>
      <c r="P169" s="5" t="s">
        <v>1708</v>
      </c>
      <c r="Q169" s="5"/>
      <c r="R169" s="5" t="s">
        <v>1709</v>
      </c>
      <c r="S169" s="5"/>
      <c r="T169" s="5"/>
      <c r="U169" s="5"/>
      <c r="V169" s="5"/>
      <c r="W169" s="5" t="s">
        <v>1619</v>
      </c>
      <c r="X169" s="14" t="s">
        <v>69</v>
      </c>
      <c r="AE169" t="s">
        <v>243</v>
      </c>
      <c r="AF169" t="s">
        <v>52</v>
      </c>
      <c r="AG169" t="s">
        <v>3</v>
      </c>
    </row>
    <row r="170" spans="1:33" ht="14" x14ac:dyDescent="0.15">
      <c r="A170" s="4" t="s">
        <v>584</v>
      </c>
      <c r="B170" s="4" t="s">
        <v>568</v>
      </c>
      <c r="C170" s="4" t="s">
        <v>585</v>
      </c>
      <c r="D170" s="6">
        <v>50</v>
      </c>
      <c r="E170" s="6">
        <v>2</v>
      </c>
      <c r="F170" s="4" t="s">
        <v>1714</v>
      </c>
      <c r="G170" s="4" t="s">
        <v>1618</v>
      </c>
      <c r="H170" s="4" t="b">
        <v>0</v>
      </c>
      <c r="I170" s="4"/>
      <c r="J170" s="4" t="b">
        <v>0</v>
      </c>
      <c r="K170" s="4" t="s">
        <v>1600</v>
      </c>
      <c r="L170" s="5">
        <v>50</v>
      </c>
      <c r="M170" s="5">
        <v>50</v>
      </c>
      <c r="N170" s="5"/>
      <c r="O170" s="5"/>
      <c r="P170" s="5" t="s">
        <v>1708</v>
      </c>
      <c r="Q170" s="5"/>
      <c r="R170" s="5" t="s">
        <v>1709</v>
      </c>
      <c r="S170" s="5"/>
      <c r="T170" s="5"/>
      <c r="U170" s="5"/>
      <c r="V170" s="5"/>
      <c r="W170" s="5" t="s">
        <v>1619</v>
      </c>
      <c r="X170" s="14" t="s">
        <v>69</v>
      </c>
      <c r="AE170" t="s">
        <v>243</v>
      </c>
      <c r="AF170" t="s">
        <v>52</v>
      </c>
      <c r="AG170" t="s">
        <v>3</v>
      </c>
    </row>
    <row r="171" spans="1:33" ht="14" x14ac:dyDescent="0.15">
      <c r="A171" s="4" t="s">
        <v>586</v>
      </c>
      <c r="B171" s="4" t="s">
        <v>568</v>
      </c>
      <c r="C171" s="4" t="s">
        <v>587</v>
      </c>
      <c r="D171" s="6">
        <v>85</v>
      </c>
      <c r="E171" s="6">
        <v>2</v>
      </c>
      <c r="F171" s="4" t="s">
        <v>1714</v>
      </c>
      <c r="G171" s="4" t="s">
        <v>1618</v>
      </c>
      <c r="H171" s="4" t="b">
        <v>0</v>
      </c>
      <c r="I171" s="4"/>
      <c r="J171" s="4" t="b">
        <v>0</v>
      </c>
      <c r="K171" s="4" t="s">
        <v>1600</v>
      </c>
      <c r="L171" s="5">
        <v>85</v>
      </c>
      <c r="M171" s="5">
        <v>85</v>
      </c>
      <c r="N171" s="5"/>
      <c r="O171" s="5"/>
      <c r="P171" s="5" t="s">
        <v>1708</v>
      </c>
      <c r="Q171" s="5"/>
      <c r="R171" s="5" t="s">
        <v>1709</v>
      </c>
      <c r="S171" s="5"/>
      <c r="T171" s="5"/>
      <c r="U171" s="5"/>
      <c r="V171" s="5"/>
      <c r="W171" s="5" t="s">
        <v>1619</v>
      </c>
      <c r="X171" s="14" t="s">
        <v>69</v>
      </c>
      <c r="AE171" t="s">
        <v>243</v>
      </c>
      <c r="AF171" t="s">
        <v>52</v>
      </c>
      <c r="AG171" t="s">
        <v>3</v>
      </c>
    </row>
    <row r="172" spans="1:33" ht="14" x14ac:dyDescent="0.15">
      <c r="A172" s="4" t="s">
        <v>588</v>
      </c>
      <c r="B172" s="4" t="s">
        <v>568</v>
      </c>
      <c r="C172" s="4" t="s">
        <v>589</v>
      </c>
      <c r="D172" s="6">
        <v>125</v>
      </c>
      <c r="E172" s="6">
        <v>2</v>
      </c>
      <c r="F172" s="4" t="s">
        <v>1714</v>
      </c>
      <c r="G172" s="4" t="s">
        <v>1618</v>
      </c>
      <c r="H172" s="4" t="b">
        <v>0</v>
      </c>
      <c r="I172" s="4"/>
      <c r="J172" s="4" t="b">
        <v>0</v>
      </c>
      <c r="K172" s="4" t="s">
        <v>1600</v>
      </c>
      <c r="L172" s="5">
        <v>125</v>
      </c>
      <c r="M172" s="5">
        <v>125</v>
      </c>
      <c r="N172" s="5"/>
      <c r="O172" s="5"/>
      <c r="P172" s="5" t="s">
        <v>1708</v>
      </c>
      <c r="Q172" s="5"/>
      <c r="R172" s="5" t="s">
        <v>1709</v>
      </c>
      <c r="S172" s="5"/>
      <c r="T172" s="5"/>
      <c r="U172" s="5"/>
      <c r="V172" s="5"/>
      <c r="W172" s="5" t="s">
        <v>1619</v>
      </c>
      <c r="X172" s="14" t="s">
        <v>69</v>
      </c>
      <c r="AE172" t="s">
        <v>243</v>
      </c>
      <c r="AF172" t="s">
        <v>52</v>
      </c>
      <c r="AG172" t="s">
        <v>3</v>
      </c>
    </row>
    <row r="173" spans="1:33" ht="14" x14ac:dyDescent="0.15">
      <c r="A173" s="4" t="s">
        <v>590</v>
      </c>
      <c r="B173" s="4" t="s">
        <v>568</v>
      </c>
      <c r="C173" s="4" t="s">
        <v>591</v>
      </c>
      <c r="D173" s="6">
        <v>0</v>
      </c>
      <c r="E173" s="6">
        <v>2.9</v>
      </c>
      <c r="F173" s="4" t="s">
        <v>1707</v>
      </c>
      <c r="G173" s="4" t="s">
        <v>1618</v>
      </c>
      <c r="H173" s="4" t="b">
        <v>0</v>
      </c>
      <c r="I173" s="4" t="s">
        <v>1737</v>
      </c>
      <c r="J173" s="4" t="b">
        <v>0</v>
      </c>
      <c r="K173" s="4" t="s">
        <v>1600</v>
      </c>
      <c r="L173" s="5">
        <v>80</v>
      </c>
      <c r="M173" s="5">
        <v>250</v>
      </c>
      <c r="N173" s="5"/>
      <c r="O173" s="5"/>
      <c r="P173" s="5" t="s">
        <v>1708</v>
      </c>
      <c r="Q173" s="5"/>
      <c r="R173" s="5" t="s">
        <v>1709</v>
      </c>
      <c r="S173" s="5"/>
      <c r="T173" s="5"/>
      <c r="U173" s="5"/>
      <c r="V173" s="5"/>
      <c r="W173" s="5" t="s">
        <v>1619</v>
      </c>
      <c r="X173" s="14" t="s">
        <v>69</v>
      </c>
      <c r="AE173" t="s">
        <v>243</v>
      </c>
      <c r="AF173" t="s">
        <v>52</v>
      </c>
      <c r="AG173" t="s">
        <v>3</v>
      </c>
    </row>
    <row r="174" spans="1:33" ht="14" x14ac:dyDescent="0.15">
      <c r="A174" s="4" t="s">
        <v>592</v>
      </c>
      <c r="B174" s="4" t="s">
        <v>593</v>
      </c>
      <c r="C174" s="4" t="s">
        <v>594</v>
      </c>
      <c r="D174" s="6">
        <v>35</v>
      </c>
      <c r="E174" s="6">
        <v>2.2000000000000002</v>
      </c>
      <c r="F174" s="4" t="s">
        <v>1711</v>
      </c>
      <c r="G174" s="4" t="s">
        <v>1618</v>
      </c>
      <c r="H174" s="4" t="b">
        <v>1</v>
      </c>
      <c r="I174" s="4"/>
      <c r="J174" s="4" t="b">
        <v>0</v>
      </c>
      <c r="K174" s="4" t="s">
        <v>1600</v>
      </c>
      <c r="L174" s="5">
        <v>35</v>
      </c>
      <c r="M174" s="5">
        <v>35</v>
      </c>
      <c r="N174" s="5"/>
      <c r="O174" s="5"/>
      <c r="P174" s="5" t="s">
        <v>1708</v>
      </c>
      <c r="Q174" s="5"/>
      <c r="R174" s="5" t="s">
        <v>1718</v>
      </c>
      <c r="S174" s="5"/>
      <c r="T174" s="5"/>
      <c r="U174" s="5"/>
      <c r="V174" s="5"/>
      <c r="W174" s="5" t="s">
        <v>1619</v>
      </c>
      <c r="X174" s="14" t="s">
        <v>69</v>
      </c>
      <c r="AE174" t="s">
        <v>243</v>
      </c>
      <c r="AF174" t="s">
        <v>52</v>
      </c>
      <c r="AG174" t="s">
        <v>3</v>
      </c>
    </row>
    <row r="175" spans="1:33" ht="14" x14ac:dyDescent="0.15">
      <c r="A175" s="4" t="s">
        <v>595</v>
      </c>
      <c r="B175" s="4" t="s">
        <v>593</v>
      </c>
      <c r="C175" s="4" t="s">
        <v>596</v>
      </c>
      <c r="D175" s="6">
        <v>45</v>
      </c>
      <c r="E175" s="6">
        <v>2.2000000000000002</v>
      </c>
      <c r="F175" s="4" t="s">
        <v>1711</v>
      </c>
      <c r="G175" s="4" t="s">
        <v>1618</v>
      </c>
      <c r="H175" s="4" t="b">
        <v>1</v>
      </c>
      <c r="I175" s="4"/>
      <c r="J175" s="4" t="b">
        <v>0</v>
      </c>
      <c r="K175" s="4" t="s">
        <v>1600</v>
      </c>
      <c r="L175" s="5">
        <v>45</v>
      </c>
      <c r="M175" s="5">
        <v>45</v>
      </c>
      <c r="N175" s="5"/>
      <c r="O175" s="5"/>
      <c r="P175" s="5" t="s">
        <v>1708</v>
      </c>
      <c r="Q175" s="5"/>
      <c r="R175" s="5" t="s">
        <v>1718</v>
      </c>
      <c r="S175" s="5"/>
      <c r="T175" s="5"/>
      <c r="U175" s="5"/>
      <c r="V175" s="5"/>
      <c r="W175" s="5" t="s">
        <v>1619</v>
      </c>
      <c r="X175" s="14" t="s">
        <v>69</v>
      </c>
      <c r="AE175" t="s">
        <v>243</v>
      </c>
      <c r="AF175" t="s">
        <v>52</v>
      </c>
      <c r="AG175" t="s">
        <v>3</v>
      </c>
    </row>
    <row r="176" spans="1:33" ht="14" x14ac:dyDescent="0.15">
      <c r="A176" s="4" t="s">
        <v>597</v>
      </c>
      <c r="B176" s="4" t="s">
        <v>593</v>
      </c>
      <c r="C176" s="4" t="s">
        <v>598</v>
      </c>
      <c r="D176" s="6">
        <v>58</v>
      </c>
      <c r="E176" s="6">
        <v>2.2000000000000002</v>
      </c>
      <c r="F176" s="4" t="s">
        <v>1711</v>
      </c>
      <c r="G176" s="4" t="s">
        <v>1618</v>
      </c>
      <c r="H176" s="4" t="b">
        <v>1</v>
      </c>
      <c r="I176" s="4"/>
      <c r="J176" s="4" t="b">
        <v>0</v>
      </c>
      <c r="K176" s="4" t="s">
        <v>1600</v>
      </c>
      <c r="L176" s="5">
        <v>58</v>
      </c>
      <c r="M176" s="5">
        <v>58</v>
      </c>
      <c r="N176" s="5"/>
      <c r="O176" s="5"/>
      <c r="P176" s="5" t="s">
        <v>1708</v>
      </c>
      <c r="Q176" s="5"/>
      <c r="R176" s="5" t="s">
        <v>1718</v>
      </c>
      <c r="S176" s="5"/>
      <c r="T176" s="5"/>
      <c r="U176" s="5"/>
      <c r="V176" s="5"/>
      <c r="W176" s="5" t="s">
        <v>1619</v>
      </c>
      <c r="X176" s="14" t="s">
        <v>69</v>
      </c>
      <c r="AE176" t="s">
        <v>243</v>
      </c>
      <c r="AF176" t="s">
        <v>52</v>
      </c>
      <c r="AG176" t="s">
        <v>3</v>
      </c>
    </row>
    <row r="177" spans="1:33" ht="14" x14ac:dyDescent="0.15">
      <c r="A177" s="4" t="s">
        <v>599</v>
      </c>
      <c r="B177" s="4" t="s">
        <v>593</v>
      </c>
      <c r="C177" s="4" t="s">
        <v>600</v>
      </c>
      <c r="D177" s="6">
        <v>80</v>
      </c>
      <c r="E177" s="6">
        <v>2.2000000000000002</v>
      </c>
      <c r="F177" s="4" t="s">
        <v>1711</v>
      </c>
      <c r="G177" s="4" t="s">
        <v>1618</v>
      </c>
      <c r="H177" s="4" t="b">
        <v>1</v>
      </c>
      <c r="I177" s="4"/>
      <c r="J177" s="4" t="b">
        <v>0</v>
      </c>
      <c r="K177" s="4" t="s">
        <v>1600</v>
      </c>
      <c r="L177" s="5">
        <v>80</v>
      </c>
      <c r="M177" s="5">
        <v>80</v>
      </c>
      <c r="N177" s="5"/>
      <c r="O177" s="5"/>
      <c r="P177" s="5" t="s">
        <v>1708</v>
      </c>
      <c r="Q177" s="5"/>
      <c r="R177" s="5" t="s">
        <v>1718</v>
      </c>
      <c r="S177" s="5"/>
      <c r="T177" s="5"/>
      <c r="U177" s="5"/>
      <c r="V177" s="5"/>
      <c r="W177" s="5" t="s">
        <v>1619</v>
      </c>
      <c r="X177" s="14" t="s">
        <v>69</v>
      </c>
      <c r="AE177" t="s">
        <v>243</v>
      </c>
      <c r="AF177" t="s">
        <v>52</v>
      </c>
      <c r="AG177" t="s">
        <v>3</v>
      </c>
    </row>
    <row r="178" spans="1:33" ht="14" x14ac:dyDescent="0.15">
      <c r="A178" s="4" t="s">
        <v>601</v>
      </c>
      <c r="B178" s="4" t="s">
        <v>593</v>
      </c>
      <c r="C178" s="4" t="s">
        <v>602</v>
      </c>
      <c r="D178" s="6">
        <v>110</v>
      </c>
      <c r="E178" s="6">
        <v>2.2000000000000002</v>
      </c>
      <c r="F178" s="4" t="s">
        <v>1711</v>
      </c>
      <c r="G178" s="4" t="s">
        <v>1618</v>
      </c>
      <c r="H178" s="4" t="b">
        <v>1</v>
      </c>
      <c r="I178" s="4"/>
      <c r="J178" s="4" t="b">
        <v>0</v>
      </c>
      <c r="K178" s="4" t="s">
        <v>1600</v>
      </c>
      <c r="L178" s="5">
        <v>110</v>
      </c>
      <c r="M178" s="5">
        <v>110</v>
      </c>
      <c r="N178" s="5"/>
      <c r="O178" s="5"/>
      <c r="P178" s="5" t="s">
        <v>1708</v>
      </c>
      <c r="Q178" s="5"/>
      <c r="R178" s="5" t="s">
        <v>1718</v>
      </c>
      <c r="S178" s="5"/>
      <c r="T178" s="5"/>
      <c r="U178" s="5"/>
      <c r="V178" s="5"/>
      <c r="W178" s="5" t="s">
        <v>1619</v>
      </c>
      <c r="X178" s="14" t="s">
        <v>69</v>
      </c>
      <c r="AE178" t="s">
        <v>243</v>
      </c>
      <c r="AF178" t="s">
        <v>52</v>
      </c>
      <c r="AG178" t="s">
        <v>3</v>
      </c>
    </row>
    <row r="179" spans="1:33" ht="14" x14ac:dyDescent="0.15">
      <c r="A179" s="4" t="s">
        <v>603</v>
      </c>
      <c r="B179" s="4" t="s">
        <v>593</v>
      </c>
      <c r="C179" s="4" t="s">
        <v>604</v>
      </c>
      <c r="D179" s="6">
        <v>140</v>
      </c>
      <c r="E179" s="6">
        <v>2.2000000000000002</v>
      </c>
      <c r="F179" s="4" t="s">
        <v>1711</v>
      </c>
      <c r="G179" s="4" t="s">
        <v>1618</v>
      </c>
      <c r="H179" s="4" t="b">
        <v>1</v>
      </c>
      <c r="I179" s="4"/>
      <c r="J179" s="4" t="b">
        <v>0</v>
      </c>
      <c r="K179" s="4" t="s">
        <v>1600</v>
      </c>
      <c r="L179" s="5">
        <v>140</v>
      </c>
      <c r="M179" s="5">
        <v>140</v>
      </c>
      <c r="N179" s="5"/>
      <c r="O179" s="5"/>
      <c r="P179" s="5" t="s">
        <v>1708</v>
      </c>
      <c r="Q179" s="5"/>
      <c r="R179" s="5" t="s">
        <v>1718</v>
      </c>
      <c r="S179" s="5"/>
      <c r="T179" s="5"/>
      <c r="U179" s="5"/>
      <c r="V179" s="5"/>
      <c r="W179" s="5" t="s">
        <v>1619</v>
      </c>
      <c r="X179" s="14" t="s">
        <v>69</v>
      </c>
      <c r="AE179" t="s">
        <v>243</v>
      </c>
      <c r="AF179" t="s">
        <v>52</v>
      </c>
      <c r="AG179" t="s">
        <v>3</v>
      </c>
    </row>
    <row r="180" spans="1:33" ht="14" x14ac:dyDescent="0.15">
      <c r="A180" s="4" t="s">
        <v>605</v>
      </c>
      <c r="B180" s="4" t="s">
        <v>593</v>
      </c>
      <c r="C180" s="4" t="s">
        <v>606</v>
      </c>
      <c r="D180" s="6">
        <v>55</v>
      </c>
      <c r="E180" s="6">
        <v>2.2000000000000002</v>
      </c>
      <c r="F180" s="4" t="s">
        <v>1711</v>
      </c>
      <c r="G180" s="4" t="s">
        <v>1618</v>
      </c>
      <c r="H180" s="4" t="b">
        <v>1</v>
      </c>
      <c r="I180" s="4" t="s">
        <v>1738</v>
      </c>
      <c r="J180" s="4" t="b">
        <v>0</v>
      </c>
      <c r="K180" s="4" t="s">
        <v>1600</v>
      </c>
      <c r="L180" s="5">
        <v>55</v>
      </c>
      <c r="M180" s="5">
        <v>55</v>
      </c>
      <c r="N180" s="5"/>
      <c r="O180" s="5"/>
      <c r="P180" s="5" t="s">
        <v>1708</v>
      </c>
      <c r="Q180" s="5"/>
      <c r="R180" s="5" t="s">
        <v>1718</v>
      </c>
      <c r="S180" s="5"/>
      <c r="T180" s="5"/>
      <c r="U180" s="5"/>
      <c r="V180" s="5"/>
      <c r="W180" s="5" t="s">
        <v>1619</v>
      </c>
      <c r="X180" s="14" t="s">
        <v>69</v>
      </c>
      <c r="AE180" t="s">
        <v>243</v>
      </c>
      <c r="AF180" t="s">
        <v>52</v>
      </c>
      <c r="AG180" t="s">
        <v>3</v>
      </c>
    </row>
    <row r="181" spans="1:33" ht="14" x14ac:dyDescent="0.15">
      <c r="A181" s="4" t="s">
        <v>607</v>
      </c>
      <c r="B181" s="4" t="s">
        <v>593</v>
      </c>
      <c r="C181" s="4" t="s">
        <v>608</v>
      </c>
      <c r="D181" s="6">
        <v>70</v>
      </c>
      <c r="E181" s="6">
        <v>2.2000000000000002</v>
      </c>
      <c r="F181" s="4" t="s">
        <v>1711</v>
      </c>
      <c r="G181" s="4" t="s">
        <v>1618</v>
      </c>
      <c r="H181" s="4" t="b">
        <v>1</v>
      </c>
      <c r="I181" s="4" t="s">
        <v>1738</v>
      </c>
      <c r="J181" s="4" t="b">
        <v>0</v>
      </c>
      <c r="K181" s="4" t="s">
        <v>1600</v>
      </c>
      <c r="L181" s="5">
        <v>70</v>
      </c>
      <c r="M181" s="5">
        <v>70</v>
      </c>
      <c r="N181" s="5"/>
      <c r="O181" s="5"/>
      <c r="P181" s="5" t="s">
        <v>1708</v>
      </c>
      <c r="Q181" s="5"/>
      <c r="R181" s="5" t="s">
        <v>1718</v>
      </c>
      <c r="S181" s="5"/>
      <c r="T181" s="5"/>
      <c r="U181" s="5"/>
      <c r="V181" s="5"/>
      <c r="W181" s="5" t="s">
        <v>1619</v>
      </c>
      <c r="X181" s="14" t="s">
        <v>69</v>
      </c>
      <c r="AE181" t="s">
        <v>243</v>
      </c>
      <c r="AF181" t="s">
        <v>52</v>
      </c>
      <c r="AG181" t="s">
        <v>3</v>
      </c>
    </row>
    <row r="182" spans="1:33" ht="14" x14ac:dyDescent="0.15">
      <c r="A182" s="4" t="s">
        <v>609</v>
      </c>
      <c r="B182" s="4" t="s">
        <v>593</v>
      </c>
      <c r="C182" s="4" t="s">
        <v>610</v>
      </c>
      <c r="D182" s="6">
        <v>90</v>
      </c>
      <c r="E182" s="6">
        <v>2.2000000000000002</v>
      </c>
      <c r="F182" s="4" t="s">
        <v>1711</v>
      </c>
      <c r="G182" s="4" t="s">
        <v>1618</v>
      </c>
      <c r="H182" s="4" t="b">
        <v>1</v>
      </c>
      <c r="I182" s="4" t="s">
        <v>1738</v>
      </c>
      <c r="J182" s="4" t="b">
        <v>0</v>
      </c>
      <c r="K182" s="4" t="s">
        <v>1600</v>
      </c>
      <c r="L182" s="5">
        <v>90</v>
      </c>
      <c r="M182" s="5">
        <v>90</v>
      </c>
      <c r="N182" s="5"/>
      <c r="O182" s="5"/>
      <c r="P182" s="5" t="s">
        <v>1708</v>
      </c>
      <c r="Q182" s="5"/>
      <c r="R182" s="5" t="s">
        <v>1718</v>
      </c>
      <c r="S182" s="5"/>
      <c r="T182" s="5"/>
      <c r="U182" s="5"/>
      <c r="V182" s="5"/>
      <c r="W182" s="5" t="s">
        <v>1619</v>
      </c>
      <c r="X182" s="14" t="s">
        <v>69</v>
      </c>
      <c r="AE182" t="s">
        <v>243</v>
      </c>
      <c r="AF182" t="s">
        <v>52</v>
      </c>
      <c r="AG182" t="s">
        <v>3</v>
      </c>
    </row>
    <row r="183" spans="1:33" ht="14" x14ac:dyDescent="0.15">
      <c r="A183" s="4" t="s">
        <v>611</v>
      </c>
      <c r="B183" s="4" t="s">
        <v>612</v>
      </c>
      <c r="C183" s="4" t="s">
        <v>613</v>
      </c>
      <c r="D183" s="6">
        <v>58</v>
      </c>
      <c r="E183" s="6">
        <v>2</v>
      </c>
      <c r="F183" s="4" t="s">
        <v>1711</v>
      </c>
      <c r="G183" s="4" t="s">
        <v>1618</v>
      </c>
      <c r="H183" s="4" t="b">
        <v>0</v>
      </c>
      <c r="I183" s="4"/>
      <c r="J183" s="4" t="b">
        <v>0</v>
      </c>
      <c r="K183" s="4" t="s">
        <v>1600</v>
      </c>
      <c r="L183" s="5">
        <v>58</v>
      </c>
      <c r="M183" s="5">
        <v>58</v>
      </c>
      <c r="N183" s="5"/>
      <c r="O183" s="5"/>
      <c r="P183" s="5" t="s">
        <v>1708</v>
      </c>
      <c r="Q183" s="5"/>
      <c r="R183" s="5" t="s">
        <v>1709</v>
      </c>
      <c r="S183" s="5"/>
      <c r="T183" s="5"/>
      <c r="U183" s="5"/>
      <c r="V183" s="5"/>
      <c r="W183" s="5" t="s">
        <v>1619</v>
      </c>
      <c r="X183" s="14" t="s">
        <v>69</v>
      </c>
      <c r="AE183" t="s">
        <v>243</v>
      </c>
      <c r="AF183" t="s">
        <v>52</v>
      </c>
      <c r="AG183" t="s">
        <v>3</v>
      </c>
    </row>
    <row r="184" spans="1:33" ht="14" x14ac:dyDescent="0.15">
      <c r="A184" s="4" t="s">
        <v>614</v>
      </c>
      <c r="B184" s="4" t="s">
        <v>615</v>
      </c>
      <c r="C184" s="4" t="s">
        <v>616</v>
      </c>
      <c r="D184" s="6">
        <v>28</v>
      </c>
      <c r="E184" s="6">
        <v>2</v>
      </c>
      <c r="F184" s="4" t="s">
        <v>1714</v>
      </c>
      <c r="G184" s="4" t="s">
        <v>1618</v>
      </c>
      <c r="H184" s="4" t="b">
        <v>0</v>
      </c>
      <c r="I184" s="4" t="s">
        <v>1739</v>
      </c>
      <c r="J184" s="4" t="b">
        <v>0</v>
      </c>
      <c r="K184" s="4" t="s">
        <v>1600</v>
      </c>
      <c r="L184" s="5">
        <v>28</v>
      </c>
      <c r="M184" s="5">
        <v>28</v>
      </c>
      <c r="N184" s="5"/>
      <c r="O184" s="5"/>
      <c r="P184" s="5" t="s">
        <v>1708</v>
      </c>
      <c r="Q184" s="5"/>
      <c r="R184" s="5" t="s">
        <v>1709</v>
      </c>
      <c r="S184" s="5"/>
      <c r="T184" s="5"/>
      <c r="U184" s="5"/>
      <c r="V184" s="5"/>
      <c r="W184" s="5" t="s">
        <v>1619</v>
      </c>
      <c r="X184" s="14" t="s">
        <v>69</v>
      </c>
      <c r="AE184" t="s">
        <v>243</v>
      </c>
      <c r="AF184" t="s">
        <v>52</v>
      </c>
      <c r="AG184" t="s">
        <v>3</v>
      </c>
    </row>
    <row r="185" spans="1:33" ht="14" x14ac:dyDescent="0.15">
      <c r="A185" s="4" t="s">
        <v>617</v>
      </c>
      <c r="B185" s="4" t="s">
        <v>615</v>
      </c>
      <c r="C185" s="4" t="s">
        <v>618</v>
      </c>
      <c r="D185" s="6">
        <v>37</v>
      </c>
      <c r="E185" s="6">
        <v>2</v>
      </c>
      <c r="F185" s="4" t="s">
        <v>1714</v>
      </c>
      <c r="G185" s="4" t="s">
        <v>1618</v>
      </c>
      <c r="H185" s="4" t="b">
        <v>0</v>
      </c>
      <c r="I185" s="4" t="s">
        <v>1739</v>
      </c>
      <c r="J185" s="4" t="b">
        <v>0</v>
      </c>
      <c r="K185" s="4" t="s">
        <v>1600</v>
      </c>
      <c r="L185" s="5">
        <v>37</v>
      </c>
      <c r="M185" s="5">
        <v>37</v>
      </c>
      <c r="N185" s="5"/>
      <c r="O185" s="5"/>
      <c r="P185" s="5" t="s">
        <v>1708</v>
      </c>
      <c r="Q185" s="5"/>
      <c r="R185" s="5" t="s">
        <v>1709</v>
      </c>
      <c r="S185" s="5"/>
      <c r="T185" s="5"/>
      <c r="U185" s="5"/>
      <c r="V185" s="5"/>
      <c r="W185" s="5" t="s">
        <v>1619</v>
      </c>
      <c r="X185" s="14" t="s">
        <v>69</v>
      </c>
      <c r="AE185" t="s">
        <v>243</v>
      </c>
      <c r="AF185" t="s">
        <v>52</v>
      </c>
      <c r="AG185" t="s">
        <v>3</v>
      </c>
    </row>
    <row r="186" spans="1:33" ht="14" x14ac:dyDescent="0.15">
      <c r="A186" s="4" t="s">
        <v>619</v>
      </c>
      <c r="B186" s="4" t="s">
        <v>615</v>
      </c>
      <c r="C186" s="4" t="s">
        <v>620</v>
      </c>
      <c r="D186" s="6">
        <v>58</v>
      </c>
      <c r="E186" s="6">
        <v>2</v>
      </c>
      <c r="F186" s="4" t="s">
        <v>1714</v>
      </c>
      <c r="G186" s="4" t="s">
        <v>1618</v>
      </c>
      <c r="H186" s="4" t="b">
        <v>0</v>
      </c>
      <c r="I186" s="4" t="s">
        <v>1739</v>
      </c>
      <c r="J186" s="4" t="b">
        <v>0</v>
      </c>
      <c r="K186" s="4" t="s">
        <v>1600</v>
      </c>
      <c r="L186" s="5">
        <v>58</v>
      </c>
      <c r="M186" s="5">
        <v>58</v>
      </c>
      <c r="N186" s="5"/>
      <c r="O186" s="5"/>
      <c r="P186" s="5" t="s">
        <v>1708</v>
      </c>
      <c r="Q186" s="5"/>
      <c r="R186" s="5" t="s">
        <v>1709</v>
      </c>
      <c r="S186" s="5"/>
      <c r="T186" s="5"/>
      <c r="U186" s="5"/>
      <c r="V186" s="5"/>
      <c r="W186" s="5" t="s">
        <v>1619</v>
      </c>
      <c r="X186" s="14" t="s">
        <v>69</v>
      </c>
      <c r="AE186" t="s">
        <v>243</v>
      </c>
      <c r="AF186" t="s">
        <v>52</v>
      </c>
      <c r="AG186" t="s">
        <v>3</v>
      </c>
    </row>
    <row r="187" spans="1:33" ht="14" x14ac:dyDescent="0.15">
      <c r="A187" s="4" t="s">
        <v>621</v>
      </c>
      <c r="B187" s="4" t="s">
        <v>622</v>
      </c>
      <c r="C187" s="4" t="s">
        <v>623</v>
      </c>
      <c r="D187" s="6">
        <v>20</v>
      </c>
      <c r="E187" s="6">
        <v>2.8</v>
      </c>
      <c r="F187" s="4" t="s">
        <v>1711</v>
      </c>
      <c r="G187" s="4" t="s">
        <v>1618</v>
      </c>
      <c r="H187" s="4" t="b">
        <v>0</v>
      </c>
      <c r="I187" s="4"/>
      <c r="J187" s="4" t="b">
        <v>0</v>
      </c>
      <c r="K187" s="4" t="s">
        <v>1600</v>
      </c>
      <c r="L187" s="5">
        <v>20</v>
      </c>
      <c r="M187" s="5">
        <v>20</v>
      </c>
      <c r="N187" s="5"/>
      <c r="O187" s="5"/>
      <c r="P187" s="5" t="s">
        <v>1708</v>
      </c>
      <c r="Q187" s="5"/>
      <c r="R187" s="5" t="s">
        <v>1709</v>
      </c>
      <c r="S187" s="5"/>
      <c r="T187" s="5"/>
      <c r="U187" s="5"/>
      <c r="V187" s="5"/>
      <c r="W187" s="5" t="s">
        <v>1619</v>
      </c>
      <c r="X187" s="14" t="s">
        <v>69</v>
      </c>
      <c r="AE187" t="s">
        <v>243</v>
      </c>
      <c r="AF187" t="s">
        <v>52</v>
      </c>
      <c r="AG187" t="s">
        <v>3</v>
      </c>
    </row>
    <row r="188" spans="1:33" ht="14" x14ac:dyDescent="0.15">
      <c r="A188" s="4" t="s">
        <v>624</v>
      </c>
      <c r="B188" s="4" t="s">
        <v>622</v>
      </c>
      <c r="C188" s="4" t="s">
        <v>625</v>
      </c>
      <c r="D188" s="6">
        <v>28</v>
      </c>
      <c r="E188" s="6">
        <v>2.8</v>
      </c>
      <c r="F188" s="4" t="s">
        <v>1711</v>
      </c>
      <c r="G188" s="4" t="s">
        <v>1618</v>
      </c>
      <c r="H188" s="4" t="b">
        <v>0</v>
      </c>
      <c r="I188" s="4"/>
      <c r="J188" s="4" t="b">
        <v>0</v>
      </c>
      <c r="K188" s="4" t="s">
        <v>1600</v>
      </c>
      <c r="L188" s="5">
        <v>28</v>
      </c>
      <c r="M188" s="5">
        <v>28</v>
      </c>
      <c r="N188" s="5"/>
      <c r="O188" s="5"/>
      <c r="P188" s="5" t="s">
        <v>1708</v>
      </c>
      <c r="Q188" s="5"/>
      <c r="R188" s="5" t="s">
        <v>1709</v>
      </c>
      <c r="S188" s="5"/>
      <c r="T188" s="5"/>
      <c r="U188" s="5"/>
      <c r="V188" s="5"/>
      <c r="W188" s="5" t="s">
        <v>1619</v>
      </c>
      <c r="X188" s="14" t="s">
        <v>69</v>
      </c>
      <c r="AE188" t="s">
        <v>243</v>
      </c>
      <c r="AF188" t="s">
        <v>52</v>
      </c>
      <c r="AG188" t="s">
        <v>3</v>
      </c>
    </row>
    <row r="189" spans="1:33" ht="14" x14ac:dyDescent="0.15">
      <c r="A189" s="4" t="s">
        <v>626</v>
      </c>
      <c r="B189" s="4" t="s">
        <v>622</v>
      </c>
      <c r="C189" s="4" t="s">
        <v>627</v>
      </c>
      <c r="D189" s="6">
        <v>40</v>
      </c>
      <c r="E189" s="6">
        <v>2.8</v>
      </c>
      <c r="F189" s="4" t="s">
        <v>1711</v>
      </c>
      <c r="G189" s="4" t="s">
        <v>1618</v>
      </c>
      <c r="H189" s="4" t="b">
        <v>0</v>
      </c>
      <c r="I189" s="4"/>
      <c r="J189" s="4" t="b">
        <v>0</v>
      </c>
      <c r="K189" s="4" t="s">
        <v>1600</v>
      </c>
      <c r="L189" s="5">
        <v>40</v>
      </c>
      <c r="M189" s="5">
        <v>40</v>
      </c>
      <c r="N189" s="5"/>
      <c r="O189" s="5"/>
      <c r="P189" s="5" t="s">
        <v>1708</v>
      </c>
      <c r="Q189" s="5"/>
      <c r="R189" s="5" t="s">
        <v>1709</v>
      </c>
      <c r="S189" s="5"/>
      <c r="T189" s="5"/>
      <c r="U189" s="5"/>
      <c r="V189" s="5"/>
      <c r="W189" s="5" t="s">
        <v>1619</v>
      </c>
      <c r="X189" s="14" t="s">
        <v>69</v>
      </c>
      <c r="AE189" t="s">
        <v>243</v>
      </c>
      <c r="AF189" t="s">
        <v>52</v>
      </c>
      <c r="AG189" t="s">
        <v>3</v>
      </c>
    </row>
    <row r="190" spans="1:33" ht="14" x14ac:dyDescent="0.15">
      <c r="A190" s="4" t="s">
        <v>628</v>
      </c>
      <c r="B190" s="4" t="s">
        <v>622</v>
      </c>
      <c r="C190" s="4" t="s">
        <v>629</v>
      </c>
      <c r="D190" s="6">
        <v>50</v>
      </c>
      <c r="E190" s="6">
        <v>2.8</v>
      </c>
      <c r="F190" s="4" t="s">
        <v>1711</v>
      </c>
      <c r="G190" s="4" t="s">
        <v>1618</v>
      </c>
      <c r="H190" s="4" t="b">
        <v>0</v>
      </c>
      <c r="I190" s="4"/>
      <c r="J190" s="4" t="b">
        <v>0</v>
      </c>
      <c r="K190" s="4" t="s">
        <v>1600</v>
      </c>
      <c r="L190" s="5">
        <v>50</v>
      </c>
      <c r="M190" s="5">
        <v>50</v>
      </c>
      <c r="N190" s="5"/>
      <c r="O190" s="5"/>
      <c r="P190" s="5" t="s">
        <v>1708</v>
      </c>
      <c r="Q190" s="5"/>
      <c r="R190" s="5" t="s">
        <v>1709</v>
      </c>
      <c r="S190" s="5"/>
      <c r="T190" s="5"/>
      <c r="U190" s="5"/>
      <c r="V190" s="5"/>
      <c r="W190" s="5" t="s">
        <v>1619</v>
      </c>
      <c r="X190" s="14" t="s">
        <v>69</v>
      </c>
      <c r="AE190" t="s">
        <v>243</v>
      </c>
      <c r="AF190" t="s">
        <v>52</v>
      </c>
      <c r="AG190" t="s">
        <v>3</v>
      </c>
    </row>
    <row r="191" spans="1:33" ht="14" x14ac:dyDescent="0.15">
      <c r="A191" s="4" t="s">
        <v>630</v>
      </c>
      <c r="B191" s="4" t="s">
        <v>622</v>
      </c>
      <c r="C191" s="4" t="s">
        <v>631</v>
      </c>
      <c r="D191" s="6">
        <v>85</v>
      </c>
      <c r="E191" s="6">
        <v>2.8</v>
      </c>
      <c r="F191" s="4" t="s">
        <v>1711</v>
      </c>
      <c r="G191" s="4" t="s">
        <v>1618</v>
      </c>
      <c r="H191" s="4" t="b">
        <v>0</v>
      </c>
      <c r="I191" s="4"/>
      <c r="J191" s="4" t="b">
        <v>0</v>
      </c>
      <c r="K191" s="4" t="s">
        <v>1600</v>
      </c>
      <c r="L191" s="5">
        <v>85</v>
      </c>
      <c r="M191" s="5">
        <v>85</v>
      </c>
      <c r="N191" s="5"/>
      <c r="O191" s="5"/>
      <c r="P191" s="5" t="s">
        <v>1708</v>
      </c>
      <c r="Q191" s="5"/>
      <c r="R191" s="5" t="s">
        <v>1709</v>
      </c>
      <c r="S191" s="5"/>
      <c r="T191" s="5"/>
      <c r="U191" s="5"/>
      <c r="V191" s="5"/>
      <c r="W191" s="5" t="s">
        <v>1619</v>
      </c>
      <c r="X191" s="14" t="s">
        <v>69</v>
      </c>
      <c r="AE191" t="s">
        <v>243</v>
      </c>
      <c r="AF191" t="s">
        <v>52</v>
      </c>
      <c r="AG191" t="s">
        <v>3</v>
      </c>
    </row>
    <row r="192" spans="1:33" ht="14" x14ac:dyDescent="0.15">
      <c r="A192" s="4" t="s">
        <v>632</v>
      </c>
      <c r="B192" s="4" t="s">
        <v>633</v>
      </c>
      <c r="C192" s="4" t="s">
        <v>634</v>
      </c>
      <c r="D192" s="6">
        <v>40</v>
      </c>
      <c r="E192" s="6">
        <v>2.2000000000000002</v>
      </c>
      <c r="F192" s="4" t="s">
        <v>1711</v>
      </c>
      <c r="G192" s="4" t="s">
        <v>1618</v>
      </c>
      <c r="H192" s="4" t="b">
        <v>1</v>
      </c>
      <c r="I192" s="4"/>
      <c r="J192" s="4" t="b">
        <v>0</v>
      </c>
      <c r="K192" s="4" t="s">
        <v>1600</v>
      </c>
      <c r="L192" s="5">
        <v>40</v>
      </c>
      <c r="M192" s="5">
        <v>40</v>
      </c>
      <c r="N192" s="5"/>
      <c r="O192" s="5"/>
      <c r="P192" s="5" t="s">
        <v>1708</v>
      </c>
      <c r="Q192" s="5"/>
      <c r="R192" s="5" t="s">
        <v>1718</v>
      </c>
      <c r="S192" s="5"/>
      <c r="T192" s="5"/>
      <c r="U192" s="5"/>
      <c r="V192" s="5"/>
      <c r="W192" s="5" t="s">
        <v>1619</v>
      </c>
      <c r="X192" s="14" t="s">
        <v>69</v>
      </c>
      <c r="AE192" t="s">
        <v>243</v>
      </c>
      <c r="AF192" t="s">
        <v>52</v>
      </c>
      <c r="AG192" t="s">
        <v>3</v>
      </c>
    </row>
    <row r="193" spans="1:33" ht="14" x14ac:dyDescent="0.15">
      <c r="A193" s="4" t="s">
        <v>635</v>
      </c>
      <c r="B193" s="4" t="s">
        <v>633</v>
      </c>
      <c r="C193" s="4" t="s">
        <v>636</v>
      </c>
      <c r="D193" s="6">
        <v>50</v>
      </c>
      <c r="E193" s="6">
        <v>2.2000000000000002</v>
      </c>
      <c r="F193" s="4" t="s">
        <v>1711</v>
      </c>
      <c r="G193" s="4" t="s">
        <v>1618</v>
      </c>
      <c r="H193" s="4" t="b">
        <v>1</v>
      </c>
      <c r="I193" s="4"/>
      <c r="J193" s="4" t="b">
        <v>0</v>
      </c>
      <c r="K193" s="4" t="s">
        <v>1600</v>
      </c>
      <c r="L193" s="5">
        <v>50</v>
      </c>
      <c r="M193" s="5">
        <v>50</v>
      </c>
      <c r="N193" s="5"/>
      <c r="O193" s="5"/>
      <c r="P193" s="5" t="s">
        <v>1708</v>
      </c>
      <c r="Q193" s="5"/>
      <c r="R193" s="5" t="s">
        <v>1718</v>
      </c>
      <c r="S193" s="5"/>
      <c r="T193" s="5"/>
      <c r="U193" s="5"/>
      <c r="V193" s="5"/>
      <c r="W193" s="5" t="s">
        <v>1619</v>
      </c>
      <c r="X193" s="14" t="s">
        <v>69</v>
      </c>
      <c r="AE193" t="s">
        <v>243</v>
      </c>
      <c r="AF193" t="s">
        <v>52</v>
      </c>
      <c r="AG193" t="s">
        <v>3</v>
      </c>
    </row>
    <row r="194" spans="1:33" ht="14" x14ac:dyDescent="0.15">
      <c r="A194" s="4" t="s">
        <v>637</v>
      </c>
      <c r="B194" s="4" t="s">
        <v>633</v>
      </c>
      <c r="C194" s="4" t="s">
        <v>638</v>
      </c>
      <c r="D194" s="6">
        <v>75</v>
      </c>
      <c r="E194" s="6">
        <v>2.2000000000000002</v>
      </c>
      <c r="F194" s="4" t="s">
        <v>1711</v>
      </c>
      <c r="G194" s="4" t="s">
        <v>1618</v>
      </c>
      <c r="H194" s="4" t="b">
        <v>1</v>
      </c>
      <c r="I194" s="4"/>
      <c r="J194" s="4" t="b">
        <v>0</v>
      </c>
      <c r="K194" s="4" t="s">
        <v>1600</v>
      </c>
      <c r="L194" s="5">
        <v>75</v>
      </c>
      <c r="M194" s="5">
        <v>75</v>
      </c>
      <c r="N194" s="5"/>
      <c r="O194" s="5"/>
      <c r="P194" s="5" t="s">
        <v>1708</v>
      </c>
      <c r="Q194" s="5"/>
      <c r="R194" s="5" t="s">
        <v>1718</v>
      </c>
      <c r="S194" s="5"/>
      <c r="T194" s="5"/>
      <c r="U194" s="5"/>
      <c r="V194" s="5"/>
      <c r="W194" s="5" t="s">
        <v>1619</v>
      </c>
      <c r="X194" s="14" t="s">
        <v>69</v>
      </c>
      <c r="AE194" t="s">
        <v>243</v>
      </c>
      <c r="AF194" t="s">
        <v>52</v>
      </c>
      <c r="AG194" t="s">
        <v>3</v>
      </c>
    </row>
    <row r="195" spans="1:33" ht="14" x14ac:dyDescent="0.15">
      <c r="A195" s="4" t="s">
        <v>639</v>
      </c>
      <c r="B195" s="4" t="s">
        <v>633</v>
      </c>
      <c r="C195" s="4" t="s">
        <v>640</v>
      </c>
      <c r="D195" s="6">
        <v>100</v>
      </c>
      <c r="E195" s="6">
        <v>2.2000000000000002</v>
      </c>
      <c r="F195" s="4" t="s">
        <v>1711</v>
      </c>
      <c r="G195" s="4" t="s">
        <v>1618</v>
      </c>
      <c r="H195" s="4" t="b">
        <v>1</v>
      </c>
      <c r="I195" s="4"/>
      <c r="J195" s="4" t="b">
        <v>0</v>
      </c>
      <c r="K195" s="4" t="s">
        <v>1600</v>
      </c>
      <c r="L195" s="5">
        <v>100</v>
      </c>
      <c r="M195" s="5">
        <v>100</v>
      </c>
      <c r="N195" s="5"/>
      <c r="O195" s="5"/>
      <c r="P195" s="5" t="s">
        <v>1708</v>
      </c>
      <c r="Q195" s="5"/>
      <c r="R195" s="5" t="s">
        <v>1718</v>
      </c>
      <c r="S195" s="5"/>
      <c r="T195" s="5"/>
      <c r="U195" s="5"/>
      <c r="V195" s="5"/>
      <c r="W195" s="5" t="s">
        <v>1619</v>
      </c>
      <c r="X195" s="14" t="s">
        <v>69</v>
      </c>
      <c r="AE195" t="s">
        <v>243</v>
      </c>
      <c r="AF195" t="s">
        <v>52</v>
      </c>
      <c r="AG195" t="s">
        <v>3</v>
      </c>
    </row>
    <row r="196" spans="1:33" ht="28" x14ac:dyDescent="0.15">
      <c r="A196" s="4" t="s">
        <v>641</v>
      </c>
      <c r="B196" s="4" t="s">
        <v>633</v>
      </c>
      <c r="C196" s="4" t="s">
        <v>642</v>
      </c>
      <c r="D196" s="6">
        <v>40</v>
      </c>
      <c r="E196" s="6">
        <v>2.2999999999999998</v>
      </c>
      <c r="F196" s="4" t="s">
        <v>1711</v>
      </c>
      <c r="G196" s="4" t="s">
        <v>1618</v>
      </c>
      <c r="H196" s="4" t="b">
        <v>1</v>
      </c>
      <c r="I196" s="4" t="s">
        <v>1740</v>
      </c>
      <c r="J196" s="4" t="b">
        <v>0</v>
      </c>
      <c r="K196" s="4" t="s">
        <v>1600</v>
      </c>
      <c r="L196" s="5">
        <v>40</v>
      </c>
      <c r="M196" s="5">
        <v>40</v>
      </c>
      <c r="N196" s="5"/>
      <c r="O196" s="5"/>
      <c r="P196" s="5" t="s">
        <v>1708</v>
      </c>
      <c r="Q196" s="5"/>
      <c r="R196" s="5" t="s">
        <v>1718</v>
      </c>
      <c r="S196" s="5"/>
      <c r="T196" s="5"/>
      <c r="U196" s="5"/>
      <c r="V196" s="5"/>
      <c r="W196" s="5" t="s">
        <v>1619</v>
      </c>
      <c r="X196" s="14" t="s">
        <v>69</v>
      </c>
      <c r="AE196" t="s">
        <v>243</v>
      </c>
      <c r="AF196" t="s">
        <v>52</v>
      </c>
      <c r="AG196" t="s">
        <v>3</v>
      </c>
    </row>
    <row r="197" spans="1:33" ht="28" x14ac:dyDescent="0.15">
      <c r="A197" s="4" t="s">
        <v>643</v>
      </c>
      <c r="B197" s="4" t="s">
        <v>633</v>
      </c>
      <c r="C197" s="4" t="s">
        <v>644</v>
      </c>
      <c r="D197" s="6">
        <v>50</v>
      </c>
      <c r="E197" s="6">
        <v>2.2999999999999998</v>
      </c>
      <c r="F197" s="4" t="s">
        <v>1711</v>
      </c>
      <c r="G197" s="4" t="s">
        <v>1618</v>
      </c>
      <c r="H197" s="4" t="b">
        <v>1</v>
      </c>
      <c r="I197" s="4" t="s">
        <v>1740</v>
      </c>
      <c r="J197" s="4" t="b">
        <v>0</v>
      </c>
      <c r="K197" s="4" t="s">
        <v>1600</v>
      </c>
      <c r="L197" s="5">
        <v>50</v>
      </c>
      <c r="M197" s="5">
        <v>50</v>
      </c>
      <c r="N197" s="5"/>
      <c r="O197" s="5"/>
      <c r="P197" s="5" t="s">
        <v>1708</v>
      </c>
      <c r="Q197" s="5"/>
      <c r="R197" s="5" t="s">
        <v>1718</v>
      </c>
      <c r="S197" s="5"/>
      <c r="T197" s="5"/>
      <c r="U197" s="5"/>
      <c r="V197" s="5"/>
      <c r="W197" s="5" t="s">
        <v>1619</v>
      </c>
      <c r="X197" s="14" t="s">
        <v>69</v>
      </c>
      <c r="AE197" t="s">
        <v>243</v>
      </c>
      <c r="AF197" t="s">
        <v>52</v>
      </c>
      <c r="AG197" t="s">
        <v>3</v>
      </c>
    </row>
    <row r="198" spans="1:33" ht="28" x14ac:dyDescent="0.15">
      <c r="A198" s="4" t="s">
        <v>645</v>
      </c>
      <c r="B198" s="4" t="s">
        <v>633</v>
      </c>
      <c r="C198" s="4" t="s">
        <v>646</v>
      </c>
      <c r="D198" s="6">
        <v>75</v>
      </c>
      <c r="E198" s="6">
        <v>2.8</v>
      </c>
      <c r="F198" s="4" t="s">
        <v>1711</v>
      </c>
      <c r="G198" s="4" t="s">
        <v>1618</v>
      </c>
      <c r="H198" s="4" t="b">
        <v>1</v>
      </c>
      <c r="I198" s="4" t="s">
        <v>1740</v>
      </c>
      <c r="J198" s="4" t="b">
        <v>0</v>
      </c>
      <c r="K198" s="4" t="s">
        <v>1600</v>
      </c>
      <c r="L198" s="5">
        <v>75</v>
      </c>
      <c r="M198" s="5">
        <v>75</v>
      </c>
      <c r="N198" s="5"/>
      <c r="O198" s="5"/>
      <c r="P198" s="5" t="s">
        <v>1708</v>
      </c>
      <c r="Q198" s="5"/>
      <c r="R198" s="5" t="s">
        <v>1718</v>
      </c>
      <c r="S198" s="5"/>
      <c r="T198" s="5"/>
      <c r="U198" s="5"/>
      <c r="V198" s="5"/>
      <c r="W198" s="5" t="s">
        <v>1619</v>
      </c>
      <c r="X198" s="14" t="s">
        <v>69</v>
      </c>
      <c r="AE198" t="s">
        <v>243</v>
      </c>
      <c r="AF198" t="s">
        <v>52</v>
      </c>
      <c r="AG198" t="s">
        <v>3</v>
      </c>
    </row>
    <row r="199" spans="1:33" ht="28" x14ac:dyDescent="0.15">
      <c r="A199" s="4" t="s">
        <v>647</v>
      </c>
      <c r="B199" s="4" t="s">
        <v>633</v>
      </c>
      <c r="C199" s="4" t="s">
        <v>648</v>
      </c>
      <c r="D199" s="6">
        <v>100</v>
      </c>
      <c r="E199" s="6">
        <v>2.8</v>
      </c>
      <c r="F199" s="4" t="s">
        <v>1711</v>
      </c>
      <c r="G199" s="4" t="s">
        <v>1618</v>
      </c>
      <c r="H199" s="4" t="b">
        <v>1</v>
      </c>
      <c r="I199" s="4" t="s">
        <v>1740</v>
      </c>
      <c r="J199" s="4" t="b">
        <v>0</v>
      </c>
      <c r="K199" s="4" t="s">
        <v>1600</v>
      </c>
      <c r="L199" s="5">
        <v>100</v>
      </c>
      <c r="M199" s="5">
        <v>100</v>
      </c>
      <c r="N199" s="5"/>
      <c r="O199" s="5"/>
      <c r="P199" s="5" t="s">
        <v>1708</v>
      </c>
      <c r="Q199" s="5"/>
      <c r="R199" s="5" t="s">
        <v>1718</v>
      </c>
      <c r="S199" s="5"/>
      <c r="T199" s="5"/>
      <c r="U199" s="5"/>
      <c r="V199" s="5"/>
      <c r="W199" s="5" t="s">
        <v>1619</v>
      </c>
      <c r="X199" s="14" t="s">
        <v>69</v>
      </c>
      <c r="AE199" t="s">
        <v>243</v>
      </c>
      <c r="AF199" t="s">
        <v>52</v>
      </c>
      <c r="AG199" t="s">
        <v>3</v>
      </c>
    </row>
    <row r="200" spans="1:33" ht="14" x14ac:dyDescent="0.15">
      <c r="A200" s="4" t="s">
        <v>649</v>
      </c>
      <c r="B200" s="4" t="s">
        <v>650</v>
      </c>
      <c r="C200" s="4" t="s">
        <v>651</v>
      </c>
      <c r="D200" s="6">
        <v>16</v>
      </c>
      <c r="E200" s="6">
        <v>1.4</v>
      </c>
      <c r="F200" s="4" t="s">
        <v>1711</v>
      </c>
      <c r="G200" s="4" t="s">
        <v>1618</v>
      </c>
      <c r="H200" s="4" t="b">
        <v>0</v>
      </c>
      <c r="I200" s="4"/>
      <c r="J200" s="4" t="b">
        <v>0</v>
      </c>
      <c r="K200" s="4" t="s">
        <v>1600</v>
      </c>
      <c r="L200" s="5">
        <v>16</v>
      </c>
      <c r="M200" s="5">
        <v>16</v>
      </c>
      <c r="N200" s="5"/>
      <c r="O200" s="5"/>
      <c r="P200" s="5" t="s">
        <v>1708</v>
      </c>
      <c r="Q200" s="5"/>
      <c r="R200" s="5" t="s">
        <v>1709</v>
      </c>
      <c r="S200" s="5"/>
      <c r="T200" s="5"/>
      <c r="U200" s="5"/>
      <c r="V200" s="5"/>
      <c r="W200" s="5" t="s">
        <v>1619</v>
      </c>
      <c r="X200" s="14" t="s">
        <v>69</v>
      </c>
      <c r="AE200" t="s">
        <v>243</v>
      </c>
      <c r="AF200" t="s">
        <v>52</v>
      </c>
      <c r="AG200" t="s">
        <v>3</v>
      </c>
    </row>
    <row r="201" spans="1:33" ht="14" x14ac:dyDescent="0.15">
      <c r="A201" s="4" t="s">
        <v>652</v>
      </c>
      <c r="B201" s="4" t="s">
        <v>650</v>
      </c>
      <c r="C201" s="4" t="s">
        <v>653</v>
      </c>
      <c r="D201" s="6">
        <v>18</v>
      </c>
      <c r="E201" s="6">
        <v>1.4</v>
      </c>
      <c r="F201" s="4" t="s">
        <v>1711</v>
      </c>
      <c r="G201" s="4" t="s">
        <v>1618</v>
      </c>
      <c r="H201" s="4" t="b">
        <v>0</v>
      </c>
      <c r="I201" s="4"/>
      <c r="J201" s="4" t="b">
        <v>0</v>
      </c>
      <c r="K201" s="4" t="s">
        <v>1600</v>
      </c>
      <c r="L201" s="5">
        <v>18</v>
      </c>
      <c r="M201" s="5">
        <v>18</v>
      </c>
      <c r="N201" s="5"/>
      <c r="O201" s="5"/>
      <c r="P201" s="5" t="s">
        <v>1708</v>
      </c>
      <c r="Q201" s="5"/>
      <c r="R201" s="5" t="s">
        <v>1709</v>
      </c>
      <c r="S201" s="5"/>
      <c r="T201" s="5"/>
      <c r="U201" s="5"/>
      <c r="V201" s="5"/>
      <c r="W201" s="5" t="s">
        <v>1619</v>
      </c>
      <c r="X201" s="14" t="s">
        <v>69</v>
      </c>
      <c r="AE201" t="s">
        <v>243</v>
      </c>
      <c r="AF201" t="s">
        <v>52</v>
      </c>
      <c r="AG201" t="s">
        <v>3</v>
      </c>
    </row>
    <row r="202" spans="1:33" ht="14" x14ac:dyDescent="0.15">
      <c r="A202" s="4" t="s">
        <v>654</v>
      </c>
      <c r="B202" s="4" t="s">
        <v>650</v>
      </c>
      <c r="C202" s="4" t="s">
        <v>655</v>
      </c>
      <c r="D202" s="6">
        <v>21</v>
      </c>
      <c r="E202" s="6">
        <v>1.4</v>
      </c>
      <c r="F202" s="4" t="s">
        <v>1711</v>
      </c>
      <c r="G202" s="4" t="s">
        <v>1618</v>
      </c>
      <c r="H202" s="4" t="b">
        <v>0</v>
      </c>
      <c r="I202" s="4"/>
      <c r="J202" s="4" t="b">
        <v>0</v>
      </c>
      <c r="K202" s="4" t="s">
        <v>1600</v>
      </c>
      <c r="L202" s="5">
        <v>21</v>
      </c>
      <c r="M202" s="5">
        <v>21</v>
      </c>
      <c r="N202" s="5"/>
      <c r="O202" s="5"/>
      <c r="P202" s="5" t="s">
        <v>1708</v>
      </c>
      <c r="Q202" s="5"/>
      <c r="R202" s="5" t="s">
        <v>1709</v>
      </c>
      <c r="S202" s="5"/>
      <c r="T202" s="5"/>
      <c r="U202" s="5"/>
      <c r="V202" s="5"/>
      <c r="W202" s="5" t="s">
        <v>1619</v>
      </c>
      <c r="X202" s="14" t="s">
        <v>69</v>
      </c>
      <c r="AE202" t="s">
        <v>243</v>
      </c>
      <c r="AF202" t="s">
        <v>52</v>
      </c>
      <c r="AG202" t="s">
        <v>3</v>
      </c>
    </row>
    <row r="203" spans="1:33" ht="14" x14ac:dyDescent="0.15">
      <c r="A203" s="4" t="s">
        <v>656</v>
      </c>
      <c r="B203" s="4" t="s">
        <v>650</v>
      </c>
      <c r="C203" s="4" t="s">
        <v>657</v>
      </c>
      <c r="D203" s="6">
        <v>25</v>
      </c>
      <c r="E203" s="6">
        <v>1.4</v>
      </c>
      <c r="F203" s="4" t="s">
        <v>1711</v>
      </c>
      <c r="G203" s="4" t="s">
        <v>1618</v>
      </c>
      <c r="H203" s="4" t="b">
        <v>0</v>
      </c>
      <c r="I203" s="4"/>
      <c r="J203" s="4" t="b">
        <v>0</v>
      </c>
      <c r="K203" s="4" t="s">
        <v>1600</v>
      </c>
      <c r="L203" s="5">
        <v>25</v>
      </c>
      <c r="M203" s="5">
        <v>25</v>
      </c>
      <c r="N203" s="5"/>
      <c r="O203" s="5"/>
      <c r="P203" s="5" t="s">
        <v>1708</v>
      </c>
      <c r="Q203" s="5"/>
      <c r="R203" s="5" t="s">
        <v>1709</v>
      </c>
      <c r="S203" s="5"/>
      <c r="T203" s="5"/>
      <c r="U203" s="5"/>
      <c r="V203" s="5"/>
      <c r="W203" s="5" t="s">
        <v>1619</v>
      </c>
      <c r="X203" s="14" t="s">
        <v>69</v>
      </c>
      <c r="AE203" t="s">
        <v>243</v>
      </c>
      <c r="AF203" t="s">
        <v>52</v>
      </c>
      <c r="AG203" t="s">
        <v>3</v>
      </c>
    </row>
    <row r="204" spans="1:33" ht="14" x14ac:dyDescent="0.15">
      <c r="A204" s="4" t="s">
        <v>658</v>
      </c>
      <c r="B204" s="4" t="s">
        <v>650</v>
      </c>
      <c r="C204" s="4" t="s">
        <v>659</v>
      </c>
      <c r="D204" s="6">
        <v>29</v>
      </c>
      <c r="E204" s="6">
        <v>1.4</v>
      </c>
      <c r="F204" s="4" t="s">
        <v>1711</v>
      </c>
      <c r="G204" s="4" t="s">
        <v>1618</v>
      </c>
      <c r="H204" s="4" t="b">
        <v>0</v>
      </c>
      <c r="I204" s="4"/>
      <c r="J204" s="4" t="b">
        <v>0</v>
      </c>
      <c r="K204" s="4" t="s">
        <v>1600</v>
      </c>
      <c r="L204" s="5">
        <v>29</v>
      </c>
      <c r="M204" s="5">
        <v>29</v>
      </c>
      <c r="N204" s="5"/>
      <c r="O204" s="5"/>
      <c r="P204" s="5" t="s">
        <v>1708</v>
      </c>
      <c r="Q204" s="5"/>
      <c r="R204" s="5" t="s">
        <v>1709</v>
      </c>
      <c r="S204" s="5"/>
      <c r="T204" s="5"/>
      <c r="U204" s="5"/>
      <c r="V204" s="5"/>
      <c r="W204" s="5" t="s">
        <v>1619</v>
      </c>
      <c r="X204" s="14" t="s">
        <v>69</v>
      </c>
      <c r="AE204" t="s">
        <v>243</v>
      </c>
      <c r="AF204" t="s">
        <v>52</v>
      </c>
      <c r="AG204" t="s">
        <v>3</v>
      </c>
    </row>
    <row r="205" spans="1:33" ht="14" x14ac:dyDescent="0.15">
      <c r="A205" s="4" t="s">
        <v>660</v>
      </c>
      <c r="B205" s="4" t="s">
        <v>650</v>
      </c>
      <c r="C205" s="4" t="s">
        <v>661</v>
      </c>
      <c r="D205" s="6">
        <v>35</v>
      </c>
      <c r="E205" s="6">
        <v>1.4</v>
      </c>
      <c r="F205" s="4" t="s">
        <v>1711</v>
      </c>
      <c r="G205" s="4" t="s">
        <v>1618</v>
      </c>
      <c r="H205" s="4" t="b">
        <v>0</v>
      </c>
      <c r="I205" s="4"/>
      <c r="J205" s="4" t="b">
        <v>0</v>
      </c>
      <c r="K205" s="4" t="s">
        <v>1600</v>
      </c>
      <c r="L205" s="5">
        <v>35</v>
      </c>
      <c r="M205" s="5">
        <v>35</v>
      </c>
      <c r="N205" s="5"/>
      <c r="O205" s="5"/>
      <c r="P205" s="5" t="s">
        <v>1708</v>
      </c>
      <c r="Q205" s="5"/>
      <c r="R205" s="5" t="s">
        <v>1709</v>
      </c>
      <c r="S205" s="5"/>
      <c r="T205" s="5"/>
      <c r="U205" s="5"/>
      <c r="V205" s="5"/>
      <c r="W205" s="5" t="s">
        <v>1619</v>
      </c>
      <c r="X205" s="14" t="s">
        <v>69</v>
      </c>
      <c r="AE205" t="s">
        <v>243</v>
      </c>
      <c r="AF205" t="s">
        <v>52</v>
      </c>
      <c r="AG205" t="s">
        <v>3</v>
      </c>
    </row>
    <row r="206" spans="1:33" ht="14" x14ac:dyDescent="0.15">
      <c r="A206" s="4" t="s">
        <v>662</v>
      </c>
      <c r="B206" s="4" t="s">
        <v>650</v>
      </c>
      <c r="C206" s="4" t="s">
        <v>663</v>
      </c>
      <c r="D206" s="6">
        <v>40</v>
      </c>
      <c r="E206" s="6">
        <v>1.4</v>
      </c>
      <c r="F206" s="4" t="s">
        <v>1711</v>
      </c>
      <c r="G206" s="4" t="s">
        <v>1618</v>
      </c>
      <c r="H206" s="4" t="b">
        <v>0</v>
      </c>
      <c r="I206" s="4"/>
      <c r="J206" s="4" t="b">
        <v>0</v>
      </c>
      <c r="K206" s="4" t="s">
        <v>1600</v>
      </c>
      <c r="L206" s="5">
        <v>40</v>
      </c>
      <c r="M206" s="5">
        <v>40</v>
      </c>
      <c r="N206" s="5"/>
      <c r="O206" s="5"/>
      <c r="P206" s="5" t="s">
        <v>1708</v>
      </c>
      <c r="Q206" s="5"/>
      <c r="R206" s="5" t="s">
        <v>1709</v>
      </c>
      <c r="S206" s="5"/>
      <c r="T206" s="5"/>
      <c r="U206" s="5"/>
      <c r="V206" s="5"/>
      <c r="W206" s="5" t="s">
        <v>1619</v>
      </c>
      <c r="X206" s="14" t="s">
        <v>69</v>
      </c>
      <c r="AE206" t="s">
        <v>243</v>
      </c>
      <c r="AF206" t="s">
        <v>52</v>
      </c>
      <c r="AG206" t="s">
        <v>3</v>
      </c>
    </row>
    <row r="207" spans="1:33" ht="14" x14ac:dyDescent="0.15">
      <c r="A207" s="4" t="s">
        <v>664</v>
      </c>
      <c r="B207" s="4" t="s">
        <v>650</v>
      </c>
      <c r="C207" s="4" t="s">
        <v>665</v>
      </c>
      <c r="D207" s="6">
        <v>50</v>
      </c>
      <c r="E207" s="6">
        <v>1.4</v>
      </c>
      <c r="F207" s="4" t="s">
        <v>1711</v>
      </c>
      <c r="G207" s="4" t="s">
        <v>1618</v>
      </c>
      <c r="H207" s="4" t="b">
        <v>0</v>
      </c>
      <c r="I207" s="4"/>
      <c r="J207" s="4" t="b">
        <v>0</v>
      </c>
      <c r="K207" s="4" t="s">
        <v>1600</v>
      </c>
      <c r="L207" s="5">
        <v>50</v>
      </c>
      <c r="M207" s="5">
        <v>50</v>
      </c>
      <c r="N207" s="5"/>
      <c r="O207" s="5"/>
      <c r="P207" s="5" t="s">
        <v>1708</v>
      </c>
      <c r="Q207" s="5"/>
      <c r="R207" s="5" t="s">
        <v>1709</v>
      </c>
      <c r="S207" s="5"/>
      <c r="T207" s="5"/>
      <c r="U207" s="5"/>
      <c r="V207" s="5"/>
      <c r="W207" s="5" t="s">
        <v>1619</v>
      </c>
      <c r="X207" s="14" t="s">
        <v>69</v>
      </c>
      <c r="AE207" t="s">
        <v>243</v>
      </c>
      <c r="AF207" t="s">
        <v>52</v>
      </c>
      <c r="AG207" t="s">
        <v>3</v>
      </c>
    </row>
    <row r="208" spans="1:33" ht="14" x14ac:dyDescent="0.15">
      <c r="A208" s="4" t="s">
        <v>666</v>
      </c>
      <c r="B208" s="4" t="s">
        <v>650</v>
      </c>
      <c r="C208" s="4" t="s">
        <v>667</v>
      </c>
      <c r="D208" s="6">
        <v>65</v>
      </c>
      <c r="E208" s="6">
        <v>1.4</v>
      </c>
      <c r="F208" s="4" t="s">
        <v>1711</v>
      </c>
      <c r="G208" s="4" t="s">
        <v>1618</v>
      </c>
      <c r="H208" s="4" t="b">
        <v>0</v>
      </c>
      <c r="I208" s="4"/>
      <c r="J208" s="4" t="b">
        <v>0</v>
      </c>
      <c r="K208" s="4" t="s">
        <v>1600</v>
      </c>
      <c r="L208" s="5">
        <v>65</v>
      </c>
      <c r="M208" s="5">
        <v>65</v>
      </c>
      <c r="N208" s="5"/>
      <c r="O208" s="5"/>
      <c r="P208" s="5" t="s">
        <v>1708</v>
      </c>
      <c r="Q208" s="5"/>
      <c r="R208" s="5" t="s">
        <v>1709</v>
      </c>
      <c r="S208" s="5"/>
      <c r="T208" s="5"/>
      <c r="U208" s="5"/>
      <c r="V208" s="5"/>
      <c r="W208" s="5" t="s">
        <v>1619</v>
      </c>
      <c r="X208" s="14" t="s">
        <v>69</v>
      </c>
      <c r="AE208" t="s">
        <v>243</v>
      </c>
      <c r="AF208" t="s">
        <v>52</v>
      </c>
      <c r="AG208" t="s">
        <v>3</v>
      </c>
    </row>
    <row r="209" spans="1:33" ht="14" x14ac:dyDescent="0.15">
      <c r="A209" s="4" t="s">
        <v>668</v>
      </c>
      <c r="B209" s="4" t="s">
        <v>650</v>
      </c>
      <c r="C209" s="4" t="s">
        <v>669</v>
      </c>
      <c r="D209" s="6">
        <v>75</v>
      </c>
      <c r="E209" s="6">
        <v>1.4</v>
      </c>
      <c r="F209" s="4" t="s">
        <v>1711</v>
      </c>
      <c r="G209" s="4" t="s">
        <v>1618</v>
      </c>
      <c r="H209" s="4" t="b">
        <v>0</v>
      </c>
      <c r="I209" s="4"/>
      <c r="J209" s="4" t="b">
        <v>0</v>
      </c>
      <c r="K209" s="4" t="s">
        <v>1600</v>
      </c>
      <c r="L209" s="5">
        <v>75</v>
      </c>
      <c r="M209" s="5">
        <v>75</v>
      </c>
      <c r="N209" s="5"/>
      <c r="O209" s="5"/>
      <c r="P209" s="5" t="s">
        <v>1708</v>
      </c>
      <c r="Q209" s="5"/>
      <c r="R209" s="5" t="s">
        <v>1709</v>
      </c>
      <c r="S209" s="5"/>
      <c r="T209" s="5"/>
      <c r="U209" s="5"/>
      <c r="V209" s="5"/>
      <c r="W209" s="5" t="s">
        <v>1619</v>
      </c>
      <c r="X209" s="14" t="s">
        <v>69</v>
      </c>
      <c r="AE209" t="s">
        <v>243</v>
      </c>
      <c r="AF209" t="s">
        <v>52</v>
      </c>
      <c r="AG209" t="s">
        <v>3</v>
      </c>
    </row>
    <row r="210" spans="1:33" ht="14" x14ac:dyDescent="0.15">
      <c r="A210" s="4" t="s">
        <v>670</v>
      </c>
      <c r="B210" s="4" t="s">
        <v>650</v>
      </c>
      <c r="C210" s="4" t="s">
        <v>671</v>
      </c>
      <c r="D210" s="6">
        <v>100</v>
      </c>
      <c r="E210" s="6">
        <v>1.4</v>
      </c>
      <c r="F210" s="4" t="s">
        <v>1711</v>
      </c>
      <c r="G210" s="4" t="s">
        <v>1618</v>
      </c>
      <c r="H210" s="4" t="b">
        <v>0</v>
      </c>
      <c r="I210" s="4"/>
      <c r="J210" s="4" t="b">
        <v>0</v>
      </c>
      <c r="K210" s="4" t="s">
        <v>1600</v>
      </c>
      <c r="L210" s="5">
        <v>100</v>
      </c>
      <c r="M210" s="5">
        <v>100</v>
      </c>
      <c r="N210" s="5"/>
      <c r="O210" s="5"/>
      <c r="P210" s="5" t="s">
        <v>1708</v>
      </c>
      <c r="Q210" s="5"/>
      <c r="R210" s="5" t="s">
        <v>1709</v>
      </c>
      <c r="S210" s="5"/>
      <c r="T210" s="5"/>
      <c r="U210" s="5"/>
      <c r="V210" s="5"/>
      <c r="W210" s="5" t="s">
        <v>1619</v>
      </c>
      <c r="X210" s="14" t="s">
        <v>69</v>
      </c>
      <c r="AE210" t="s">
        <v>243</v>
      </c>
      <c r="AF210" t="s">
        <v>52</v>
      </c>
      <c r="AG210" t="s">
        <v>3</v>
      </c>
    </row>
    <row r="211" spans="1:33" ht="14" x14ac:dyDescent="0.15">
      <c r="A211" s="4" t="s">
        <v>672</v>
      </c>
      <c r="B211" s="4" t="s">
        <v>650</v>
      </c>
      <c r="C211" s="4" t="s">
        <v>673</v>
      </c>
      <c r="D211" s="6">
        <v>135</v>
      </c>
      <c r="E211" s="6">
        <v>1.4</v>
      </c>
      <c r="F211" s="4" t="s">
        <v>1711</v>
      </c>
      <c r="G211" s="4" t="s">
        <v>1618</v>
      </c>
      <c r="H211" s="4" t="b">
        <v>0</v>
      </c>
      <c r="I211" s="4"/>
      <c r="J211" s="4" t="b">
        <v>0</v>
      </c>
      <c r="K211" s="4" t="s">
        <v>1600</v>
      </c>
      <c r="L211" s="5">
        <v>135</v>
      </c>
      <c r="M211" s="5">
        <v>135</v>
      </c>
      <c r="N211" s="5"/>
      <c r="O211" s="5"/>
      <c r="P211" s="5" t="s">
        <v>1708</v>
      </c>
      <c r="Q211" s="5"/>
      <c r="R211" s="5" t="s">
        <v>1709</v>
      </c>
      <c r="S211" s="5"/>
      <c r="T211" s="5"/>
      <c r="U211" s="5"/>
      <c r="V211" s="5"/>
      <c r="W211" s="5" t="s">
        <v>1619</v>
      </c>
      <c r="X211" s="14" t="s">
        <v>69</v>
      </c>
      <c r="AE211" t="s">
        <v>243</v>
      </c>
      <c r="AF211" t="s">
        <v>52</v>
      </c>
      <c r="AG211" t="s">
        <v>3</v>
      </c>
    </row>
    <row r="212" spans="1:33" ht="14" x14ac:dyDescent="0.15">
      <c r="A212" s="4" t="s">
        <v>674</v>
      </c>
      <c r="B212" s="4" t="s">
        <v>650</v>
      </c>
      <c r="C212" s="4" t="s">
        <v>675</v>
      </c>
      <c r="D212" s="6">
        <v>24</v>
      </c>
      <c r="E212" s="6">
        <v>2.8</v>
      </c>
      <c r="F212" s="4" t="s">
        <v>1714</v>
      </c>
      <c r="G212" s="4" t="s">
        <v>1618</v>
      </c>
      <c r="H212" s="4" t="b">
        <v>0</v>
      </c>
      <c r="I212" s="4"/>
      <c r="J212" s="4" t="b">
        <v>0</v>
      </c>
      <c r="K212" s="4" t="s">
        <v>1600</v>
      </c>
      <c r="L212" s="5">
        <v>24</v>
      </c>
      <c r="M212" s="5">
        <v>24</v>
      </c>
      <c r="N212" s="5"/>
      <c r="O212" s="5"/>
      <c r="P212" s="5" t="s">
        <v>1708</v>
      </c>
      <c r="Q212" s="5"/>
      <c r="R212" s="5" t="s">
        <v>1709</v>
      </c>
      <c r="S212" s="5"/>
      <c r="T212" s="5"/>
      <c r="U212" s="5"/>
      <c r="V212" s="5"/>
      <c r="W212" s="5" t="s">
        <v>1619</v>
      </c>
      <c r="X212" s="14" t="s">
        <v>69</v>
      </c>
      <c r="AE212" t="s">
        <v>243</v>
      </c>
      <c r="AF212" t="s">
        <v>52</v>
      </c>
      <c r="AG212" t="s">
        <v>3</v>
      </c>
    </row>
    <row r="213" spans="1:33" ht="14" x14ac:dyDescent="0.15">
      <c r="A213" s="4" t="s">
        <v>676</v>
      </c>
      <c r="B213" s="4" t="s">
        <v>650</v>
      </c>
      <c r="C213" s="4" t="s">
        <v>677</v>
      </c>
      <c r="D213" s="6">
        <v>35</v>
      </c>
      <c r="E213" s="6">
        <v>2.8</v>
      </c>
      <c r="F213" s="4" t="s">
        <v>1714</v>
      </c>
      <c r="G213" s="4" t="s">
        <v>1618</v>
      </c>
      <c r="H213" s="4" t="b">
        <v>0</v>
      </c>
      <c r="I213" s="4"/>
      <c r="J213" s="4" t="b">
        <v>0</v>
      </c>
      <c r="K213" s="4" t="s">
        <v>1600</v>
      </c>
      <c r="L213" s="5">
        <v>35</v>
      </c>
      <c r="M213" s="5">
        <v>35</v>
      </c>
      <c r="N213" s="5"/>
      <c r="O213" s="5"/>
      <c r="P213" s="5" t="s">
        <v>1708</v>
      </c>
      <c r="Q213" s="5"/>
      <c r="R213" s="5" t="s">
        <v>1709</v>
      </c>
      <c r="S213" s="5"/>
      <c r="T213" s="5"/>
      <c r="U213" s="5"/>
      <c r="V213" s="5"/>
      <c r="W213" s="5" t="s">
        <v>1619</v>
      </c>
      <c r="X213" s="14" t="s">
        <v>69</v>
      </c>
      <c r="AE213" t="s">
        <v>243</v>
      </c>
      <c r="AF213" t="s">
        <v>52</v>
      </c>
      <c r="AG213" t="s">
        <v>3</v>
      </c>
    </row>
    <row r="214" spans="1:33" ht="14" x14ac:dyDescent="0.15">
      <c r="A214" s="4" t="s">
        <v>678</v>
      </c>
      <c r="B214" s="4" t="s">
        <v>650</v>
      </c>
      <c r="C214" s="4" t="s">
        <v>679</v>
      </c>
      <c r="D214" s="6">
        <v>55</v>
      </c>
      <c r="E214" s="6">
        <v>2.8</v>
      </c>
      <c r="F214" s="4" t="s">
        <v>1714</v>
      </c>
      <c r="G214" s="4" t="s">
        <v>1618</v>
      </c>
      <c r="H214" s="4" t="b">
        <v>0</v>
      </c>
      <c r="I214" s="4"/>
      <c r="J214" s="4" t="b">
        <v>0</v>
      </c>
      <c r="K214" s="4" t="s">
        <v>1600</v>
      </c>
      <c r="L214" s="5">
        <v>55</v>
      </c>
      <c r="M214" s="5">
        <v>55</v>
      </c>
      <c r="N214" s="5"/>
      <c r="O214" s="5"/>
      <c r="P214" s="5" t="s">
        <v>1708</v>
      </c>
      <c r="Q214" s="5"/>
      <c r="R214" s="5" t="s">
        <v>1709</v>
      </c>
      <c r="S214" s="5"/>
      <c r="T214" s="5"/>
      <c r="U214" s="5"/>
      <c r="V214" s="5"/>
      <c r="W214" s="5" t="s">
        <v>1619</v>
      </c>
      <c r="X214" s="14" t="s">
        <v>69</v>
      </c>
      <c r="AE214" t="s">
        <v>243</v>
      </c>
      <c r="AF214" t="s">
        <v>52</v>
      </c>
      <c r="AG214" t="s">
        <v>3</v>
      </c>
    </row>
    <row r="215" spans="1:33" ht="14" x14ac:dyDescent="0.15">
      <c r="A215" s="4" t="s">
        <v>680</v>
      </c>
      <c r="B215" s="4" t="s">
        <v>650</v>
      </c>
      <c r="C215" s="4" t="s">
        <v>681</v>
      </c>
      <c r="D215" s="6">
        <v>70</v>
      </c>
      <c r="E215" s="6">
        <v>2.8</v>
      </c>
      <c r="F215" s="4" t="s">
        <v>1714</v>
      </c>
      <c r="G215" s="4" t="s">
        <v>1618</v>
      </c>
      <c r="H215" s="4" t="b">
        <v>0</v>
      </c>
      <c r="I215" s="4"/>
      <c r="J215" s="4" t="b">
        <v>0</v>
      </c>
      <c r="K215" s="4" t="s">
        <v>1600</v>
      </c>
      <c r="L215" s="5">
        <v>70</v>
      </c>
      <c r="M215" s="5">
        <v>70</v>
      </c>
      <c r="N215" s="5"/>
      <c r="O215" s="5"/>
      <c r="P215" s="5" t="s">
        <v>1708</v>
      </c>
      <c r="Q215" s="5"/>
      <c r="R215" s="5" t="s">
        <v>1709</v>
      </c>
      <c r="S215" s="5"/>
      <c r="T215" s="5"/>
      <c r="U215" s="5"/>
      <c r="V215" s="5"/>
      <c r="W215" s="5" t="s">
        <v>1619</v>
      </c>
      <c r="X215" s="14" t="s">
        <v>69</v>
      </c>
      <c r="AE215" t="s">
        <v>243</v>
      </c>
      <c r="AF215" t="s">
        <v>52</v>
      </c>
      <c r="AG215" t="s">
        <v>3</v>
      </c>
    </row>
    <row r="216" spans="1:33" ht="14" x14ac:dyDescent="0.15">
      <c r="A216" s="4" t="s">
        <v>682</v>
      </c>
      <c r="B216" s="4" t="s">
        <v>650</v>
      </c>
      <c r="C216" s="4" t="s">
        <v>683</v>
      </c>
      <c r="D216" s="6">
        <v>95</v>
      </c>
      <c r="E216" s="6">
        <v>2.8</v>
      </c>
      <c r="F216" s="4" t="s">
        <v>1714</v>
      </c>
      <c r="G216" s="4" t="s">
        <v>1618</v>
      </c>
      <c r="H216" s="4" t="b">
        <v>0</v>
      </c>
      <c r="I216" s="4"/>
      <c r="J216" s="4" t="b">
        <v>0</v>
      </c>
      <c r="K216" s="4" t="s">
        <v>1600</v>
      </c>
      <c r="L216" s="5">
        <v>95</v>
      </c>
      <c r="M216" s="5">
        <v>95</v>
      </c>
      <c r="N216" s="5"/>
      <c r="O216" s="5"/>
      <c r="P216" s="5" t="s">
        <v>1708</v>
      </c>
      <c r="Q216" s="5"/>
      <c r="R216" s="5" t="s">
        <v>1709</v>
      </c>
      <c r="S216" s="5"/>
      <c r="T216" s="5"/>
      <c r="U216" s="5"/>
      <c r="V216" s="5"/>
      <c r="W216" s="5" t="s">
        <v>1619</v>
      </c>
      <c r="X216" s="14" t="s">
        <v>69</v>
      </c>
      <c r="AE216" t="s">
        <v>243</v>
      </c>
      <c r="AF216" t="s">
        <v>52</v>
      </c>
      <c r="AG216" t="s">
        <v>3</v>
      </c>
    </row>
    <row r="217" spans="1:33" ht="14" x14ac:dyDescent="0.15">
      <c r="A217" s="4" t="s">
        <v>684</v>
      </c>
      <c r="B217" s="4" t="s">
        <v>650</v>
      </c>
      <c r="C217" s="4" t="s">
        <v>685</v>
      </c>
      <c r="D217" s="6">
        <v>135</v>
      </c>
      <c r="E217" s="6">
        <v>2.8</v>
      </c>
      <c r="F217" s="4" t="s">
        <v>1714</v>
      </c>
      <c r="G217" s="4" t="s">
        <v>1618</v>
      </c>
      <c r="H217" s="4" t="b">
        <v>0</v>
      </c>
      <c r="I217" s="4"/>
      <c r="J217" s="4" t="b">
        <v>0</v>
      </c>
      <c r="K217" s="4" t="s">
        <v>1600</v>
      </c>
      <c r="L217" s="5">
        <v>135</v>
      </c>
      <c r="M217" s="5">
        <v>135</v>
      </c>
      <c r="N217" s="5"/>
      <c r="O217" s="5"/>
      <c r="P217" s="5" t="s">
        <v>1708</v>
      </c>
      <c r="Q217" s="5"/>
      <c r="R217" s="5" t="s">
        <v>1709</v>
      </c>
      <c r="S217" s="5"/>
      <c r="T217" s="5"/>
      <c r="U217" s="5"/>
      <c r="V217" s="5"/>
      <c r="W217" s="5" t="s">
        <v>1619</v>
      </c>
      <c r="X217" s="14" t="s">
        <v>69</v>
      </c>
      <c r="AE217" t="s">
        <v>243</v>
      </c>
      <c r="AF217" t="s">
        <v>52</v>
      </c>
      <c r="AG217" t="s">
        <v>3</v>
      </c>
    </row>
    <row r="218" spans="1:33" ht="14" x14ac:dyDescent="0.15">
      <c r="A218" s="4" t="s">
        <v>686</v>
      </c>
      <c r="B218" s="4" t="s">
        <v>650</v>
      </c>
      <c r="C218" s="4" t="s">
        <v>687</v>
      </c>
      <c r="D218" s="6">
        <v>180</v>
      </c>
      <c r="E218" s="6">
        <v>2.8</v>
      </c>
      <c r="F218" s="4" t="s">
        <v>1714</v>
      </c>
      <c r="G218" s="4" t="s">
        <v>1618</v>
      </c>
      <c r="H218" s="4" t="b">
        <v>0</v>
      </c>
      <c r="I218" s="4"/>
      <c r="J218" s="4" t="b">
        <v>0</v>
      </c>
      <c r="K218" s="4" t="s">
        <v>1600</v>
      </c>
      <c r="L218" s="5">
        <v>180</v>
      </c>
      <c r="M218" s="5">
        <v>180</v>
      </c>
      <c r="N218" s="5"/>
      <c r="O218" s="5"/>
      <c r="P218" s="5" t="s">
        <v>1708</v>
      </c>
      <c r="Q218" s="5"/>
      <c r="R218" s="5" t="s">
        <v>1709</v>
      </c>
      <c r="S218" s="5"/>
      <c r="T218" s="5"/>
      <c r="U218" s="5"/>
      <c r="V218" s="5"/>
      <c r="W218" s="5" t="s">
        <v>1619</v>
      </c>
      <c r="X218" s="14" t="s">
        <v>69</v>
      </c>
      <c r="AE218" t="s">
        <v>243</v>
      </c>
      <c r="AF218" t="s">
        <v>52</v>
      </c>
      <c r="AG218" t="s">
        <v>3</v>
      </c>
    </row>
    <row r="219" spans="1:33" ht="14" x14ac:dyDescent="0.15">
      <c r="A219" s="4" t="s">
        <v>688</v>
      </c>
      <c r="B219" s="4" t="s">
        <v>650</v>
      </c>
      <c r="C219" s="4" t="s">
        <v>689</v>
      </c>
      <c r="D219" s="6">
        <v>19</v>
      </c>
      <c r="E219" s="6">
        <v>2.8</v>
      </c>
      <c r="F219" s="4" t="s">
        <v>1711</v>
      </c>
      <c r="G219" s="4" t="s">
        <v>1618</v>
      </c>
      <c r="H219" s="4" t="b">
        <v>0</v>
      </c>
      <c r="I219" s="4"/>
      <c r="J219" s="4" t="b">
        <v>0</v>
      </c>
      <c r="K219" s="4" t="s">
        <v>1600</v>
      </c>
      <c r="L219" s="5">
        <v>19</v>
      </c>
      <c r="M219" s="5">
        <v>19</v>
      </c>
      <c r="N219" s="5"/>
      <c r="O219" s="5"/>
      <c r="P219" s="5" t="s">
        <v>1708</v>
      </c>
      <c r="Q219" s="5"/>
      <c r="R219" s="5" t="s">
        <v>1709</v>
      </c>
      <c r="S219" s="5"/>
      <c r="T219" s="5"/>
      <c r="U219" s="5"/>
      <c r="V219" s="5"/>
      <c r="W219" s="5" t="s">
        <v>1619</v>
      </c>
      <c r="X219" s="14" t="s">
        <v>69</v>
      </c>
      <c r="AE219" t="s">
        <v>243</v>
      </c>
      <c r="AF219" t="s">
        <v>52</v>
      </c>
      <c r="AG219" t="s">
        <v>3</v>
      </c>
    </row>
    <row r="220" spans="1:33" ht="14" x14ac:dyDescent="0.15">
      <c r="A220" s="4" t="s">
        <v>690</v>
      </c>
      <c r="B220" s="4" t="s">
        <v>650</v>
      </c>
      <c r="C220" s="4" t="s">
        <v>691</v>
      </c>
      <c r="D220" s="6">
        <v>24</v>
      </c>
      <c r="E220" s="6">
        <v>2.8</v>
      </c>
      <c r="F220" s="4" t="s">
        <v>1711</v>
      </c>
      <c r="G220" s="4" t="s">
        <v>1618</v>
      </c>
      <c r="H220" s="4" t="b">
        <v>0</v>
      </c>
      <c r="I220" s="4"/>
      <c r="J220" s="4" t="b">
        <v>0</v>
      </c>
      <c r="K220" s="4" t="s">
        <v>1600</v>
      </c>
      <c r="L220" s="5">
        <v>24</v>
      </c>
      <c r="M220" s="5">
        <v>24</v>
      </c>
      <c r="N220" s="5"/>
      <c r="O220" s="5"/>
      <c r="P220" s="5" t="s">
        <v>1708</v>
      </c>
      <c r="Q220" s="5"/>
      <c r="R220" s="5" t="s">
        <v>1709</v>
      </c>
      <c r="S220" s="5"/>
      <c r="T220" s="5"/>
      <c r="U220" s="5"/>
      <c r="V220" s="5"/>
      <c r="W220" s="5" t="s">
        <v>1619</v>
      </c>
      <c r="X220" s="14" t="s">
        <v>69</v>
      </c>
      <c r="AE220" t="s">
        <v>243</v>
      </c>
      <c r="AF220" t="s">
        <v>52</v>
      </c>
      <c r="AG220" t="s">
        <v>3</v>
      </c>
    </row>
    <row r="221" spans="1:33" ht="14" x14ac:dyDescent="0.15">
      <c r="A221" s="4" t="s">
        <v>692</v>
      </c>
      <c r="B221" s="4" t="s">
        <v>650</v>
      </c>
      <c r="C221" s="4" t="s">
        <v>693</v>
      </c>
      <c r="D221" s="6">
        <v>35</v>
      </c>
      <c r="E221" s="6">
        <v>2.8</v>
      </c>
      <c r="F221" s="4" t="s">
        <v>1711</v>
      </c>
      <c r="G221" s="4" t="s">
        <v>1618</v>
      </c>
      <c r="H221" s="4" t="b">
        <v>0</v>
      </c>
      <c r="I221" s="4"/>
      <c r="J221" s="4" t="b">
        <v>0</v>
      </c>
      <c r="K221" s="4" t="s">
        <v>1600</v>
      </c>
      <c r="L221" s="5">
        <v>35</v>
      </c>
      <c r="M221" s="5">
        <v>35</v>
      </c>
      <c r="N221" s="5"/>
      <c r="O221" s="5"/>
      <c r="P221" s="5" t="s">
        <v>1708</v>
      </c>
      <c r="Q221" s="5"/>
      <c r="R221" s="5" t="s">
        <v>1709</v>
      </c>
      <c r="S221" s="5"/>
      <c r="T221" s="5"/>
      <c r="U221" s="5"/>
      <c r="V221" s="5"/>
      <c r="W221" s="5" t="s">
        <v>1619</v>
      </c>
      <c r="X221" s="14" t="s">
        <v>69</v>
      </c>
      <c r="AE221" t="s">
        <v>243</v>
      </c>
      <c r="AF221" t="s">
        <v>52</v>
      </c>
      <c r="AG221" t="s">
        <v>3</v>
      </c>
    </row>
    <row r="222" spans="1:33" ht="14" x14ac:dyDescent="0.15">
      <c r="A222" s="4" t="s">
        <v>694</v>
      </c>
      <c r="B222" s="4" t="s">
        <v>650</v>
      </c>
      <c r="C222" s="4" t="s">
        <v>695</v>
      </c>
      <c r="D222" s="6">
        <v>50</v>
      </c>
      <c r="E222" s="6">
        <v>2.8</v>
      </c>
      <c r="F222" s="4" t="s">
        <v>1711</v>
      </c>
      <c r="G222" s="4" t="s">
        <v>1618</v>
      </c>
      <c r="H222" s="4" t="b">
        <v>0</v>
      </c>
      <c r="I222" s="4"/>
      <c r="J222" s="4" t="b">
        <v>0</v>
      </c>
      <c r="K222" s="4" t="s">
        <v>1600</v>
      </c>
      <c r="L222" s="5">
        <v>50</v>
      </c>
      <c r="M222" s="5">
        <v>50</v>
      </c>
      <c r="N222" s="5"/>
      <c r="O222" s="5"/>
      <c r="P222" s="5" t="s">
        <v>1708</v>
      </c>
      <c r="Q222" s="5"/>
      <c r="R222" s="5" t="s">
        <v>1709</v>
      </c>
      <c r="S222" s="5"/>
      <c r="T222" s="5"/>
      <c r="U222" s="5"/>
      <c r="V222" s="5"/>
      <c r="W222" s="5" t="s">
        <v>1619</v>
      </c>
      <c r="X222" s="14" t="s">
        <v>69</v>
      </c>
      <c r="AE222" t="s">
        <v>243</v>
      </c>
      <c r="AF222" t="s">
        <v>52</v>
      </c>
      <c r="AG222" t="s">
        <v>3</v>
      </c>
    </row>
    <row r="223" spans="1:33" ht="14" x14ac:dyDescent="0.15">
      <c r="A223" s="4" t="s">
        <v>696</v>
      </c>
      <c r="B223" s="4" t="s">
        <v>650</v>
      </c>
      <c r="C223" s="4" t="s">
        <v>697</v>
      </c>
      <c r="D223" s="6">
        <v>80</v>
      </c>
      <c r="E223" s="6">
        <v>2.8</v>
      </c>
      <c r="F223" s="4" t="s">
        <v>1711</v>
      </c>
      <c r="G223" s="4" t="s">
        <v>1618</v>
      </c>
      <c r="H223" s="4" t="b">
        <v>0</v>
      </c>
      <c r="I223" s="4"/>
      <c r="J223" s="4" t="b">
        <v>0</v>
      </c>
      <c r="K223" s="4" t="s">
        <v>1600</v>
      </c>
      <c r="L223" s="5">
        <v>80</v>
      </c>
      <c r="M223" s="5">
        <v>80</v>
      </c>
      <c r="N223" s="5"/>
      <c r="O223" s="5"/>
      <c r="P223" s="5" t="s">
        <v>1708</v>
      </c>
      <c r="Q223" s="5"/>
      <c r="R223" s="5" t="s">
        <v>1709</v>
      </c>
      <c r="S223" s="5"/>
      <c r="T223" s="5"/>
      <c r="U223" s="5"/>
      <c r="V223" s="5"/>
      <c r="W223" s="5" t="s">
        <v>1619</v>
      </c>
      <c r="X223" s="14" t="s">
        <v>69</v>
      </c>
      <c r="AE223" t="s">
        <v>243</v>
      </c>
      <c r="AF223" t="s">
        <v>52</v>
      </c>
      <c r="AG223" t="s">
        <v>3</v>
      </c>
    </row>
    <row r="224" spans="1:33" ht="14" x14ac:dyDescent="0.15">
      <c r="A224" s="4" t="s">
        <v>698</v>
      </c>
      <c r="B224" s="4" t="s">
        <v>650</v>
      </c>
      <c r="C224" s="4" t="s">
        <v>699</v>
      </c>
      <c r="D224" s="6">
        <v>100</v>
      </c>
      <c r="E224" s="6">
        <v>2.8</v>
      </c>
      <c r="F224" s="4" t="s">
        <v>1711</v>
      </c>
      <c r="G224" s="4" t="s">
        <v>1618</v>
      </c>
      <c r="H224" s="4" t="b">
        <v>0</v>
      </c>
      <c r="I224" s="4"/>
      <c r="J224" s="4" t="b">
        <v>0</v>
      </c>
      <c r="K224" s="4" t="s">
        <v>1600</v>
      </c>
      <c r="L224" s="5">
        <v>100</v>
      </c>
      <c r="M224" s="5">
        <v>100</v>
      </c>
      <c r="N224" s="5"/>
      <c r="O224" s="5"/>
      <c r="P224" s="5" t="s">
        <v>1708</v>
      </c>
      <c r="Q224" s="5"/>
      <c r="R224" s="5" t="s">
        <v>1709</v>
      </c>
      <c r="S224" s="5"/>
      <c r="T224" s="5"/>
      <c r="U224" s="5"/>
      <c r="V224" s="5"/>
      <c r="W224" s="5" t="s">
        <v>1619</v>
      </c>
      <c r="X224" s="14" t="s">
        <v>69</v>
      </c>
      <c r="AE224" t="s">
        <v>243</v>
      </c>
      <c r="AF224" t="s">
        <v>52</v>
      </c>
      <c r="AG224" t="s">
        <v>3</v>
      </c>
    </row>
    <row r="225" spans="1:33" ht="14" x14ac:dyDescent="0.15">
      <c r="A225" s="4" t="s">
        <v>700</v>
      </c>
      <c r="B225" s="4" t="s">
        <v>701</v>
      </c>
      <c r="C225" s="4" t="s">
        <v>702</v>
      </c>
      <c r="D225" s="6">
        <v>18</v>
      </c>
      <c r="E225" s="6">
        <v>2.8</v>
      </c>
      <c r="F225" s="4" t="s">
        <v>1714</v>
      </c>
      <c r="G225" s="4" t="s">
        <v>1618</v>
      </c>
      <c r="H225" s="4" t="b">
        <v>0</v>
      </c>
      <c r="I225" s="4" t="s">
        <v>1741</v>
      </c>
      <c r="J225" s="4" t="b">
        <v>0</v>
      </c>
      <c r="K225" s="4" t="s">
        <v>1600</v>
      </c>
      <c r="L225" s="5">
        <v>18</v>
      </c>
      <c r="M225" s="5">
        <v>18</v>
      </c>
      <c r="N225" s="5"/>
      <c r="O225" s="5"/>
      <c r="P225" s="5" t="s">
        <v>1708</v>
      </c>
      <c r="Q225" s="5"/>
      <c r="R225" s="5" t="s">
        <v>1709</v>
      </c>
      <c r="S225" s="5"/>
      <c r="T225" s="5"/>
      <c r="U225" s="5"/>
      <c r="V225" s="5"/>
      <c r="W225" s="5" t="s">
        <v>1619</v>
      </c>
      <c r="X225" s="14" t="s">
        <v>69</v>
      </c>
      <c r="AE225" t="s">
        <v>243</v>
      </c>
      <c r="AF225" t="s">
        <v>52</v>
      </c>
      <c r="AG225" t="s">
        <v>3</v>
      </c>
    </row>
    <row r="226" spans="1:33" ht="14" x14ac:dyDescent="0.15">
      <c r="A226" s="4" t="s">
        <v>703</v>
      </c>
      <c r="B226" s="4" t="s">
        <v>701</v>
      </c>
      <c r="C226" s="4" t="s">
        <v>704</v>
      </c>
      <c r="D226" s="6">
        <v>21</v>
      </c>
      <c r="E226" s="6">
        <v>2.8</v>
      </c>
      <c r="F226" s="4" t="s">
        <v>1714</v>
      </c>
      <c r="G226" s="4" t="s">
        <v>1618</v>
      </c>
      <c r="H226" s="4" t="b">
        <v>0</v>
      </c>
      <c r="I226" s="4" t="s">
        <v>1741</v>
      </c>
      <c r="J226" s="4" t="b">
        <v>0</v>
      </c>
      <c r="K226" s="4" t="s">
        <v>1600</v>
      </c>
      <c r="L226" s="5">
        <v>21</v>
      </c>
      <c r="M226" s="5">
        <v>21</v>
      </c>
      <c r="N226" s="5"/>
      <c r="O226" s="5"/>
      <c r="P226" s="5" t="s">
        <v>1708</v>
      </c>
      <c r="Q226" s="5"/>
      <c r="R226" s="5" t="s">
        <v>1709</v>
      </c>
      <c r="S226" s="5"/>
      <c r="T226" s="5"/>
      <c r="U226" s="5"/>
      <c r="V226" s="5"/>
      <c r="W226" s="5" t="s">
        <v>1619</v>
      </c>
      <c r="X226" s="14" t="s">
        <v>69</v>
      </c>
      <c r="AE226" t="s">
        <v>243</v>
      </c>
      <c r="AF226" t="s">
        <v>52</v>
      </c>
      <c r="AG226" t="s">
        <v>3</v>
      </c>
    </row>
    <row r="227" spans="1:33" ht="14" x14ac:dyDescent="0.15">
      <c r="A227" s="4" t="s">
        <v>705</v>
      </c>
      <c r="B227" s="4" t="s">
        <v>701</v>
      </c>
      <c r="C227" s="4" t="s">
        <v>706</v>
      </c>
      <c r="D227" s="6">
        <v>24</v>
      </c>
      <c r="E227" s="6">
        <v>2.8</v>
      </c>
      <c r="F227" s="4" t="s">
        <v>1714</v>
      </c>
      <c r="G227" s="4" t="s">
        <v>1618</v>
      </c>
      <c r="H227" s="4" t="b">
        <v>0</v>
      </c>
      <c r="I227" s="4" t="s">
        <v>1741</v>
      </c>
      <c r="J227" s="4" t="b">
        <v>0</v>
      </c>
      <c r="K227" s="4" t="s">
        <v>1600</v>
      </c>
      <c r="L227" s="5">
        <v>24</v>
      </c>
      <c r="M227" s="5">
        <v>24</v>
      </c>
      <c r="N227" s="5"/>
      <c r="O227" s="5"/>
      <c r="P227" s="5" t="s">
        <v>1708</v>
      </c>
      <c r="Q227" s="5"/>
      <c r="R227" s="5" t="s">
        <v>1709</v>
      </c>
      <c r="S227" s="5"/>
      <c r="T227" s="5"/>
      <c r="U227" s="5"/>
      <c r="V227" s="5"/>
      <c r="W227" s="5" t="s">
        <v>1619</v>
      </c>
      <c r="X227" s="14" t="s">
        <v>69</v>
      </c>
      <c r="AE227" t="s">
        <v>243</v>
      </c>
      <c r="AF227" t="s">
        <v>52</v>
      </c>
      <c r="AG227" t="s">
        <v>3</v>
      </c>
    </row>
    <row r="228" spans="1:33" ht="14" x14ac:dyDescent="0.15">
      <c r="A228" s="4" t="s">
        <v>707</v>
      </c>
      <c r="B228" s="4" t="s">
        <v>701</v>
      </c>
      <c r="C228" s="4" t="s">
        <v>708</v>
      </c>
      <c r="D228" s="6">
        <v>28</v>
      </c>
      <c r="E228" s="6">
        <v>2.8</v>
      </c>
      <c r="F228" s="4" t="s">
        <v>1714</v>
      </c>
      <c r="G228" s="4" t="s">
        <v>1618</v>
      </c>
      <c r="H228" s="4" t="b">
        <v>0</v>
      </c>
      <c r="I228" s="4" t="s">
        <v>1741</v>
      </c>
      <c r="J228" s="4" t="b">
        <v>0</v>
      </c>
      <c r="K228" s="4" t="s">
        <v>1600</v>
      </c>
      <c r="L228" s="5">
        <v>28</v>
      </c>
      <c r="M228" s="5">
        <v>28</v>
      </c>
      <c r="N228" s="5"/>
      <c r="O228" s="5"/>
      <c r="P228" s="5" t="s">
        <v>1708</v>
      </c>
      <c r="Q228" s="5"/>
      <c r="R228" s="5" t="s">
        <v>1709</v>
      </c>
      <c r="S228" s="5"/>
      <c r="T228" s="5"/>
      <c r="U228" s="5"/>
      <c r="V228" s="5"/>
      <c r="W228" s="5" t="s">
        <v>1619</v>
      </c>
      <c r="X228" s="14" t="s">
        <v>69</v>
      </c>
      <c r="AE228" t="s">
        <v>243</v>
      </c>
      <c r="AF228" t="s">
        <v>52</v>
      </c>
      <c r="AG228" t="s">
        <v>3</v>
      </c>
    </row>
    <row r="229" spans="1:33" ht="14" x14ac:dyDescent="0.15">
      <c r="A229" s="4" t="s">
        <v>709</v>
      </c>
      <c r="B229" s="4" t="s">
        <v>701</v>
      </c>
      <c r="C229" s="4" t="s">
        <v>710</v>
      </c>
      <c r="D229" s="6">
        <v>35</v>
      </c>
      <c r="E229" s="6">
        <v>2.8</v>
      </c>
      <c r="F229" s="4" t="s">
        <v>1714</v>
      </c>
      <c r="G229" s="4" t="s">
        <v>1618</v>
      </c>
      <c r="H229" s="4" t="b">
        <v>0</v>
      </c>
      <c r="I229" s="4" t="s">
        <v>1741</v>
      </c>
      <c r="J229" s="4" t="b">
        <v>0</v>
      </c>
      <c r="K229" s="4" t="s">
        <v>1600</v>
      </c>
      <c r="L229" s="5">
        <v>35</v>
      </c>
      <c r="M229" s="5">
        <v>35</v>
      </c>
      <c r="N229" s="5"/>
      <c r="O229" s="5"/>
      <c r="P229" s="5" t="s">
        <v>1708</v>
      </c>
      <c r="Q229" s="5"/>
      <c r="R229" s="5" t="s">
        <v>1709</v>
      </c>
      <c r="S229" s="5"/>
      <c r="T229" s="5"/>
      <c r="U229" s="5"/>
      <c r="V229" s="5"/>
      <c r="W229" s="5" t="s">
        <v>1619</v>
      </c>
      <c r="X229" s="14" t="s">
        <v>69</v>
      </c>
      <c r="AE229" t="s">
        <v>243</v>
      </c>
      <c r="AF229" t="s">
        <v>52</v>
      </c>
      <c r="AG229" t="s">
        <v>3</v>
      </c>
    </row>
    <row r="230" spans="1:33" ht="14" x14ac:dyDescent="0.15">
      <c r="A230" s="4" t="s">
        <v>711</v>
      </c>
      <c r="B230" s="4" t="s">
        <v>701</v>
      </c>
      <c r="C230" s="4" t="s">
        <v>712</v>
      </c>
      <c r="D230" s="6">
        <v>40</v>
      </c>
      <c r="E230" s="6">
        <v>2.8</v>
      </c>
      <c r="F230" s="4" t="s">
        <v>1714</v>
      </c>
      <c r="G230" s="4" t="s">
        <v>1618</v>
      </c>
      <c r="H230" s="4" t="b">
        <v>0</v>
      </c>
      <c r="I230" s="4" t="s">
        <v>1741</v>
      </c>
      <c r="J230" s="4" t="b">
        <v>0</v>
      </c>
      <c r="K230" s="4" t="s">
        <v>1600</v>
      </c>
      <c r="L230" s="5">
        <v>40</v>
      </c>
      <c r="M230" s="5">
        <v>40</v>
      </c>
      <c r="N230" s="5"/>
      <c r="O230" s="5"/>
      <c r="P230" s="5" t="s">
        <v>1708</v>
      </c>
      <c r="Q230" s="5"/>
      <c r="R230" s="5" t="s">
        <v>1709</v>
      </c>
      <c r="S230" s="5"/>
      <c r="T230" s="5"/>
      <c r="U230" s="5"/>
      <c r="V230" s="5"/>
      <c r="W230" s="5" t="s">
        <v>1619</v>
      </c>
      <c r="X230" s="14" t="s">
        <v>69</v>
      </c>
      <c r="AE230" t="s">
        <v>243</v>
      </c>
      <c r="AF230" t="s">
        <v>52</v>
      </c>
      <c r="AG230" t="s">
        <v>3</v>
      </c>
    </row>
    <row r="231" spans="1:33" ht="14" x14ac:dyDescent="0.15">
      <c r="A231" s="4" t="s">
        <v>713</v>
      </c>
      <c r="B231" s="4" t="s">
        <v>701</v>
      </c>
      <c r="C231" s="4" t="s">
        <v>714</v>
      </c>
      <c r="D231" s="6">
        <v>50</v>
      </c>
      <c r="E231" s="6">
        <v>2.8</v>
      </c>
      <c r="F231" s="4" t="s">
        <v>1714</v>
      </c>
      <c r="G231" s="4" t="s">
        <v>1618</v>
      </c>
      <c r="H231" s="4" t="b">
        <v>0</v>
      </c>
      <c r="I231" s="4" t="s">
        <v>1741</v>
      </c>
      <c r="J231" s="4" t="b">
        <v>0</v>
      </c>
      <c r="K231" s="4" t="s">
        <v>1600</v>
      </c>
      <c r="L231" s="5">
        <v>50</v>
      </c>
      <c r="M231" s="5">
        <v>50</v>
      </c>
      <c r="N231" s="5"/>
      <c r="O231" s="5"/>
      <c r="P231" s="5" t="s">
        <v>1708</v>
      </c>
      <c r="Q231" s="5"/>
      <c r="R231" s="5" t="s">
        <v>1709</v>
      </c>
      <c r="S231" s="5"/>
      <c r="T231" s="5"/>
      <c r="U231" s="5"/>
      <c r="V231" s="5"/>
      <c r="W231" s="5" t="s">
        <v>1619</v>
      </c>
      <c r="X231" s="14" t="s">
        <v>69</v>
      </c>
      <c r="AE231" t="s">
        <v>243</v>
      </c>
      <c r="AF231" t="s">
        <v>52</v>
      </c>
      <c r="AG231" t="s">
        <v>3</v>
      </c>
    </row>
    <row r="232" spans="1:33" ht="14" x14ac:dyDescent="0.15">
      <c r="A232" s="4" t="s">
        <v>715</v>
      </c>
      <c r="B232" s="4" t="s">
        <v>701</v>
      </c>
      <c r="C232" s="4" t="s">
        <v>716</v>
      </c>
      <c r="D232" s="6">
        <v>75</v>
      </c>
      <c r="E232" s="6">
        <v>2.8</v>
      </c>
      <c r="F232" s="4" t="s">
        <v>1714</v>
      </c>
      <c r="G232" s="4" t="s">
        <v>1618</v>
      </c>
      <c r="H232" s="4" t="b">
        <v>0</v>
      </c>
      <c r="I232" s="4" t="s">
        <v>1741</v>
      </c>
      <c r="J232" s="4" t="b">
        <v>0</v>
      </c>
      <c r="K232" s="4" t="s">
        <v>1600</v>
      </c>
      <c r="L232" s="5">
        <v>75</v>
      </c>
      <c r="M232" s="5">
        <v>75</v>
      </c>
      <c r="N232" s="5"/>
      <c r="O232" s="5"/>
      <c r="P232" s="5" t="s">
        <v>1708</v>
      </c>
      <c r="Q232" s="5"/>
      <c r="R232" s="5" t="s">
        <v>1709</v>
      </c>
      <c r="S232" s="5"/>
      <c r="T232" s="5"/>
      <c r="U232" s="5"/>
      <c r="V232" s="5"/>
      <c r="W232" s="5" t="s">
        <v>1619</v>
      </c>
      <c r="X232" s="14" t="s">
        <v>69</v>
      </c>
      <c r="AE232" t="s">
        <v>243</v>
      </c>
      <c r="AF232" t="s">
        <v>52</v>
      </c>
      <c r="AG232" t="s">
        <v>3</v>
      </c>
    </row>
    <row r="233" spans="1:33" ht="14" x14ac:dyDescent="0.15">
      <c r="A233" s="4" t="s">
        <v>717</v>
      </c>
      <c r="B233" s="4" t="s">
        <v>701</v>
      </c>
      <c r="C233" s="4" t="s">
        <v>718</v>
      </c>
      <c r="D233" s="6">
        <v>90</v>
      </c>
      <c r="E233" s="6">
        <v>2.8</v>
      </c>
      <c r="F233" s="4" t="s">
        <v>1714</v>
      </c>
      <c r="G233" s="4" t="s">
        <v>1618</v>
      </c>
      <c r="H233" s="4" t="b">
        <v>0</v>
      </c>
      <c r="I233" s="4" t="s">
        <v>1741</v>
      </c>
      <c r="J233" s="4" t="b">
        <v>0</v>
      </c>
      <c r="K233" s="4" t="s">
        <v>1600</v>
      </c>
      <c r="L233" s="5">
        <v>90</v>
      </c>
      <c r="M233" s="5">
        <v>90</v>
      </c>
      <c r="N233" s="5"/>
      <c r="O233" s="5"/>
      <c r="P233" s="5" t="s">
        <v>1708</v>
      </c>
      <c r="Q233" s="5"/>
      <c r="R233" s="5" t="s">
        <v>1709</v>
      </c>
      <c r="S233" s="5"/>
      <c r="T233" s="5"/>
      <c r="U233" s="5"/>
      <c r="V233" s="5"/>
      <c r="W233" s="5" t="s">
        <v>1619</v>
      </c>
      <c r="X233" s="14" t="s">
        <v>69</v>
      </c>
      <c r="AE233" t="s">
        <v>243</v>
      </c>
      <c r="AF233" t="s">
        <v>52</v>
      </c>
      <c r="AG233" t="s">
        <v>3</v>
      </c>
    </row>
    <row r="234" spans="1:33" ht="14" x14ac:dyDescent="0.15">
      <c r="A234" s="4" t="s">
        <v>719</v>
      </c>
      <c r="B234" s="4" t="s">
        <v>701</v>
      </c>
      <c r="C234" s="4" t="s">
        <v>720</v>
      </c>
      <c r="D234" s="6">
        <v>125</v>
      </c>
      <c r="E234" s="6">
        <v>2.8</v>
      </c>
      <c r="F234" s="4" t="s">
        <v>1714</v>
      </c>
      <c r="G234" s="4" t="s">
        <v>1618</v>
      </c>
      <c r="H234" s="4" t="b">
        <v>0</v>
      </c>
      <c r="I234" s="4" t="s">
        <v>1741</v>
      </c>
      <c r="J234" s="4" t="b">
        <v>0</v>
      </c>
      <c r="K234" s="4" t="s">
        <v>1600</v>
      </c>
      <c r="L234" s="5">
        <v>125</v>
      </c>
      <c r="M234" s="5">
        <v>125</v>
      </c>
      <c r="N234" s="5"/>
      <c r="O234" s="5"/>
      <c r="P234" s="5" t="s">
        <v>1708</v>
      </c>
      <c r="Q234" s="5"/>
      <c r="R234" s="5" t="s">
        <v>1709</v>
      </c>
      <c r="S234" s="5"/>
      <c r="T234" s="5"/>
      <c r="U234" s="5"/>
      <c r="V234" s="5"/>
      <c r="W234" s="5" t="s">
        <v>1619</v>
      </c>
      <c r="X234" s="14" t="s">
        <v>69</v>
      </c>
      <c r="AE234" t="s">
        <v>243</v>
      </c>
      <c r="AF234" t="s">
        <v>52</v>
      </c>
      <c r="AG234" t="s">
        <v>3</v>
      </c>
    </row>
    <row r="235" spans="1:33" ht="28" x14ac:dyDescent="0.15">
      <c r="A235" s="4" t="s">
        <v>721</v>
      </c>
      <c r="B235" s="4" t="s">
        <v>722</v>
      </c>
      <c r="C235" s="4" t="s">
        <v>723</v>
      </c>
      <c r="D235" s="6">
        <v>35</v>
      </c>
      <c r="E235" s="6">
        <v>2.8</v>
      </c>
      <c r="F235" s="4" t="s">
        <v>1711</v>
      </c>
      <c r="G235" s="4" t="s">
        <v>1618</v>
      </c>
      <c r="H235" s="4" t="b">
        <v>1</v>
      </c>
      <c r="I235" s="4"/>
      <c r="J235" s="4" t="b">
        <v>0</v>
      </c>
      <c r="K235" s="4" t="s">
        <v>1600</v>
      </c>
      <c r="L235" s="5">
        <v>35</v>
      </c>
      <c r="M235" s="5">
        <v>35</v>
      </c>
      <c r="N235" s="5"/>
      <c r="O235" s="5"/>
      <c r="P235" s="5" t="s">
        <v>1708</v>
      </c>
      <c r="Q235" s="5"/>
      <c r="R235" s="5" t="s">
        <v>1718</v>
      </c>
      <c r="S235" s="5"/>
      <c r="T235" s="5"/>
      <c r="U235" s="5"/>
      <c r="V235" s="5"/>
      <c r="W235" s="5" t="s">
        <v>1619</v>
      </c>
      <c r="X235" s="14" t="s">
        <v>69</v>
      </c>
      <c r="AE235" t="s">
        <v>243</v>
      </c>
      <c r="AF235" t="s">
        <v>52</v>
      </c>
      <c r="AG235" t="s">
        <v>3</v>
      </c>
    </row>
    <row r="236" spans="1:33" ht="28" x14ac:dyDescent="0.15">
      <c r="A236" s="4" t="s">
        <v>724</v>
      </c>
      <c r="B236" s="4" t="s">
        <v>722</v>
      </c>
      <c r="C236" s="4" t="s">
        <v>725</v>
      </c>
      <c r="D236" s="6">
        <v>50</v>
      </c>
      <c r="E236" s="6">
        <v>2.8</v>
      </c>
      <c r="F236" s="4" t="s">
        <v>1711</v>
      </c>
      <c r="G236" s="4" t="s">
        <v>1618</v>
      </c>
      <c r="H236" s="4" t="b">
        <v>1</v>
      </c>
      <c r="I236" s="4"/>
      <c r="J236" s="4" t="b">
        <v>0</v>
      </c>
      <c r="K236" s="4" t="s">
        <v>1600</v>
      </c>
      <c r="L236" s="5">
        <v>50</v>
      </c>
      <c r="M236" s="5">
        <v>50</v>
      </c>
      <c r="N236" s="5"/>
      <c r="O236" s="5"/>
      <c r="P236" s="5" t="s">
        <v>1708</v>
      </c>
      <c r="Q236" s="5"/>
      <c r="R236" s="5" t="s">
        <v>1718</v>
      </c>
      <c r="S236" s="5"/>
      <c r="T236" s="5"/>
      <c r="U236" s="5"/>
      <c r="V236" s="5"/>
      <c r="W236" s="5" t="s">
        <v>1619</v>
      </c>
      <c r="X236" s="14" t="s">
        <v>69</v>
      </c>
      <c r="AE236" t="s">
        <v>243</v>
      </c>
      <c r="AF236" t="s">
        <v>52</v>
      </c>
      <c r="AG236" t="s">
        <v>3</v>
      </c>
    </row>
    <row r="237" spans="1:33" ht="28" x14ac:dyDescent="0.15">
      <c r="A237" s="4" t="s">
        <v>726</v>
      </c>
      <c r="B237" s="4" t="s">
        <v>722</v>
      </c>
      <c r="C237" s="4" t="s">
        <v>727</v>
      </c>
      <c r="D237" s="6">
        <v>75</v>
      </c>
      <c r="E237" s="6">
        <v>2.8</v>
      </c>
      <c r="F237" s="4" t="s">
        <v>1711</v>
      </c>
      <c r="G237" s="4" t="s">
        <v>1618</v>
      </c>
      <c r="H237" s="4" t="b">
        <v>1</v>
      </c>
      <c r="I237" s="4"/>
      <c r="J237" s="4" t="b">
        <v>0</v>
      </c>
      <c r="K237" s="4" t="s">
        <v>1600</v>
      </c>
      <c r="L237" s="5">
        <v>75</v>
      </c>
      <c r="M237" s="5">
        <v>75</v>
      </c>
      <c r="N237" s="5"/>
      <c r="O237" s="5"/>
      <c r="P237" s="5" t="s">
        <v>1708</v>
      </c>
      <c r="Q237" s="5"/>
      <c r="R237" s="5" t="s">
        <v>1718</v>
      </c>
      <c r="S237" s="5"/>
      <c r="T237" s="5"/>
      <c r="U237" s="5"/>
      <c r="V237" s="5"/>
      <c r="W237" s="5" t="s">
        <v>1619</v>
      </c>
      <c r="X237" s="14" t="s">
        <v>69</v>
      </c>
      <c r="AE237" t="s">
        <v>243</v>
      </c>
      <c r="AF237" t="s">
        <v>52</v>
      </c>
      <c r="AG237" t="s">
        <v>3</v>
      </c>
    </row>
    <row r="238" spans="1:33" ht="28" x14ac:dyDescent="0.15">
      <c r="A238" s="4" t="s">
        <v>728</v>
      </c>
      <c r="B238" s="4" t="s">
        <v>722</v>
      </c>
      <c r="C238" s="4" t="s">
        <v>729</v>
      </c>
      <c r="D238" s="6">
        <v>100</v>
      </c>
      <c r="E238" s="6">
        <v>2.8</v>
      </c>
      <c r="F238" s="4" t="s">
        <v>1711</v>
      </c>
      <c r="G238" s="4" t="s">
        <v>1618</v>
      </c>
      <c r="H238" s="4" t="b">
        <v>1</v>
      </c>
      <c r="I238" s="4"/>
      <c r="J238" s="4" t="b">
        <v>0</v>
      </c>
      <c r="K238" s="4" t="s">
        <v>1600</v>
      </c>
      <c r="L238" s="5">
        <v>100</v>
      </c>
      <c r="M238" s="5">
        <v>100</v>
      </c>
      <c r="N238" s="5"/>
      <c r="O238" s="5"/>
      <c r="P238" s="5" t="s">
        <v>1708</v>
      </c>
      <c r="Q238" s="5"/>
      <c r="R238" s="5" t="s">
        <v>1718</v>
      </c>
      <c r="S238" s="5"/>
      <c r="T238" s="5"/>
      <c r="U238" s="5"/>
      <c r="V238" s="5"/>
      <c r="W238" s="5" t="s">
        <v>1619</v>
      </c>
      <c r="X238" s="14" t="s">
        <v>69</v>
      </c>
      <c r="AE238" t="s">
        <v>243</v>
      </c>
      <c r="AF238" t="s">
        <v>52</v>
      </c>
      <c r="AG238" t="s">
        <v>3</v>
      </c>
    </row>
    <row r="239" spans="1:33" ht="14" x14ac:dyDescent="0.15">
      <c r="A239" s="4" t="s">
        <v>730</v>
      </c>
      <c r="B239" s="4" t="s">
        <v>152</v>
      </c>
      <c r="C239" s="4" t="s">
        <v>731</v>
      </c>
      <c r="D239" s="6">
        <v>25</v>
      </c>
      <c r="E239" s="6">
        <v>2</v>
      </c>
      <c r="F239" s="4" t="s">
        <v>1711</v>
      </c>
      <c r="G239" s="4" t="s">
        <v>1618</v>
      </c>
      <c r="H239" s="4" t="b">
        <v>0</v>
      </c>
      <c r="I239" s="4"/>
      <c r="J239" s="4" t="b">
        <v>0</v>
      </c>
      <c r="K239" s="4" t="s">
        <v>1600</v>
      </c>
      <c r="L239" s="5">
        <v>25</v>
      </c>
      <c r="M239" s="5">
        <v>25</v>
      </c>
      <c r="N239" s="5"/>
      <c r="O239" s="5"/>
      <c r="P239" s="5" t="s">
        <v>1708</v>
      </c>
      <c r="Q239" s="5"/>
      <c r="R239" s="5" t="s">
        <v>1709</v>
      </c>
      <c r="S239" s="5"/>
      <c r="T239" s="5"/>
      <c r="U239" s="5"/>
      <c r="V239" s="5"/>
      <c r="W239" s="5" t="s">
        <v>1619</v>
      </c>
      <c r="X239" s="14" t="s">
        <v>69</v>
      </c>
      <c r="AE239" t="s">
        <v>243</v>
      </c>
      <c r="AF239" t="s">
        <v>52</v>
      </c>
      <c r="AG239" t="s">
        <v>3</v>
      </c>
    </row>
    <row r="240" spans="1:33" ht="14" x14ac:dyDescent="0.15">
      <c r="A240" s="4" t="s">
        <v>732</v>
      </c>
      <c r="B240" s="4" t="s">
        <v>152</v>
      </c>
      <c r="C240" s="4" t="s">
        <v>733</v>
      </c>
      <c r="D240" s="6">
        <v>32</v>
      </c>
      <c r="E240" s="6">
        <v>2</v>
      </c>
      <c r="F240" s="4" t="s">
        <v>1711</v>
      </c>
      <c r="G240" s="4" t="s">
        <v>1618</v>
      </c>
      <c r="H240" s="4" t="b">
        <v>0</v>
      </c>
      <c r="I240" s="4"/>
      <c r="J240" s="4" t="b">
        <v>0</v>
      </c>
      <c r="K240" s="4" t="s">
        <v>1600</v>
      </c>
      <c r="L240" s="5">
        <v>32</v>
      </c>
      <c r="M240" s="5">
        <v>32</v>
      </c>
      <c r="N240" s="5"/>
      <c r="O240" s="5"/>
      <c r="P240" s="5" t="s">
        <v>1708</v>
      </c>
      <c r="Q240" s="5"/>
      <c r="R240" s="5" t="s">
        <v>1709</v>
      </c>
      <c r="S240" s="5"/>
      <c r="T240" s="5"/>
      <c r="U240" s="5"/>
      <c r="V240" s="5"/>
      <c r="W240" s="5" t="s">
        <v>1619</v>
      </c>
      <c r="X240" s="14" t="s">
        <v>69</v>
      </c>
      <c r="AE240" t="s">
        <v>243</v>
      </c>
      <c r="AF240" t="s">
        <v>52</v>
      </c>
      <c r="AG240" t="s">
        <v>3</v>
      </c>
    </row>
    <row r="241" spans="1:33" ht="14" x14ac:dyDescent="0.15">
      <c r="A241" s="4" t="s">
        <v>734</v>
      </c>
      <c r="B241" s="4" t="s">
        <v>152</v>
      </c>
      <c r="C241" s="4" t="s">
        <v>735</v>
      </c>
      <c r="D241" s="6">
        <v>40</v>
      </c>
      <c r="E241" s="6">
        <v>2</v>
      </c>
      <c r="F241" s="4" t="s">
        <v>1711</v>
      </c>
      <c r="G241" s="4" t="s">
        <v>1618</v>
      </c>
      <c r="H241" s="4" t="b">
        <v>0</v>
      </c>
      <c r="I241" s="4"/>
      <c r="J241" s="4" t="b">
        <v>0</v>
      </c>
      <c r="K241" s="4" t="s">
        <v>1600</v>
      </c>
      <c r="L241" s="5">
        <v>40</v>
      </c>
      <c r="M241" s="5">
        <v>40</v>
      </c>
      <c r="N241" s="5"/>
      <c r="O241" s="5"/>
      <c r="P241" s="5" t="s">
        <v>1708</v>
      </c>
      <c r="Q241" s="5"/>
      <c r="R241" s="5" t="s">
        <v>1709</v>
      </c>
      <c r="S241" s="5"/>
      <c r="T241" s="5"/>
      <c r="U241" s="5"/>
      <c r="V241" s="5"/>
      <c r="W241" s="5" t="s">
        <v>1619</v>
      </c>
      <c r="X241" s="14" t="s">
        <v>69</v>
      </c>
      <c r="AE241" t="s">
        <v>243</v>
      </c>
      <c r="AF241" t="s">
        <v>52</v>
      </c>
      <c r="AG241" t="s">
        <v>3</v>
      </c>
    </row>
    <row r="242" spans="1:33" ht="14" x14ac:dyDescent="0.15">
      <c r="A242" s="4" t="s">
        <v>736</v>
      </c>
      <c r="B242" s="4" t="s">
        <v>152</v>
      </c>
      <c r="C242" s="4" t="s">
        <v>737</v>
      </c>
      <c r="D242" s="6">
        <v>50</v>
      </c>
      <c r="E242" s="6">
        <v>2</v>
      </c>
      <c r="F242" s="4" t="s">
        <v>1711</v>
      </c>
      <c r="G242" s="4" t="s">
        <v>1618</v>
      </c>
      <c r="H242" s="4" t="b">
        <v>0</v>
      </c>
      <c r="I242" s="4"/>
      <c r="J242" s="4" t="b">
        <v>0</v>
      </c>
      <c r="K242" s="4" t="s">
        <v>1600</v>
      </c>
      <c r="L242" s="5">
        <v>50</v>
      </c>
      <c r="M242" s="5">
        <v>50</v>
      </c>
      <c r="N242" s="5"/>
      <c r="O242" s="5"/>
      <c r="P242" s="5" t="s">
        <v>1708</v>
      </c>
      <c r="Q242" s="5"/>
      <c r="R242" s="5" t="s">
        <v>1709</v>
      </c>
      <c r="S242" s="5"/>
      <c r="T242" s="5"/>
      <c r="U242" s="5"/>
      <c r="V242" s="5"/>
      <c r="W242" s="5" t="s">
        <v>1619</v>
      </c>
      <c r="X242" s="14" t="s">
        <v>69</v>
      </c>
      <c r="AE242" t="s">
        <v>243</v>
      </c>
      <c r="AF242" t="s">
        <v>52</v>
      </c>
      <c r="AG242" t="s">
        <v>3</v>
      </c>
    </row>
    <row r="243" spans="1:33" ht="14" x14ac:dyDescent="0.15">
      <c r="A243" s="4" t="s">
        <v>738</v>
      </c>
      <c r="B243" s="4" t="s">
        <v>152</v>
      </c>
      <c r="C243" s="4" t="s">
        <v>739</v>
      </c>
      <c r="D243" s="6">
        <v>75</v>
      </c>
      <c r="E243" s="6">
        <v>2</v>
      </c>
      <c r="F243" s="4" t="s">
        <v>1711</v>
      </c>
      <c r="G243" s="4" t="s">
        <v>1618</v>
      </c>
      <c r="H243" s="4" t="b">
        <v>0</v>
      </c>
      <c r="I243" s="4"/>
      <c r="J243" s="4" t="b">
        <v>0</v>
      </c>
      <c r="K243" s="4" t="s">
        <v>1600</v>
      </c>
      <c r="L243" s="5">
        <v>75</v>
      </c>
      <c r="M243" s="5">
        <v>75</v>
      </c>
      <c r="N243" s="5"/>
      <c r="O243" s="5"/>
      <c r="P243" s="5" t="s">
        <v>1708</v>
      </c>
      <c r="Q243" s="5"/>
      <c r="R243" s="5" t="s">
        <v>1709</v>
      </c>
      <c r="S243" s="5"/>
      <c r="T243" s="5"/>
      <c r="U243" s="5"/>
      <c r="V243" s="5"/>
      <c r="W243" s="5" t="s">
        <v>1619</v>
      </c>
      <c r="X243" s="14" t="s">
        <v>69</v>
      </c>
      <c r="AE243" t="s">
        <v>243</v>
      </c>
      <c r="AF243" t="s">
        <v>52</v>
      </c>
      <c r="AG243" t="s">
        <v>3</v>
      </c>
    </row>
    <row r="244" spans="1:33" ht="14" x14ac:dyDescent="0.15">
      <c r="A244" s="4" t="s">
        <v>740</v>
      </c>
      <c r="B244" s="4" t="s">
        <v>152</v>
      </c>
      <c r="C244" s="4" t="s">
        <v>741</v>
      </c>
      <c r="D244" s="6">
        <v>100</v>
      </c>
      <c r="E244" s="6">
        <v>2</v>
      </c>
      <c r="F244" s="4" t="s">
        <v>1711</v>
      </c>
      <c r="G244" s="4" t="s">
        <v>1618</v>
      </c>
      <c r="H244" s="4" t="b">
        <v>0</v>
      </c>
      <c r="I244" s="4"/>
      <c r="J244" s="4" t="b">
        <v>0</v>
      </c>
      <c r="K244" s="4" t="s">
        <v>1600</v>
      </c>
      <c r="L244" s="5">
        <v>100</v>
      </c>
      <c r="M244" s="5">
        <v>100</v>
      </c>
      <c r="N244" s="5"/>
      <c r="O244" s="5"/>
      <c r="P244" s="5" t="s">
        <v>1708</v>
      </c>
      <c r="Q244" s="5"/>
      <c r="R244" s="5" t="s">
        <v>1709</v>
      </c>
      <c r="S244" s="5"/>
      <c r="T244" s="5"/>
      <c r="U244" s="5"/>
      <c r="V244" s="5"/>
      <c r="W244" s="5" t="s">
        <v>1619</v>
      </c>
      <c r="X244" s="14" t="s">
        <v>69</v>
      </c>
      <c r="AE244" t="s">
        <v>243</v>
      </c>
      <c r="AF244" t="s">
        <v>52</v>
      </c>
      <c r="AG244" t="s">
        <v>3</v>
      </c>
    </row>
    <row r="245" spans="1:33" ht="14" x14ac:dyDescent="0.15">
      <c r="A245" s="4" t="s">
        <v>742</v>
      </c>
      <c r="B245" s="4" t="s">
        <v>152</v>
      </c>
      <c r="C245" s="4" t="s">
        <v>743</v>
      </c>
      <c r="D245" s="6">
        <v>135</v>
      </c>
      <c r="E245" s="6">
        <v>2</v>
      </c>
      <c r="F245" s="4" t="s">
        <v>1711</v>
      </c>
      <c r="G245" s="4" t="s">
        <v>1618</v>
      </c>
      <c r="H245" s="4" t="b">
        <v>0</v>
      </c>
      <c r="I245" s="4"/>
      <c r="J245" s="4" t="b">
        <v>0</v>
      </c>
      <c r="K245" s="4" t="s">
        <v>1600</v>
      </c>
      <c r="L245" s="5">
        <v>135</v>
      </c>
      <c r="M245" s="5">
        <v>135</v>
      </c>
      <c r="N245" s="5"/>
      <c r="O245" s="5"/>
      <c r="P245" s="5" t="s">
        <v>1708</v>
      </c>
      <c r="Q245" s="5"/>
      <c r="R245" s="5" t="s">
        <v>1709</v>
      </c>
      <c r="S245" s="5"/>
      <c r="T245" s="5"/>
      <c r="U245" s="5"/>
      <c r="V245" s="5"/>
      <c r="W245" s="5" t="s">
        <v>1619</v>
      </c>
      <c r="X245" s="14" t="s">
        <v>69</v>
      </c>
      <c r="AE245" t="s">
        <v>243</v>
      </c>
      <c r="AF245" t="s">
        <v>52</v>
      </c>
      <c r="AG245" t="s">
        <v>3</v>
      </c>
    </row>
    <row r="246" spans="1:33" ht="14" x14ac:dyDescent="0.15">
      <c r="A246" s="4" t="s">
        <v>744</v>
      </c>
      <c r="B246" s="4" t="s">
        <v>152</v>
      </c>
      <c r="C246" s="4" t="s">
        <v>745</v>
      </c>
      <c r="D246" s="6">
        <v>24</v>
      </c>
      <c r="E246" s="6">
        <v>2</v>
      </c>
      <c r="F246" s="4" t="s">
        <v>1714</v>
      </c>
      <c r="G246" s="4" t="s">
        <v>1618</v>
      </c>
      <c r="H246" s="4" t="b">
        <v>0</v>
      </c>
      <c r="I246" s="4"/>
      <c r="J246" s="4" t="b">
        <v>0</v>
      </c>
      <c r="K246" s="4" t="s">
        <v>1600</v>
      </c>
      <c r="L246" s="5">
        <v>24</v>
      </c>
      <c r="M246" s="5">
        <v>24</v>
      </c>
      <c r="N246" s="5"/>
      <c r="O246" s="5"/>
      <c r="P246" s="5" t="s">
        <v>1708</v>
      </c>
      <c r="Q246" s="5"/>
      <c r="R246" s="5" t="s">
        <v>1709</v>
      </c>
      <c r="S246" s="5"/>
      <c r="T246" s="5"/>
      <c r="U246" s="5"/>
      <c r="V246" s="5"/>
      <c r="W246" s="5" t="s">
        <v>1619</v>
      </c>
      <c r="X246" s="14" t="s">
        <v>69</v>
      </c>
      <c r="AE246" t="s">
        <v>243</v>
      </c>
      <c r="AF246" t="s">
        <v>52</v>
      </c>
      <c r="AG246" t="s">
        <v>3</v>
      </c>
    </row>
    <row r="247" spans="1:33" ht="14" x14ac:dyDescent="0.15">
      <c r="A247" s="4" t="s">
        <v>746</v>
      </c>
      <c r="B247" s="4" t="s">
        <v>152</v>
      </c>
      <c r="C247" s="4" t="s">
        <v>747</v>
      </c>
      <c r="D247" s="6">
        <v>35</v>
      </c>
      <c r="E247" s="6">
        <v>2</v>
      </c>
      <c r="F247" s="4" t="s">
        <v>1714</v>
      </c>
      <c r="G247" s="4" t="s">
        <v>1618</v>
      </c>
      <c r="H247" s="4" t="b">
        <v>0</v>
      </c>
      <c r="I247" s="4"/>
      <c r="J247" s="4" t="b">
        <v>0</v>
      </c>
      <c r="K247" s="4" t="s">
        <v>1600</v>
      </c>
      <c r="L247" s="5">
        <v>35</v>
      </c>
      <c r="M247" s="5">
        <v>35</v>
      </c>
      <c r="N247" s="5"/>
      <c r="O247" s="5"/>
      <c r="P247" s="5" t="s">
        <v>1708</v>
      </c>
      <c r="Q247" s="5"/>
      <c r="R247" s="5" t="s">
        <v>1709</v>
      </c>
      <c r="S247" s="5"/>
      <c r="T247" s="5"/>
      <c r="U247" s="5"/>
      <c r="V247" s="5"/>
      <c r="W247" s="5" t="s">
        <v>1619</v>
      </c>
      <c r="X247" s="14" t="s">
        <v>69</v>
      </c>
      <c r="AE247" t="s">
        <v>243</v>
      </c>
      <c r="AF247" t="s">
        <v>52</v>
      </c>
      <c r="AG247" t="s">
        <v>3</v>
      </c>
    </row>
    <row r="248" spans="1:33" ht="14" x14ac:dyDescent="0.15">
      <c r="A248" s="4" t="s">
        <v>748</v>
      </c>
      <c r="B248" s="4" t="s">
        <v>152</v>
      </c>
      <c r="C248" s="4" t="s">
        <v>749</v>
      </c>
      <c r="D248" s="6">
        <v>50</v>
      </c>
      <c r="E248" s="6">
        <v>2</v>
      </c>
      <c r="F248" s="4" t="s">
        <v>1714</v>
      </c>
      <c r="G248" s="4" t="s">
        <v>1618</v>
      </c>
      <c r="H248" s="4" t="b">
        <v>0</v>
      </c>
      <c r="I248" s="4"/>
      <c r="J248" s="4" t="b">
        <v>0</v>
      </c>
      <c r="K248" s="4" t="s">
        <v>1600</v>
      </c>
      <c r="L248" s="5">
        <v>50</v>
      </c>
      <c r="M248" s="5">
        <v>50</v>
      </c>
      <c r="N248" s="5"/>
      <c r="O248" s="5"/>
      <c r="P248" s="5" t="s">
        <v>1708</v>
      </c>
      <c r="Q248" s="5"/>
      <c r="R248" s="5" t="s">
        <v>1709</v>
      </c>
      <c r="S248" s="5"/>
      <c r="T248" s="5"/>
      <c r="U248" s="5"/>
      <c r="V248" s="5"/>
      <c r="W248" s="5" t="s">
        <v>1619</v>
      </c>
      <c r="X248" s="14" t="s">
        <v>69</v>
      </c>
      <c r="AE248" t="s">
        <v>243</v>
      </c>
      <c r="AF248" t="s">
        <v>52</v>
      </c>
      <c r="AG248" t="s">
        <v>3</v>
      </c>
    </row>
    <row r="249" spans="1:33" ht="14" x14ac:dyDescent="0.15">
      <c r="A249" s="4" t="s">
        <v>750</v>
      </c>
      <c r="B249" s="4" t="s">
        <v>152</v>
      </c>
      <c r="C249" s="4" t="s">
        <v>751</v>
      </c>
      <c r="D249" s="6">
        <v>75</v>
      </c>
      <c r="E249" s="6">
        <v>2</v>
      </c>
      <c r="F249" s="4" t="s">
        <v>1714</v>
      </c>
      <c r="G249" s="4" t="s">
        <v>1618</v>
      </c>
      <c r="H249" s="4" t="b">
        <v>0</v>
      </c>
      <c r="I249" s="4"/>
      <c r="J249" s="4" t="b">
        <v>0</v>
      </c>
      <c r="K249" s="4" t="s">
        <v>1600</v>
      </c>
      <c r="L249" s="5">
        <v>75</v>
      </c>
      <c r="M249" s="5">
        <v>75</v>
      </c>
      <c r="N249" s="5"/>
      <c r="O249" s="5"/>
      <c r="P249" s="5" t="s">
        <v>1708</v>
      </c>
      <c r="Q249" s="5"/>
      <c r="R249" s="5" t="s">
        <v>1709</v>
      </c>
      <c r="S249" s="5"/>
      <c r="T249" s="5"/>
      <c r="U249" s="5"/>
      <c r="V249" s="5"/>
      <c r="W249" s="5" t="s">
        <v>1619</v>
      </c>
      <c r="X249" s="14" t="s">
        <v>69</v>
      </c>
      <c r="AE249" t="s">
        <v>243</v>
      </c>
      <c r="AF249" t="s">
        <v>52</v>
      </c>
      <c r="AG249" t="s">
        <v>3</v>
      </c>
    </row>
    <row r="250" spans="1:33" ht="14" x14ac:dyDescent="0.15">
      <c r="A250" s="4" t="s">
        <v>752</v>
      </c>
      <c r="B250" s="4" t="s">
        <v>152</v>
      </c>
      <c r="C250" s="4" t="s">
        <v>753</v>
      </c>
      <c r="D250" s="6">
        <v>100</v>
      </c>
      <c r="E250" s="6">
        <v>2</v>
      </c>
      <c r="F250" s="4" t="s">
        <v>1714</v>
      </c>
      <c r="G250" s="4" t="s">
        <v>1618</v>
      </c>
      <c r="H250" s="4" t="b">
        <v>0</v>
      </c>
      <c r="I250" s="4"/>
      <c r="J250" s="4" t="b">
        <v>0</v>
      </c>
      <c r="K250" s="4" t="s">
        <v>1600</v>
      </c>
      <c r="L250" s="5">
        <v>100</v>
      </c>
      <c r="M250" s="5">
        <v>100</v>
      </c>
      <c r="N250" s="5"/>
      <c r="O250" s="5"/>
      <c r="P250" s="5" t="s">
        <v>1708</v>
      </c>
      <c r="Q250" s="5"/>
      <c r="R250" s="5" t="s">
        <v>1709</v>
      </c>
      <c r="S250" s="5"/>
      <c r="T250" s="5"/>
      <c r="U250" s="5"/>
      <c r="V250" s="5"/>
      <c r="W250" s="5" t="s">
        <v>1619</v>
      </c>
      <c r="X250" s="14" t="s">
        <v>69</v>
      </c>
      <c r="AE250" t="s">
        <v>243</v>
      </c>
      <c r="AF250" t="s">
        <v>52</v>
      </c>
      <c r="AG250" t="s">
        <v>3</v>
      </c>
    </row>
    <row r="251" spans="1:33" ht="14" x14ac:dyDescent="0.15">
      <c r="A251" s="4" t="s">
        <v>754</v>
      </c>
      <c r="B251" s="4" t="s">
        <v>152</v>
      </c>
      <c r="C251" s="4" t="s">
        <v>755</v>
      </c>
      <c r="D251" s="6">
        <v>135</v>
      </c>
      <c r="E251" s="6">
        <v>2</v>
      </c>
      <c r="F251" s="4" t="s">
        <v>1714</v>
      </c>
      <c r="G251" s="4" t="s">
        <v>1618</v>
      </c>
      <c r="H251" s="4" t="b">
        <v>0</v>
      </c>
      <c r="I251" s="4"/>
      <c r="J251" s="4" t="b">
        <v>0</v>
      </c>
      <c r="K251" s="4" t="s">
        <v>1600</v>
      </c>
      <c r="L251" s="5">
        <v>135</v>
      </c>
      <c r="M251" s="5">
        <v>135</v>
      </c>
      <c r="N251" s="5"/>
      <c r="O251" s="5"/>
      <c r="P251" s="5" t="s">
        <v>1708</v>
      </c>
      <c r="Q251" s="5"/>
      <c r="R251" s="5" t="s">
        <v>1709</v>
      </c>
      <c r="S251" s="5"/>
      <c r="T251" s="5"/>
      <c r="U251" s="5"/>
      <c r="V251" s="5"/>
      <c r="W251" s="5" t="s">
        <v>1619</v>
      </c>
      <c r="X251" s="14" t="s">
        <v>69</v>
      </c>
      <c r="AE251" t="s">
        <v>243</v>
      </c>
      <c r="AF251" t="s">
        <v>52</v>
      </c>
      <c r="AG251" t="s">
        <v>3</v>
      </c>
    </row>
    <row r="252" spans="1:33" ht="14" x14ac:dyDescent="0.15">
      <c r="A252" s="4" t="s">
        <v>756</v>
      </c>
      <c r="B252" s="4" t="s">
        <v>152</v>
      </c>
      <c r="C252" s="4" t="s">
        <v>757</v>
      </c>
      <c r="D252" s="6">
        <v>35</v>
      </c>
      <c r="E252" s="6">
        <v>2.8</v>
      </c>
      <c r="F252" s="4" t="s">
        <v>1711</v>
      </c>
      <c r="G252" s="4" t="s">
        <v>1618</v>
      </c>
      <c r="H252" s="4" t="b">
        <v>1</v>
      </c>
      <c r="I252" s="4"/>
      <c r="J252" s="4" t="b">
        <v>0</v>
      </c>
      <c r="K252" s="4" t="s">
        <v>1600</v>
      </c>
      <c r="L252" s="5">
        <v>35</v>
      </c>
      <c r="M252" s="5">
        <v>35</v>
      </c>
      <c r="N252" s="5"/>
      <c r="O252" s="5"/>
      <c r="P252" s="5" t="s">
        <v>1708</v>
      </c>
      <c r="Q252" s="5"/>
      <c r="R252" s="5" t="s">
        <v>1718</v>
      </c>
      <c r="S252" s="5"/>
      <c r="T252" s="5"/>
      <c r="U252" s="5"/>
      <c r="V252" s="5"/>
      <c r="W252" s="5" t="s">
        <v>1619</v>
      </c>
      <c r="X252" s="14" t="s">
        <v>69</v>
      </c>
      <c r="AE252" t="s">
        <v>243</v>
      </c>
      <c r="AF252" t="s">
        <v>52</v>
      </c>
      <c r="AG252" t="s">
        <v>3</v>
      </c>
    </row>
    <row r="253" spans="1:33" ht="14" x14ac:dyDescent="0.15">
      <c r="A253" s="4" t="s">
        <v>758</v>
      </c>
      <c r="B253" s="4" t="s">
        <v>152</v>
      </c>
      <c r="C253" s="4" t="s">
        <v>759</v>
      </c>
      <c r="D253" s="6">
        <v>40</v>
      </c>
      <c r="E253" s="6">
        <v>2.8</v>
      </c>
      <c r="F253" s="4" t="s">
        <v>1711</v>
      </c>
      <c r="G253" s="4" t="s">
        <v>1618</v>
      </c>
      <c r="H253" s="4" t="b">
        <v>1</v>
      </c>
      <c r="I253" s="4"/>
      <c r="J253" s="4" t="b">
        <v>0</v>
      </c>
      <c r="K253" s="4" t="s">
        <v>1600</v>
      </c>
      <c r="L253" s="5">
        <v>40</v>
      </c>
      <c r="M253" s="5">
        <v>40</v>
      </c>
      <c r="N253" s="5"/>
      <c r="O253" s="5"/>
      <c r="P253" s="5" t="s">
        <v>1708</v>
      </c>
      <c r="Q253" s="5"/>
      <c r="R253" s="5" t="s">
        <v>1718</v>
      </c>
      <c r="S253" s="5"/>
      <c r="T253" s="5"/>
      <c r="U253" s="5"/>
      <c r="V253" s="5"/>
      <c r="W253" s="5" t="s">
        <v>1619</v>
      </c>
      <c r="X253" s="14" t="s">
        <v>69</v>
      </c>
      <c r="AE253" t="s">
        <v>243</v>
      </c>
      <c r="AF253" t="s">
        <v>52</v>
      </c>
      <c r="AG253" t="s">
        <v>3</v>
      </c>
    </row>
    <row r="254" spans="1:33" ht="14" x14ac:dyDescent="0.15">
      <c r="A254" s="4" t="s">
        <v>760</v>
      </c>
      <c r="B254" s="4" t="s">
        <v>152</v>
      </c>
      <c r="C254" s="4" t="s">
        <v>761</v>
      </c>
      <c r="D254" s="6">
        <v>50</v>
      </c>
      <c r="E254" s="6">
        <v>2.8</v>
      </c>
      <c r="F254" s="4" t="s">
        <v>1711</v>
      </c>
      <c r="G254" s="4" t="s">
        <v>1618</v>
      </c>
      <c r="H254" s="4" t="b">
        <v>1</v>
      </c>
      <c r="I254" s="4"/>
      <c r="J254" s="4" t="b">
        <v>0</v>
      </c>
      <c r="K254" s="4" t="s">
        <v>1600</v>
      </c>
      <c r="L254" s="5">
        <v>50</v>
      </c>
      <c r="M254" s="5">
        <v>50</v>
      </c>
      <c r="N254" s="5"/>
      <c r="O254" s="5"/>
      <c r="P254" s="5" t="s">
        <v>1708</v>
      </c>
      <c r="Q254" s="5"/>
      <c r="R254" s="5" t="s">
        <v>1718</v>
      </c>
      <c r="S254" s="5"/>
      <c r="T254" s="5"/>
      <c r="U254" s="5"/>
      <c r="V254" s="5"/>
      <c r="W254" s="5" t="s">
        <v>1619</v>
      </c>
      <c r="X254" s="14" t="s">
        <v>69</v>
      </c>
      <c r="AE254" t="s">
        <v>243</v>
      </c>
      <c r="AF254" t="s">
        <v>52</v>
      </c>
      <c r="AG254" t="s">
        <v>3</v>
      </c>
    </row>
    <row r="255" spans="1:33" ht="14" x14ac:dyDescent="0.15">
      <c r="A255" s="4" t="s">
        <v>762</v>
      </c>
      <c r="B255" s="4" t="s">
        <v>152</v>
      </c>
      <c r="C255" s="4" t="s">
        <v>763</v>
      </c>
      <c r="D255" s="6">
        <v>75</v>
      </c>
      <c r="E255" s="6">
        <v>2.8</v>
      </c>
      <c r="F255" s="4" t="s">
        <v>1711</v>
      </c>
      <c r="G255" s="4" t="s">
        <v>1618</v>
      </c>
      <c r="H255" s="4" t="b">
        <v>1</v>
      </c>
      <c r="I255" s="4"/>
      <c r="J255" s="4" t="b">
        <v>0</v>
      </c>
      <c r="K255" s="4" t="s">
        <v>1600</v>
      </c>
      <c r="L255" s="5">
        <v>75</v>
      </c>
      <c r="M255" s="5">
        <v>75</v>
      </c>
      <c r="N255" s="5"/>
      <c r="O255" s="5"/>
      <c r="P255" s="5" t="s">
        <v>1708</v>
      </c>
      <c r="Q255" s="5"/>
      <c r="R255" s="5" t="s">
        <v>1718</v>
      </c>
      <c r="S255" s="5"/>
      <c r="T255" s="5"/>
      <c r="U255" s="5"/>
      <c r="V255" s="5"/>
      <c r="W255" s="5" t="s">
        <v>1619</v>
      </c>
      <c r="X255" s="14" t="s">
        <v>69</v>
      </c>
      <c r="AE255" t="s">
        <v>243</v>
      </c>
      <c r="AF255" t="s">
        <v>52</v>
      </c>
      <c r="AG255" t="s">
        <v>3</v>
      </c>
    </row>
    <row r="256" spans="1:33" ht="28" x14ac:dyDescent="0.15">
      <c r="A256" s="4" t="s">
        <v>764</v>
      </c>
      <c r="B256" s="4" t="s">
        <v>152</v>
      </c>
      <c r="C256" s="4" t="s">
        <v>765</v>
      </c>
      <c r="D256" s="6">
        <v>100</v>
      </c>
      <c r="E256" s="6">
        <v>2.8</v>
      </c>
      <c r="F256" s="4" t="s">
        <v>1711</v>
      </c>
      <c r="G256" s="4" t="s">
        <v>1618</v>
      </c>
      <c r="H256" s="4" t="b">
        <v>1</v>
      </c>
      <c r="I256" s="4"/>
      <c r="J256" s="4" t="b">
        <v>0</v>
      </c>
      <c r="K256" s="4" t="s">
        <v>1600</v>
      </c>
      <c r="L256" s="5">
        <v>100</v>
      </c>
      <c r="M256" s="5">
        <v>100</v>
      </c>
      <c r="N256" s="5"/>
      <c r="O256" s="5"/>
      <c r="P256" s="5" t="s">
        <v>1708</v>
      </c>
      <c r="Q256" s="5"/>
      <c r="R256" s="5" t="s">
        <v>1718</v>
      </c>
      <c r="S256" s="5"/>
      <c r="T256" s="5"/>
      <c r="U256" s="5"/>
      <c r="V256" s="5"/>
      <c r="W256" s="5" t="s">
        <v>1619</v>
      </c>
      <c r="X256" s="14" t="s">
        <v>69</v>
      </c>
      <c r="AE256" t="s">
        <v>243</v>
      </c>
      <c r="AF256" t="s">
        <v>52</v>
      </c>
      <c r="AG256" t="s">
        <v>3</v>
      </c>
    </row>
    <row r="257" spans="1:33" ht="28" x14ac:dyDescent="0.15">
      <c r="A257" s="4" t="s">
        <v>766</v>
      </c>
      <c r="B257" s="4" t="s">
        <v>152</v>
      </c>
      <c r="C257" s="4" t="s">
        <v>767</v>
      </c>
      <c r="D257" s="6">
        <v>135</v>
      </c>
      <c r="E257" s="6">
        <v>2.8</v>
      </c>
      <c r="F257" s="4" t="s">
        <v>1711</v>
      </c>
      <c r="G257" s="4" t="s">
        <v>1618</v>
      </c>
      <c r="H257" s="4" t="b">
        <v>1</v>
      </c>
      <c r="I257" s="4"/>
      <c r="J257" s="4" t="b">
        <v>0</v>
      </c>
      <c r="K257" s="4" t="s">
        <v>1600</v>
      </c>
      <c r="L257" s="5">
        <v>135</v>
      </c>
      <c r="M257" s="5">
        <v>135</v>
      </c>
      <c r="N257" s="5"/>
      <c r="O257" s="5"/>
      <c r="P257" s="5" t="s">
        <v>1708</v>
      </c>
      <c r="Q257" s="5"/>
      <c r="R257" s="5" t="s">
        <v>1718</v>
      </c>
      <c r="S257" s="5"/>
      <c r="T257" s="5"/>
      <c r="U257" s="5"/>
      <c r="V257" s="5"/>
      <c r="W257" s="5" t="s">
        <v>1619</v>
      </c>
      <c r="X257" s="14" t="s">
        <v>69</v>
      </c>
      <c r="AE257" t="s">
        <v>243</v>
      </c>
      <c r="AF257" t="s">
        <v>52</v>
      </c>
      <c r="AG257" t="s">
        <v>3</v>
      </c>
    </row>
    <row r="258" spans="1:33" ht="28" x14ac:dyDescent="0.15">
      <c r="A258" s="4" t="s">
        <v>768</v>
      </c>
      <c r="B258" s="4" t="s">
        <v>152</v>
      </c>
      <c r="C258" s="4" t="s">
        <v>769</v>
      </c>
      <c r="D258" s="6">
        <v>180</v>
      </c>
      <c r="E258" s="6">
        <v>2.8</v>
      </c>
      <c r="F258" s="4" t="s">
        <v>1711</v>
      </c>
      <c r="G258" s="4" t="s">
        <v>1618</v>
      </c>
      <c r="H258" s="4" t="b">
        <v>1</v>
      </c>
      <c r="I258" s="4"/>
      <c r="J258" s="4" t="b">
        <v>0</v>
      </c>
      <c r="K258" s="4" t="s">
        <v>1600</v>
      </c>
      <c r="L258" s="5">
        <v>180</v>
      </c>
      <c r="M258" s="5">
        <v>180</v>
      </c>
      <c r="N258" s="5"/>
      <c r="O258" s="5"/>
      <c r="P258" s="5" t="s">
        <v>1708</v>
      </c>
      <c r="Q258" s="5"/>
      <c r="R258" s="5" t="s">
        <v>1718</v>
      </c>
      <c r="S258" s="5"/>
      <c r="T258" s="5"/>
      <c r="U258" s="5"/>
      <c r="V258" s="5"/>
      <c r="W258" s="5" t="s">
        <v>1619</v>
      </c>
      <c r="X258" s="14" t="s">
        <v>69</v>
      </c>
      <c r="AE258" t="s">
        <v>243</v>
      </c>
      <c r="AF258" t="s">
        <v>52</v>
      </c>
      <c r="AG258" t="s">
        <v>3</v>
      </c>
    </row>
    <row r="259" spans="1:33" ht="14" x14ac:dyDescent="0.15">
      <c r="A259" s="4" t="s">
        <v>770</v>
      </c>
      <c r="B259" s="4" t="s">
        <v>152</v>
      </c>
      <c r="C259" s="4" t="s">
        <v>771</v>
      </c>
      <c r="D259" s="6">
        <v>27</v>
      </c>
      <c r="E259" s="6">
        <v>2.2999999999999998</v>
      </c>
      <c r="F259" s="4" t="s">
        <v>1711</v>
      </c>
      <c r="G259" s="4" t="s">
        <v>1618</v>
      </c>
      <c r="H259" s="4" t="b">
        <v>1</v>
      </c>
      <c r="I259" s="4"/>
      <c r="J259" s="4" t="b">
        <v>0</v>
      </c>
      <c r="K259" s="4" t="s">
        <v>1600</v>
      </c>
      <c r="L259" s="5">
        <v>27</v>
      </c>
      <c r="M259" s="5">
        <v>27</v>
      </c>
      <c r="N259" s="5"/>
      <c r="O259" s="5"/>
      <c r="P259" s="5" t="s">
        <v>1708</v>
      </c>
      <c r="Q259" s="5"/>
      <c r="R259" s="5" t="s">
        <v>1718</v>
      </c>
      <c r="S259" s="5"/>
      <c r="T259" s="5"/>
      <c r="U259" s="5"/>
      <c r="V259" s="5"/>
      <c r="W259" s="5" t="s">
        <v>1619</v>
      </c>
      <c r="X259" s="14" t="s">
        <v>69</v>
      </c>
      <c r="AE259" t="s">
        <v>243</v>
      </c>
      <c r="AF259" t="s">
        <v>52</v>
      </c>
      <c r="AG259" t="s">
        <v>3</v>
      </c>
    </row>
    <row r="260" spans="1:33" ht="14" x14ac:dyDescent="0.15">
      <c r="A260" s="4" t="s">
        <v>772</v>
      </c>
      <c r="B260" s="4" t="s">
        <v>152</v>
      </c>
      <c r="C260" s="4" t="s">
        <v>773</v>
      </c>
      <c r="D260" s="6">
        <v>35</v>
      </c>
      <c r="E260" s="6">
        <v>2.2999999999999998</v>
      </c>
      <c r="F260" s="4" t="s">
        <v>1711</v>
      </c>
      <c r="G260" s="4" t="s">
        <v>1618</v>
      </c>
      <c r="H260" s="4" t="b">
        <v>1</v>
      </c>
      <c r="I260" s="4"/>
      <c r="J260" s="4" t="b">
        <v>0</v>
      </c>
      <c r="K260" s="4" t="s">
        <v>1600</v>
      </c>
      <c r="L260" s="5">
        <v>35</v>
      </c>
      <c r="M260" s="5">
        <v>35</v>
      </c>
      <c r="N260" s="5"/>
      <c r="O260" s="5"/>
      <c r="P260" s="5" t="s">
        <v>1708</v>
      </c>
      <c r="Q260" s="5"/>
      <c r="R260" s="5" t="s">
        <v>1718</v>
      </c>
      <c r="S260" s="5"/>
      <c r="T260" s="5"/>
      <c r="U260" s="5"/>
      <c r="V260" s="5"/>
      <c r="W260" s="5" t="s">
        <v>1619</v>
      </c>
      <c r="X260" s="14" t="s">
        <v>69</v>
      </c>
      <c r="AE260" t="s">
        <v>243</v>
      </c>
      <c r="AF260" t="s">
        <v>52</v>
      </c>
      <c r="AG260" t="s">
        <v>3</v>
      </c>
    </row>
    <row r="261" spans="1:33" ht="14" x14ac:dyDescent="0.15">
      <c r="A261" s="4" t="s">
        <v>774</v>
      </c>
      <c r="B261" s="4" t="s">
        <v>152</v>
      </c>
      <c r="C261" s="4" t="s">
        <v>775</v>
      </c>
      <c r="D261" s="6">
        <v>40</v>
      </c>
      <c r="E261" s="6">
        <v>2.2999999999999998</v>
      </c>
      <c r="F261" s="4" t="s">
        <v>1711</v>
      </c>
      <c r="G261" s="4" t="s">
        <v>1618</v>
      </c>
      <c r="H261" s="4" t="b">
        <v>1</v>
      </c>
      <c r="I261" s="4"/>
      <c r="J261" s="4" t="b">
        <v>0</v>
      </c>
      <c r="K261" s="4" t="s">
        <v>1600</v>
      </c>
      <c r="L261" s="5">
        <v>40</v>
      </c>
      <c r="M261" s="5">
        <v>40</v>
      </c>
      <c r="N261" s="5"/>
      <c r="O261" s="5"/>
      <c r="P261" s="5" t="s">
        <v>1708</v>
      </c>
      <c r="Q261" s="5"/>
      <c r="R261" s="5" t="s">
        <v>1718</v>
      </c>
      <c r="S261" s="5"/>
      <c r="T261" s="5"/>
      <c r="U261" s="5"/>
      <c r="V261" s="5"/>
      <c r="W261" s="5" t="s">
        <v>1619</v>
      </c>
      <c r="X261" s="14" t="s">
        <v>69</v>
      </c>
      <c r="AE261" t="s">
        <v>243</v>
      </c>
      <c r="AF261" t="s">
        <v>52</v>
      </c>
      <c r="AG261" t="s">
        <v>3</v>
      </c>
    </row>
    <row r="262" spans="1:33" ht="14" x14ac:dyDescent="0.15">
      <c r="A262" s="4" t="s">
        <v>776</v>
      </c>
      <c r="B262" s="4" t="s">
        <v>152</v>
      </c>
      <c r="C262" s="4" t="s">
        <v>777</v>
      </c>
      <c r="D262" s="6">
        <v>50</v>
      </c>
      <c r="E262" s="6">
        <v>2.2999999999999998</v>
      </c>
      <c r="F262" s="4" t="s">
        <v>1711</v>
      </c>
      <c r="G262" s="4" t="s">
        <v>1618</v>
      </c>
      <c r="H262" s="4" t="b">
        <v>1</v>
      </c>
      <c r="I262" s="4"/>
      <c r="J262" s="4" t="b">
        <v>0</v>
      </c>
      <c r="K262" s="4" t="s">
        <v>1600</v>
      </c>
      <c r="L262" s="5">
        <v>50</v>
      </c>
      <c r="M262" s="5">
        <v>50</v>
      </c>
      <c r="N262" s="5"/>
      <c r="O262" s="5"/>
      <c r="P262" s="5" t="s">
        <v>1708</v>
      </c>
      <c r="Q262" s="5"/>
      <c r="R262" s="5" t="s">
        <v>1718</v>
      </c>
      <c r="S262" s="5"/>
      <c r="T262" s="5"/>
      <c r="U262" s="5"/>
      <c r="V262" s="5"/>
      <c r="W262" s="5" t="s">
        <v>1619</v>
      </c>
      <c r="X262" s="14" t="s">
        <v>69</v>
      </c>
      <c r="AE262" t="s">
        <v>243</v>
      </c>
      <c r="AF262" t="s">
        <v>52</v>
      </c>
      <c r="AG262" t="s">
        <v>3</v>
      </c>
    </row>
    <row r="263" spans="1:33" ht="14" x14ac:dyDescent="0.15">
      <c r="A263" s="4" t="s">
        <v>778</v>
      </c>
      <c r="B263" s="4" t="s">
        <v>152</v>
      </c>
      <c r="C263" s="4" t="s">
        <v>779</v>
      </c>
      <c r="D263" s="6">
        <v>75</v>
      </c>
      <c r="E263" s="6">
        <v>2.2999999999999998</v>
      </c>
      <c r="F263" s="4" t="s">
        <v>1711</v>
      </c>
      <c r="G263" s="4" t="s">
        <v>1618</v>
      </c>
      <c r="H263" s="4" t="b">
        <v>1</v>
      </c>
      <c r="I263" s="4"/>
      <c r="J263" s="4" t="b">
        <v>0</v>
      </c>
      <c r="K263" s="4" t="s">
        <v>1600</v>
      </c>
      <c r="L263" s="5">
        <v>75</v>
      </c>
      <c r="M263" s="5">
        <v>75</v>
      </c>
      <c r="N263" s="5"/>
      <c r="O263" s="5"/>
      <c r="P263" s="5" t="s">
        <v>1708</v>
      </c>
      <c r="Q263" s="5"/>
      <c r="R263" s="5" t="s">
        <v>1718</v>
      </c>
      <c r="S263" s="5"/>
      <c r="T263" s="5"/>
      <c r="U263" s="5"/>
      <c r="V263" s="5"/>
      <c r="W263" s="5" t="s">
        <v>1619</v>
      </c>
      <c r="X263" s="14" t="s">
        <v>69</v>
      </c>
      <c r="AE263" t="s">
        <v>243</v>
      </c>
      <c r="AF263" t="s">
        <v>52</v>
      </c>
      <c r="AG263" t="s">
        <v>3</v>
      </c>
    </row>
    <row r="264" spans="1:33" ht="28" x14ac:dyDescent="0.15">
      <c r="A264" s="4" t="s">
        <v>780</v>
      </c>
      <c r="B264" s="4" t="s">
        <v>152</v>
      </c>
      <c r="C264" s="4" t="s">
        <v>781</v>
      </c>
      <c r="D264" s="6">
        <v>100</v>
      </c>
      <c r="E264" s="6">
        <v>2.2999999999999998</v>
      </c>
      <c r="F264" s="4" t="s">
        <v>1711</v>
      </c>
      <c r="G264" s="4" t="s">
        <v>1618</v>
      </c>
      <c r="H264" s="4" t="b">
        <v>1</v>
      </c>
      <c r="I264" s="4"/>
      <c r="J264" s="4" t="b">
        <v>0</v>
      </c>
      <c r="K264" s="4" t="s">
        <v>1600</v>
      </c>
      <c r="L264" s="5">
        <v>100</v>
      </c>
      <c r="M264" s="5">
        <v>100</v>
      </c>
      <c r="N264" s="5"/>
      <c r="O264" s="5"/>
      <c r="P264" s="5" t="s">
        <v>1708</v>
      </c>
      <c r="Q264" s="5"/>
      <c r="R264" s="5" t="s">
        <v>1718</v>
      </c>
      <c r="S264" s="5"/>
      <c r="T264" s="5"/>
      <c r="U264" s="5"/>
      <c r="V264" s="5"/>
      <c r="W264" s="5" t="s">
        <v>1619</v>
      </c>
      <c r="X264" s="14" t="s">
        <v>69</v>
      </c>
      <c r="AE264" t="s">
        <v>243</v>
      </c>
      <c r="AF264" t="s">
        <v>52</v>
      </c>
      <c r="AG264" t="s">
        <v>3</v>
      </c>
    </row>
    <row r="265" spans="1:33" ht="14" x14ac:dyDescent="0.15">
      <c r="A265" s="4" t="s">
        <v>782</v>
      </c>
      <c r="B265" s="4" t="s">
        <v>783</v>
      </c>
      <c r="C265" s="4" t="s">
        <v>784</v>
      </c>
      <c r="D265" s="6">
        <v>18</v>
      </c>
      <c r="E265" s="6">
        <v>2.8</v>
      </c>
      <c r="F265" s="4" t="s">
        <v>1711</v>
      </c>
      <c r="G265" s="4" t="s">
        <v>1618</v>
      </c>
      <c r="H265" s="4" t="b">
        <v>1</v>
      </c>
      <c r="I265" s="4" t="s">
        <v>1742</v>
      </c>
      <c r="J265" s="4" t="b">
        <v>0</v>
      </c>
      <c r="K265" s="4" t="s">
        <v>1600</v>
      </c>
      <c r="L265" s="5">
        <v>18</v>
      </c>
      <c r="M265" s="5">
        <v>18</v>
      </c>
      <c r="N265" s="5"/>
      <c r="O265" s="5"/>
      <c r="P265" s="5" t="s">
        <v>1708</v>
      </c>
      <c r="Q265" s="5"/>
      <c r="R265" s="5" t="s">
        <v>1718</v>
      </c>
      <c r="S265" s="5"/>
      <c r="T265" s="5"/>
      <c r="U265" s="5"/>
      <c r="V265" s="5"/>
      <c r="W265" s="5" t="s">
        <v>1619</v>
      </c>
      <c r="X265" s="14" t="s">
        <v>69</v>
      </c>
      <c r="AE265" t="s">
        <v>243</v>
      </c>
      <c r="AF265" t="s">
        <v>52</v>
      </c>
      <c r="AG265" t="s">
        <v>3</v>
      </c>
    </row>
    <row r="266" spans="1:33" ht="14" x14ac:dyDescent="0.15">
      <c r="A266" s="4" t="s">
        <v>785</v>
      </c>
      <c r="B266" s="4" t="s">
        <v>783</v>
      </c>
      <c r="C266" s="4" t="s">
        <v>786</v>
      </c>
      <c r="D266" s="6">
        <v>25</v>
      </c>
      <c r="E266" s="6">
        <v>2.8</v>
      </c>
      <c r="F266" s="4" t="s">
        <v>1711</v>
      </c>
      <c r="G266" s="4" t="s">
        <v>1618</v>
      </c>
      <c r="H266" s="4" t="b">
        <v>1</v>
      </c>
      <c r="I266" s="4" t="s">
        <v>1742</v>
      </c>
      <c r="J266" s="4" t="b">
        <v>0</v>
      </c>
      <c r="K266" s="4" t="s">
        <v>1600</v>
      </c>
      <c r="L266" s="5">
        <v>25</v>
      </c>
      <c r="M266" s="5">
        <v>25</v>
      </c>
      <c r="N266" s="5"/>
      <c r="O266" s="5"/>
      <c r="P266" s="5" t="s">
        <v>1708</v>
      </c>
      <c r="Q266" s="5"/>
      <c r="R266" s="5" t="s">
        <v>1718</v>
      </c>
      <c r="S266" s="5"/>
      <c r="T266" s="5"/>
      <c r="U266" s="5"/>
      <c r="V266" s="5"/>
      <c r="W266" s="5" t="s">
        <v>1619</v>
      </c>
      <c r="X266" s="14" t="s">
        <v>69</v>
      </c>
      <c r="AE266" t="s">
        <v>243</v>
      </c>
      <c r="AF266" t="s">
        <v>52</v>
      </c>
      <c r="AG266" t="s">
        <v>3</v>
      </c>
    </row>
    <row r="267" spans="1:33" ht="14" x14ac:dyDescent="0.15">
      <c r="A267" s="4" t="s">
        <v>787</v>
      </c>
      <c r="B267" s="4" t="s">
        <v>783</v>
      </c>
      <c r="C267" s="4" t="s">
        <v>788</v>
      </c>
      <c r="D267" s="6">
        <v>32</v>
      </c>
      <c r="E267" s="6">
        <v>2.8</v>
      </c>
      <c r="F267" s="4" t="s">
        <v>1711</v>
      </c>
      <c r="G267" s="4" t="s">
        <v>1618</v>
      </c>
      <c r="H267" s="4" t="b">
        <v>1</v>
      </c>
      <c r="I267" s="4" t="s">
        <v>1742</v>
      </c>
      <c r="J267" s="4" t="b">
        <v>0</v>
      </c>
      <c r="K267" s="4" t="s">
        <v>1600</v>
      </c>
      <c r="L267" s="5">
        <v>32</v>
      </c>
      <c r="M267" s="5">
        <v>32</v>
      </c>
      <c r="N267" s="5"/>
      <c r="O267" s="5"/>
      <c r="P267" s="5" t="s">
        <v>1708</v>
      </c>
      <c r="Q267" s="5"/>
      <c r="R267" s="5" t="s">
        <v>1718</v>
      </c>
      <c r="S267" s="5"/>
      <c r="T267" s="5"/>
      <c r="U267" s="5"/>
      <c r="V267" s="5"/>
      <c r="W267" s="5" t="s">
        <v>1619</v>
      </c>
      <c r="X267" s="14" t="s">
        <v>69</v>
      </c>
      <c r="AE267" t="s">
        <v>243</v>
      </c>
      <c r="AF267" t="s">
        <v>52</v>
      </c>
      <c r="AG267" t="s">
        <v>3</v>
      </c>
    </row>
    <row r="268" spans="1:33" ht="14" x14ac:dyDescent="0.15">
      <c r="A268" s="4" t="s">
        <v>789</v>
      </c>
      <c r="B268" s="4" t="s">
        <v>783</v>
      </c>
      <c r="C268" s="4" t="s">
        <v>790</v>
      </c>
      <c r="D268" s="6">
        <v>50</v>
      </c>
      <c r="E268" s="6">
        <v>2.8</v>
      </c>
      <c r="F268" s="4" t="s">
        <v>1711</v>
      </c>
      <c r="G268" s="4" t="s">
        <v>1618</v>
      </c>
      <c r="H268" s="4" t="b">
        <v>1</v>
      </c>
      <c r="I268" s="4" t="s">
        <v>1742</v>
      </c>
      <c r="J268" s="4" t="b">
        <v>0</v>
      </c>
      <c r="K268" s="4" t="s">
        <v>1600</v>
      </c>
      <c r="L268" s="5">
        <v>50</v>
      </c>
      <c r="M268" s="5">
        <v>50</v>
      </c>
      <c r="N268" s="5"/>
      <c r="O268" s="5"/>
      <c r="P268" s="5" t="s">
        <v>1708</v>
      </c>
      <c r="Q268" s="5"/>
      <c r="R268" s="5" t="s">
        <v>1718</v>
      </c>
      <c r="S268" s="5"/>
      <c r="T268" s="5"/>
      <c r="U268" s="5"/>
      <c r="V268" s="5"/>
      <c r="W268" s="5" t="s">
        <v>1619</v>
      </c>
      <c r="X268" s="14" t="s">
        <v>69</v>
      </c>
      <c r="AE268" t="s">
        <v>243</v>
      </c>
      <c r="AF268" t="s">
        <v>52</v>
      </c>
      <c r="AG268" t="s">
        <v>3</v>
      </c>
    </row>
    <row r="269" spans="1:33" ht="14" x14ac:dyDescent="0.15">
      <c r="A269" s="4" t="s">
        <v>791</v>
      </c>
      <c r="B269" s="4" t="s">
        <v>783</v>
      </c>
      <c r="C269" s="4" t="s">
        <v>792</v>
      </c>
      <c r="D269" s="6">
        <v>75</v>
      </c>
      <c r="E269" s="6">
        <v>2.8</v>
      </c>
      <c r="F269" s="4" t="s">
        <v>1711</v>
      </c>
      <c r="G269" s="4" t="s">
        <v>1618</v>
      </c>
      <c r="H269" s="4" t="b">
        <v>1</v>
      </c>
      <c r="I269" s="4" t="s">
        <v>1742</v>
      </c>
      <c r="J269" s="4" t="b">
        <v>0</v>
      </c>
      <c r="K269" s="4" t="s">
        <v>1600</v>
      </c>
      <c r="L269" s="5">
        <v>75</v>
      </c>
      <c r="M269" s="5">
        <v>75</v>
      </c>
      <c r="N269" s="5"/>
      <c r="O269" s="5"/>
      <c r="P269" s="5" t="s">
        <v>1708</v>
      </c>
      <c r="Q269" s="5"/>
      <c r="R269" s="5" t="s">
        <v>1718</v>
      </c>
      <c r="S269" s="5"/>
      <c r="T269" s="5"/>
      <c r="U269" s="5"/>
      <c r="V269" s="5"/>
      <c r="W269" s="5" t="s">
        <v>1619</v>
      </c>
      <c r="X269" s="14" t="s">
        <v>69</v>
      </c>
      <c r="AE269" t="s">
        <v>243</v>
      </c>
      <c r="AF269" t="s">
        <v>52</v>
      </c>
      <c r="AG269" t="s">
        <v>3</v>
      </c>
    </row>
    <row r="270" spans="1:33" ht="14" x14ac:dyDescent="0.15">
      <c r="A270" s="4" t="s">
        <v>793</v>
      </c>
      <c r="B270" s="4" t="s">
        <v>794</v>
      </c>
      <c r="C270" s="4" t="s">
        <v>795</v>
      </c>
      <c r="D270" s="6">
        <v>18</v>
      </c>
      <c r="E270" s="6">
        <v>2</v>
      </c>
      <c r="F270" s="4" t="s">
        <v>1714</v>
      </c>
      <c r="G270" s="4" t="s">
        <v>1618</v>
      </c>
      <c r="H270" s="4" t="b">
        <v>0</v>
      </c>
      <c r="I270" s="4"/>
      <c r="J270" s="4" t="b">
        <v>0</v>
      </c>
      <c r="K270" s="4" t="s">
        <v>1600</v>
      </c>
      <c r="L270" s="5">
        <v>18</v>
      </c>
      <c r="M270" s="5">
        <v>18</v>
      </c>
      <c r="N270" s="5"/>
      <c r="O270" s="5"/>
      <c r="P270" s="5" t="s">
        <v>1708</v>
      </c>
      <c r="Q270" s="5"/>
      <c r="R270" s="5" t="s">
        <v>1709</v>
      </c>
      <c r="S270" s="5"/>
      <c r="T270" s="5"/>
      <c r="U270" s="5"/>
      <c r="V270" s="5"/>
      <c r="W270" s="5" t="s">
        <v>1619</v>
      </c>
      <c r="X270" s="14" t="s">
        <v>69</v>
      </c>
      <c r="AE270" t="s">
        <v>243</v>
      </c>
      <c r="AF270" t="s">
        <v>52</v>
      </c>
      <c r="AG270" t="s">
        <v>3</v>
      </c>
    </row>
    <row r="271" spans="1:33" ht="14" x14ac:dyDescent="0.15">
      <c r="A271" s="4" t="s">
        <v>796</v>
      </c>
      <c r="B271" s="4" t="s">
        <v>794</v>
      </c>
      <c r="C271" s="4" t="s">
        <v>797</v>
      </c>
      <c r="D271" s="6">
        <v>25</v>
      </c>
      <c r="E271" s="6">
        <v>2</v>
      </c>
      <c r="F271" s="4" t="s">
        <v>1714</v>
      </c>
      <c r="G271" s="4" t="s">
        <v>1618</v>
      </c>
      <c r="H271" s="4" t="b">
        <v>0</v>
      </c>
      <c r="I271" s="4"/>
      <c r="J271" s="4" t="b">
        <v>0</v>
      </c>
      <c r="K271" s="4" t="s">
        <v>1600</v>
      </c>
      <c r="L271" s="5">
        <v>25</v>
      </c>
      <c r="M271" s="5">
        <v>25</v>
      </c>
      <c r="N271" s="5"/>
      <c r="O271" s="5"/>
      <c r="P271" s="5" t="s">
        <v>1708</v>
      </c>
      <c r="Q271" s="5"/>
      <c r="R271" s="5" t="s">
        <v>1709</v>
      </c>
      <c r="S271" s="5"/>
      <c r="T271" s="5"/>
      <c r="U271" s="5"/>
      <c r="V271" s="5"/>
      <c r="W271" s="5" t="s">
        <v>1619</v>
      </c>
      <c r="X271" s="14" t="s">
        <v>69</v>
      </c>
      <c r="AE271" t="s">
        <v>243</v>
      </c>
      <c r="AF271" t="s">
        <v>52</v>
      </c>
      <c r="AG271" t="s">
        <v>3</v>
      </c>
    </row>
    <row r="272" spans="1:33" ht="14" x14ac:dyDescent="0.15">
      <c r="A272" s="4" t="s">
        <v>798</v>
      </c>
      <c r="B272" s="4" t="s">
        <v>794</v>
      </c>
      <c r="C272" s="4" t="s">
        <v>799</v>
      </c>
      <c r="D272" s="6">
        <v>35</v>
      </c>
      <c r="E272" s="6">
        <v>2</v>
      </c>
      <c r="F272" s="4" t="s">
        <v>1714</v>
      </c>
      <c r="G272" s="4" t="s">
        <v>1618</v>
      </c>
      <c r="H272" s="4" t="b">
        <v>0</v>
      </c>
      <c r="I272" s="4"/>
      <c r="J272" s="4" t="b">
        <v>0</v>
      </c>
      <c r="K272" s="4" t="s">
        <v>1600</v>
      </c>
      <c r="L272" s="5">
        <v>35</v>
      </c>
      <c r="M272" s="5">
        <v>35</v>
      </c>
      <c r="N272" s="5"/>
      <c r="O272" s="5"/>
      <c r="P272" s="5" t="s">
        <v>1708</v>
      </c>
      <c r="Q272" s="5"/>
      <c r="R272" s="5" t="s">
        <v>1709</v>
      </c>
      <c r="S272" s="5"/>
      <c r="T272" s="5"/>
      <c r="U272" s="5"/>
      <c r="V272" s="5"/>
      <c r="W272" s="5" t="s">
        <v>1619</v>
      </c>
      <c r="X272" s="14" t="s">
        <v>69</v>
      </c>
      <c r="AE272" t="s">
        <v>243</v>
      </c>
      <c r="AF272" t="s">
        <v>52</v>
      </c>
      <c r="AG272" t="s">
        <v>3</v>
      </c>
    </row>
    <row r="273" spans="1:33" ht="14" x14ac:dyDescent="0.15">
      <c r="A273" s="4" t="s">
        <v>800</v>
      </c>
      <c r="B273" s="4" t="s">
        <v>794</v>
      </c>
      <c r="C273" s="4" t="s">
        <v>801</v>
      </c>
      <c r="D273" s="6">
        <v>50</v>
      </c>
      <c r="E273" s="6">
        <v>2</v>
      </c>
      <c r="F273" s="4" t="s">
        <v>1714</v>
      </c>
      <c r="G273" s="4" t="s">
        <v>1618</v>
      </c>
      <c r="H273" s="4" t="b">
        <v>0</v>
      </c>
      <c r="I273" s="4"/>
      <c r="J273" s="4" t="b">
        <v>0</v>
      </c>
      <c r="K273" s="4" t="s">
        <v>1600</v>
      </c>
      <c r="L273" s="5">
        <v>50</v>
      </c>
      <c r="M273" s="5">
        <v>50</v>
      </c>
      <c r="N273" s="5"/>
      <c r="O273" s="5"/>
      <c r="P273" s="5" t="s">
        <v>1708</v>
      </c>
      <c r="Q273" s="5"/>
      <c r="R273" s="5" t="s">
        <v>1709</v>
      </c>
      <c r="S273" s="5"/>
      <c r="T273" s="5"/>
      <c r="U273" s="5"/>
      <c r="V273" s="5"/>
      <c r="W273" s="5" t="s">
        <v>1619</v>
      </c>
      <c r="X273" s="14" t="s">
        <v>69</v>
      </c>
      <c r="AE273" t="s">
        <v>243</v>
      </c>
      <c r="AF273" t="s">
        <v>52</v>
      </c>
      <c r="AG273" t="s">
        <v>3</v>
      </c>
    </row>
    <row r="274" spans="1:33" ht="14" x14ac:dyDescent="0.15">
      <c r="A274" s="4" t="s">
        <v>802</v>
      </c>
      <c r="B274" s="4" t="s">
        <v>794</v>
      </c>
      <c r="C274" s="4" t="s">
        <v>803</v>
      </c>
      <c r="D274" s="6">
        <v>75</v>
      </c>
      <c r="E274" s="6">
        <v>2</v>
      </c>
      <c r="F274" s="4" t="s">
        <v>1714</v>
      </c>
      <c r="G274" s="4" t="s">
        <v>1618</v>
      </c>
      <c r="H274" s="4" t="b">
        <v>0</v>
      </c>
      <c r="I274" s="4"/>
      <c r="J274" s="4" t="b">
        <v>0</v>
      </c>
      <c r="K274" s="4" t="s">
        <v>1600</v>
      </c>
      <c r="L274" s="5">
        <v>75</v>
      </c>
      <c r="M274" s="5">
        <v>75</v>
      </c>
      <c r="N274" s="5"/>
      <c r="O274" s="5"/>
      <c r="P274" s="5" t="s">
        <v>1708</v>
      </c>
      <c r="Q274" s="5"/>
      <c r="R274" s="5" t="s">
        <v>1709</v>
      </c>
      <c r="S274" s="5"/>
      <c r="T274" s="5"/>
      <c r="U274" s="5"/>
      <c r="V274" s="5"/>
      <c r="W274" s="5" t="s">
        <v>1619</v>
      </c>
      <c r="X274" s="14" t="s">
        <v>69</v>
      </c>
      <c r="AE274" t="s">
        <v>243</v>
      </c>
      <c r="AF274" t="s">
        <v>52</v>
      </c>
      <c r="AG274" t="s">
        <v>3</v>
      </c>
    </row>
    <row r="275" spans="1:33" ht="14" x14ac:dyDescent="0.15">
      <c r="A275" s="4" t="s">
        <v>804</v>
      </c>
      <c r="B275" s="4" t="s">
        <v>794</v>
      </c>
      <c r="C275" s="4" t="s">
        <v>805</v>
      </c>
      <c r="D275" s="6">
        <v>95</v>
      </c>
      <c r="E275" s="6">
        <v>2</v>
      </c>
      <c r="F275" s="4" t="s">
        <v>1714</v>
      </c>
      <c r="G275" s="4" t="s">
        <v>1618</v>
      </c>
      <c r="H275" s="4" t="b">
        <v>0</v>
      </c>
      <c r="I275" s="4"/>
      <c r="J275" s="4" t="b">
        <v>0</v>
      </c>
      <c r="K275" s="4" t="s">
        <v>1600</v>
      </c>
      <c r="L275" s="5">
        <v>95</v>
      </c>
      <c r="M275" s="5">
        <v>95</v>
      </c>
      <c r="N275" s="5"/>
      <c r="O275" s="5"/>
      <c r="P275" s="5" t="s">
        <v>1708</v>
      </c>
      <c r="Q275" s="5"/>
      <c r="R275" s="5" t="s">
        <v>1709</v>
      </c>
      <c r="S275" s="5"/>
      <c r="T275" s="5"/>
      <c r="U275" s="5"/>
      <c r="V275" s="5"/>
      <c r="W275" s="5" t="s">
        <v>1619</v>
      </c>
      <c r="X275" s="14" t="s">
        <v>69</v>
      </c>
      <c r="AE275" t="s">
        <v>243</v>
      </c>
      <c r="AF275" t="s">
        <v>52</v>
      </c>
      <c r="AG275" t="s">
        <v>3</v>
      </c>
    </row>
    <row r="276" spans="1:33" ht="14" x14ac:dyDescent="0.15">
      <c r="A276" s="4" t="s">
        <v>806</v>
      </c>
      <c r="B276" s="4" t="s">
        <v>794</v>
      </c>
      <c r="C276" s="4" t="s">
        <v>807</v>
      </c>
      <c r="D276" s="6">
        <v>18</v>
      </c>
      <c r="E276" s="6">
        <v>2</v>
      </c>
      <c r="F276" s="4" t="s">
        <v>1714</v>
      </c>
      <c r="G276" s="4" t="s">
        <v>1618</v>
      </c>
      <c r="H276" s="4" t="b">
        <v>0</v>
      </c>
      <c r="I276" s="4" t="s">
        <v>1743</v>
      </c>
      <c r="J276" s="4" t="b">
        <v>0</v>
      </c>
      <c r="K276" s="4" t="s">
        <v>1600</v>
      </c>
      <c r="L276" s="5">
        <v>18</v>
      </c>
      <c r="M276" s="5">
        <v>18</v>
      </c>
      <c r="N276" s="5"/>
      <c r="O276" s="5"/>
      <c r="P276" s="5" t="s">
        <v>1708</v>
      </c>
      <c r="Q276" s="5"/>
      <c r="R276" s="5" t="s">
        <v>1709</v>
      </c>
      <c r="S276" s="5"/>
      <c r="T276" s="5"/>
      <c r="U276" s="5"/>
      <c r="V276" s="5"/>
      <c r="W276" s="5" t="s">
        <v>1619</v>
      </c>
      <c r="X276" s="14" t="s">
        <v>69</v>
      </c>
      <c r="AE276" t="s">
        <v>243</v>
      </c>
      <c r="AF276" t="s">
        <v>52</v>
      </c>
      <c r="AG276" t="s">
        <v>3</v>
      </c>
    </row>
    <row r="277" spans="1:33" ht="14" x14ac:dyDescent="0.15">
      <c r="A277" s="4" t="s">
        <v>808</v>
      </c>
      <c r="B277" s="4" t="s">
        <v>794</v>
      </c>
      <c r="C277" s="4" t="s">
        <v>809</v>
      </c>
      <c r="D277" s="6">
        <v>21</v>
      </c>
      <c r="E277" s="6">
        <v>2</v>
      </c>
      <c r="F277" s="4" t="s">
        <v>1714</v>
      </c>
      <c r="G277" s="4" t="s">
        <v>1618</v>
      </c>
      <c r="H277" s="4" t="b">
        <v>0</v>
      </c>
      <c r="I277" s="4" t="s">
        <v>1743</v>
      </c>
      <c r="J277" s="4" t="b">
        <v>0</v>
      </c>
      <c r="K277" s="4" t="s">
        <v>1600</v>
      </c>
      <c r="L277" s="5">
        <v>21</v>
      </c>
      <c r="M277" s="5">
        <v>21</v>
      </c>
      <c r="N277" s="5"/>
      <c r="O277" s="5"/>
      <c r="P277" s="5" t="s">
        <v>1708</v>
      </c>
      <c r="Q277" s="5"/>
      <c r="R277" s="5" t="s">
        <v>1709</v>
      </c>
      <c r="S277" s="5"/>
      <c r="T277" s="5"/>
      <c r="U277" s="5"/>
      <c r="V277" s="5"/>
      <c r="W277" s="5" t="s">
        <v>1619</v>
      </c>
      <c r="X277" s="14" t="s">
        <v>69</v>
      </c>
      <c r="AE277" t="s">
        <v>243</v>
      </c>
      <c r="AF277" t="s">
        <v>52</v>
      </c>
      <c r="AG277" t="s">
        <v>3</v>
      </c>
    </row>
    <row r="278" spans="1:33" ht="14" x14ac:dyDescent="0.15">
      <c r="A278" s="4" t="s">
        <v>810</v>
      </c>
      <c r="B278" s="4" t="s">
        <v>794</v>
      </c>
      <c r="C278" s="4" t="s">
        <v>811</v>
      </c>
      <c r="D278" s="6">
        <v>25</v>
      </c>
      <c r="E278" s="6">
        <v>2</v>
      </c>
      <c r="F278" s="4" t="s">
        <v>1714</v>
      </c>
      <c r="G278" s="4" t="s">
        <v>1618</v>
      </c>
      <c r="H278" s="4" t="b">
        <v>0</v>
      </c>
      <c r="I278" s="4" t="s">
        <v>1743</v>
      </c>
      <c r="J278" s="4" t="b">
        <v>0</v>
      </c>
      <c r="K278" s="4" t="s">
        <v>1600</v>
      </c>
      <c r="L278" s="5">
        <v>25</v>
      </c>
      <c r="M278" s="5">
        <v>25</v>
      </c>
      <c r="N278" s="5"/>
      <c r="O278" s="5"/>
      <c r="P278" s="5" t="s">
        <v>1708</v>
      </c>
      <c r="Q278" s="5"/>
      <c r="R278" s="5" t="s">
        <v>1709</v>
      </c>
      <c r="S278" s="5"/>
      <c r="T278" s="5"/>
      <c r="U278" s="5"/>
      <c r="V278" s="5"/>
      <c r="W278" s="5" t="s">
        <v>1619</v>
      </c>
      <c r="X278" s="14" t="s">
        <v>69</v>
      </c>
      <c r="AE278" t="s">
        <v>243</v>
      </c>
      <c r="AF278" t="s">
        <v>52</v>
      </c>
      <c r="AG278" t="s">
        <v>3</v>
      </c>
    </row>
    <row r="279" spans="1:33" ht="14" x14ac:dyDescent="0.15">
      <c r="A279" s="4" t="s">
        <v>812</v>
      </c>
      <c r="B279" s="4" t="s">
        <v>794</v>
      </c>
      <c r="C279" s="4" t="s">
        <v>813</v>
      </c>
      <c r="D279" s="6">
        <v>29</v>
      </c>
      <c r="E279" s="6">
        <v>2</v>
      </c>
      <c r="F279" s="4" t="s">
        <v>1714</v>
      </c>
      <c r="G279" s="4" t="s">
        <v>1618</v>
      </c>
      <c r="H279" s="4" t="b">
        <v>0</v>
      </c>
      <c r="I279" s="4" t="s">
        <v>1743</v>
      </c>
      <c r="J279" s="4" t="b">
        <v>0</v>
      </c>
      <c r="K279" s="4" t="s">
        <v>1600</v>
      </c>
      <c r="L279" s="5">
        <v>29</v>
      </c>
      <c r="M279" s="5">
        <v>29</v>
      </c>
      <c r="N279" s="5"/>
      <c r="O279" s="5"/>
      <c r="P279" s="5" t="s">
        <v>1708</v>
      </c>
      <c r="Q279" s="5"/>
      <c r="R279" s="5" t="s">
        <v>1709</v>
      </c>
      <c r="S279" s="5"/>
      <c r="T279" s="5"/>
      <c r="U279" s="5"/>
      <c r="V279" s="5"/>
      <c r="W279" s="5" t="s">
        <v>1619</v>
      </c>
      <c r="X279" s="14" t="s">
        <v>69</v>
      </c>
      <c r="AE279" t="s">
        <v>243</v>
      </c>
      <c r="AF279" t="s">
        <v>52</v>
      </c>
      <c r="AG279" t="s">
        <v>3</v>
      </c>
    </row>
    <row r="280" spans="1:33" ht="14" x14ac:dyDescent="0.15">
      <c r="A280" s="4" t="s">
        <v>814</v>
      </c>
      <c r="B280" s="4" t="s">
        <v>794</v>
      </c>
      <c r="C280" s="4" t="s">
        <v>815</v>
      </c>
      <c r="D280" s="6">
        <v>35</v>
      </c>
      <c r="E280" s="6">
        <v>2</v>
      </c>
      <c r="F280" s="4" t="s">
        <v>1714</v>
      </c>
      <c r="G280" s="4" t="s">
        <v>1618</v>
      </c>
      <c r="H280" s="4" t="b">
        <v>0</v>
      </c>
      <c r="I280" s="4" t="s">
        <v>1743</v>
      </c>
      <c r="J280" s="4" t="b">
        <v>0</v>
      </c>
      <c r="K280" s="4" t="s">
        <v>1600</v>
      </c>
      <c r="L280" s="5">
        <v>35</v>
      </c>
      <c r="M280" s="5">
        <v>35</v>
      </c>
      <c r="N280" s="5"/>
      <c r="O280" s="5"/>
      <c r="P280" s="5" t="s">
        <v>1708</v>
      </c>
      <c r="Q280" s="5"/>
      <c r="R280" s="5" t="s">
        <v>1709</v>
      </c>
      <c r="S280" s="5"/>
      <c r="T280" s="5"/>
      <c r="U280" s="5"/>
      <c r="V280" s="5"/>
      <c r="W280" s="5" t="s">
        <v>1619</v>
      </c>
      <c r="X280" s="14" t="s">
        <v>69</v>
      </c>
      <c r="AE280" t="s">
        <v>243</v>
      </c>
      <c r="AF280" t="s">
        <v>52</v>
      </c>
      <c r="AG280" t="s">
        <v>3</v>
      </c>
    </row>
    <row r="281" spans="1:33" ht="14" x14ac:dyDescent="0.15">
      <c r="A281" s="4" t="s">
        <v>816</v>
      </c>
      <c r="B281" s="4" t="s">
        <v>794</v>
      </c>
      <c r="C281" s="4" t="s">
        <v>817</v>
      </c>
      <c r="D281" s="6">
        <v>50</v>
      </c>
      <c r="E281" s="6">
        <v>2</v>
      </c>
      <c r="F281" s="4" t="s">
        <v>1714</v>
      </c>
      <c r="G281" s="4" t="s">
        <v>1618</v>
      </c>
      <c r="H281" s="4" t="b">
        <v>0</v>
      </c>
      <c r="I281" s="4" t="s">
        <v>1743</v>
      </c>
      <c r="J281" s="4" t="b">
        <v>0</v>
      </c>
      <c r="K281" s="4" t="s">
        <v>1600</v>
      </c>
      <c r="L281" s="5">
        <v>50</v>
      </c>
      <c r="M281" s="5">
        <v>50</v>
      </c>
      <c r="N281" s="5"/>
      <c r="O281" s="5"/>
      <c r="P281" s="5" t="s">
        <v>1708</v>
      </c>
      <c r="Q281" s="5"/>
      <c r="R281" s="5" t="s">
        <v>1709</v>
      </c>
      <c r="S281" s="5"/>
      <c r="T281" s="5"/>
      <c r="U281" s="5"/>
      <c r="V281" s="5"/>
      <c r="W281" s="5" t="s">
        <v>1619</v>
      </c>
      <c r="X281" s="14" t="s">
        <v>69</v>
      </c>
      <c r="AE281" t="s">
        <v>243</v>
      </c>
      <c r="AF281" t="s">
        <v>52</v>
      </c>
      <c r="AG281" t="s">
        <v>3</v>
      </c>
    </row>
    <row r="282" spans="1:33" ht="14" x14ac:dyDescent="0.15">
      <c r="A282" s="4" t="s">
        <v>818</v>
      </c>
      <c r="B282" s="4" t="s">
        <v>794</v>
      </c>
      <c r="C282" s="4" t="s">
        <v>819</v>
      </c>
      <c r="D282" s="6">
        <v>75</v>
      </c>
      <c r="E282" s="6">
        <v>2</v>
      </c>
      <c r="F282" s="4" t="s">
        <v>1714</v>
      </c>
      <c r="G282" s="4" t="s">
        <v>1618</v>
      </c>
      <c r="H282" s="4" t="b">
        <v>0</v>
      </c>
      <c r="I282" s="4" t="s">
        <v>1743</v>
      </c>
      <c r="J282" s="4" t="b">
        <v>0</v>
      </c>
      <c r="K282" s="4" t="s">
        <v>1600</v>
      </c>
      <c r="L282" s="5">
        <v>75</v>
      </c>
      <c r="M282" s="5">
        <v>75</v>
      </c>
      <c r="N282" s="5"/>
      <c r="O282" s="5"/>
      <c r="P282" s="5" t="s">
        <v>1708</v>
      </c>
      <c r="Q282" s="5"/>
      <c r="R282" s="5" t="s">
        <v>1709</v>
      </c>
      <c r="S282" s="5"/>
      <c r="T282" s="5"/>
      <c r="U282" s="5"/>
      <c r="V282" s="5"/>
      <c r="W282" s="5" t="s">
        <v>1619</v>
      </c>
      <c r="X282" s="14" t="s">
        <v>69</v>
      </c>
      <c r="AE282" t="s">
        <v>243</v>
      </c>
      <c r="AF282" t="s">
        <v>52</v>
      </c>
      <c r="AG282" t="s">
        <v>3</v>
      </c>
    </row>
    <row r="283" spans="1:33" ht="14" x14ac:dyDescent="0.15">
      <c r="A283" s="4" t="s">
        <v>820</v>
      </c>
      <c r="B283" s="4" t="s">
        <v>794</v>
      </c>
      <c r="C283" s="4" t="s">
        <v>821</v>
      </c>
      <c r="D283" s="6">
        <v>100</v>
      </c>
      <c r="E283" s="6">
        <v>2</v>
      </c>
      <c r="F283" s="4" t="s">
        <v>1714</v>
      </c>
      <c r="G283" s="4" t="s">
        <v>1618</v>
      </c>
      <c r="H283" s="4" t="b">
        <v>0</v>
      </c>
      <c r="I283" s="4" t="s">
        <v>1743</v>
      </c>
      <c r="J283" s="4" t="b">
        <v>0</v>
      </c>
      <c r="K283" s="4" t="s">
        <v>1600</v>
      </c>
      <c r="L283" s="5">
        <v>100</v>
      </c>
      <c r="M283" s="5">
        <v>100</v>
      </c>
      <c r="N283" s="5"/>
      <c r="O283" s="5"/>
      <c r="P283" s="5" t="s">
        <v>1708</v>
      </c>
      <c r="Q283" s="5"/>
      <c r="R283" s="5" t="s">
        <v>1709</v>
      </c>
      <c r="S283" s="5"/>
      <c r="T283" s="5"/>
      <c r="U283" s="5"/>
      <c r="V283" s="5"/>
      <c r="W283" s="5" t="s">
        <v>1619</v>
      </c>
      <c r="X283" s="14" t="s">
        <v>69</v>
      </c>
      <c r="AE283" t="s">
        <v>243</v>
      </c>
      <c r="AF283" t="s">
        <v>52</v>
      </c>
      <c r="AG283" t="s">
        <v>3</v>
      </c>
    </row>
    <row r="284" spans="1:33" ht="14" x14ac:dyDescent="0.15">
      <c r="A284" s="4" t="s">
        <v>822</v>
      </c>
      <c r="B284" s="4" t="s">
        <v>794</v>
      </c>
      <c r="C284" s="4" t="s">
        <v>823</v>
      </c>
      <c r="D284" s="6">
        <v>135</v>
      </c>
      <c r="E284" s="6">
        <v>2</v>
      </c>
      <c r="F284" s="4" t="s">
        <v>1714</v>
      </c>
      <c r="G284" s="4" t="s">
        <v>1618</v>
      </c>
      <c r="H284" s="4" t="b">
        <v>0</v>
      </c>
      <c r="I284" s="4" t="s">
        <v>1743</v>
      </c>
      <c r="J284" s="4" t="b">
        <v>0</v>
      </c>
      <c r="K284" s="4" t="s">
        <v>1600</v>
      </c>
      <c r="L284" s="5">
        <v>135</v>
      </c>
      <c r="M284" s="5">
        <v>135</v>
      </c>
      <c r="N284" s="5"/>
      <c r="O284" s="5"/>
      <c r="P284" s="5" t="s">
        <v>1708</v>
      </c>
      <c r="Q284" s="5"/>
      <c r="R284" s="5" t="s">
        <v>1709</v>
      </c>
      <c r="S284" s="5"/>
      <c r="T284" s="5"/>
      <c r="U284" s="5"/>
      <c r="V284" s="5"/>
      <c r="W284" s="5" t="s">
        <v>1619</v>
      </c>
      <c r="X284" s="14" t="s">
        <v>69</v>
      </c>
      <c r="AE284" t="s">
        <v>243</v>
      </c>
      <c r="AF284" t="s">
        <v>52</v>
      </c>
      <c r="AG284" t="s">
        <v>3</v>
      </c>
    </row>
    <row r="285" spans="1:33" ht="14" x14ac:dyDescent="0.15">
      <c r="A285" s="4" t="s">
        <v>824</v>
      </c>
      <c r="B285" s="4" t="s">
        <v>825</v>
      </c>
      <c r="C285" s="4" t="s">
        <v>826</v>
      </c>
      <c r="D285" s="6">
        <v>14</v>
      </c>
      <c r="E285" s="6">
        <v>1.8</v>
      </c>
      <c r="F285" s="4" t="s">
        <v>1714</v>
      </c>
      <c r="G285" s="4" t="s">
        <v>1618</v>
      </c>
      <c r="H285" s="4" t="b">
        <v>0</v>
      </c>
      <c r="I285" s="4"/>
      <c r="J285" s="4" t="b">
        <v>0</v>
      </c>
      <c r="K285" s="4" t="s">
        <v>1600</v>
      </c>
      <c r="L285" s="5">
        <v>14</v>
      </c>
      <c r="M285" s="5">
        <v>14</v>
      </c>
      <c r="N285" s="5"/>
      <c r="O285" s="5"/>
      <c r="P285" s="5" t="s">
        <v>1708</v>
      </c>
      <c r="Q285" s="5"/>
      <c r="R285" s="5" t="s">
        <v>1709</v>
      </c>
      <c r="S285" s="5"/>
      <c r="T285" s="5"/>
      <c r="U285" s="5"/>
      <c r="V285" s="5"/>
      <c r="W285" s="5" t="s">
        <v>1619</v>
      </c>
      <c r="X285" s="14" t="s">
        <v>69</v>
      </c>
      <c r="AE285" t="s">
        <v>243</v>
      </c>
      <c r="AF285" t="s">
        <v>52</v>
      </c>
      <c r="AG285" t="s">
        <v>3</v>
      </c>
    </row>
    <row r="286" spans="1:33" ht="14" x14ac:dyDescent="0.15">
      <c r="A286" s="4" t="s">
        <v>827</v>
      </c>
      <c r="B286" s="4" t="s">
        <v>825</v>
      </c>
      <c r="C286" s="4" t="s">
        <v>828</v>
      </c>
      <c r="D286" s="6">
        <v>20</v>
      </c>
      <c r="E286" s="6">
        <v>1.8</v>
      </c>
      <c r="F286" s="4" t="s">
        <v>1714</v>
      </c>
      <c r="G286" s="4" t="s">
        <v>1618</v>
      </c>
      <c r="H286" s="4" t="b">
        <v>0</v>
      </c>
      <c r="I286" s="4"/>
      <c r="J286" s="4" t="b">
        <v>0</v>
      </c>
      <c r="K286" s="4" t="s">
        <v>1600</v>
      </c>
      <c r="L286" s="5">
        <v>20</v>
      </c>
      <c r="M286" s="5">
        <v>20</v>
      </c>
      <c r="N286" s="5"/>
      <c r="O286" s="5"/>
      <c r="P286" s="5" t="s">
        <v>1708</v>
      </c>
      <c r="Q286" s="5"/>
      <c r="R286" s="5" t="s">
        <v>1709</v>
      </c>
      <c r="S286" s="5"/>
      <c r="T286" s="5"/>
      <c r="U286" s="5"/>
      <c r="V286" s="5"/>
      <c r="W286" s="5" t="s">
        <v>1619</v>
      </c>
      <c r="X286" s="14" t="s">
        <v>69</v>
      </c>
      <c r="AE286" t="s">
        <v>243</v>
      </c>
      <c r="AF286" t="s">
        <v>52</v>
      </c>
      <c r="AG286" t="s">
        <v>3</v>
      </c>
    </row>
    <row r="287" spans="1:33" ht="14" x14ac:dyDescent="0.15">
      <c r="A287" s="4" t="s">
        <v>829</v>
      </c>
      <c r="B287" s="4" t="s">
        <v>825</v>
      </c>
      <c r="C287" s="4" t="s">
        <v>830</v>
      </c>
      <c r="D287" s="6">
        <v>24</v>
      </c>
      <c r="E287" s="6">
        <v>1.8</v>
      </c>
      <c r="F287" s="4" t="s">
        <v>1714</v>
      </c>
      <c r="G287" s="4" t="s">
        <v>1618</v>
      </c>
      <c r="H287" s="4" t="b">
        <v>0</v>
      </c>
      <c r="I287" s="4"/>
      <c r="J287" s="4" t="b">
        <v>0</v>
      </c>
      <c r="K287" s="4" t="s">
        <v>1600</v>
      </c>
      <c r="L287" s="5">
        <v>24</v>
      </c>
      <c r="M287" s="5">
        <v>24</v>
      </c>
      <c r="N287" s="5"/>
      <c r="O287" s="5"/>
      <c r="P287" s="5" t="s">
        <v>1708</v>
      </c>
      <c r="Q287" s="5"/>
      <c r="R287" s="5" t="s">
        <v>1709</v>
      </c>
      <c r="S287" s="5"/>
      <c r="T287" s="5"/>
      <c r="U287" s="5"/>
      <c r="V287" s="5"/>
      <c r="W287" s="5" t="s">
        <v>1619</v>
      </c>
      <c r="X287" s="14" t="s">
        <v>69</v>
      </c>
      <c r="AE287" t="s">
        <v>243</v>
      </c>
      <c r="AF287" t="s">
        <v>52</v>
      </c>
      <c r="AG287" t="s">
        <v>3</v>
      </c>
    </row>
    <row r="288" spans="1:33" ht="14" x14ac:dyDescent="0.15">
      <c r="A288" s="4" t="s">
        <v>831</v>
      </c>
      <c r="B288" s="4" t="s">
        <v>825</v>
      </c>
      <c r="C288" s="4" t="s">
        <v>832</v>
      </c>
      <c r="D288" s="6">
        <v>28</v>
      </c>
      <c r="E288" s="6">
        <v>1.8</v>
      </c>
      <c r="F288" s="4" t="s">
        <v>1714</v>
      </c>
      <c r="G288" s="4" t="s">
        <v>1618</v>
      </c>
      <c r="H288" s="4" t="b">
        <v>0</v>
      </c>
      <c r="I288" s="4"/>
      <c r="J288" s="4" t="b">
        <v>0</v>
      </c>
      <c r="K288" s="4" t="s">
        <v>1600</v>
      </c>
      <c r="L288" s="5">
        <v>28</v>
      </c>
      <c r="M288" s="5">
        <v>28</v>
      </c>
      <c r="N288" s="5"/>
      <c r="O288" s="5"/>
      <c r="P288" s="5" t="s">
        <v>1708</v>
      </c>
      <c r="Q288" s="5"/>
      <c r="R288" s="5" t="s">
        <v>1709</v>
      </c>
      <c r="S288" s="5"/>
      <c r="T288" s="5"/>
      <c r="U288" s="5"/>
      <c r="V288" s="5"/>
      <c r="W288" s="5" t="s">
        <v>1619</v>
      </c>
      <c r="X288" s="14" t="s">
        <v>69</v>
      </c>
      <c r="AE288" t="s">
        <v>243</v>
      </c>
      <c r="AF288" t="s">
        <v>52</v>
      </c>
      <c r="AG288" t="s">
        <v>3</v>
      </c>
    </row>
    <row r="289" spans="1:33" ht="14" x14ac:dyDescent="0.15">
      <c r="A289" s="4" t="s">
        <v>833</v>
      </c>
      <c r="B289" s="4" t="s">
        <v>825</v>
      </c>
      <c r="C289" s="4" t="s">
        <v>834</v>
      </c>
      <c r="D289" s="6">
        <v>35</v>
      </c>
      <c r="E289" s="6">
        <v>1.8</v>
      </c>
      <c r="F289" s="4" t="s">
        <v>1714</v>
      </c>
      <c r="G289" s="4" t="s">
        <v>1618</v>
      </c>
      <c r="H289" s="4" t="b">
        <v>0</v>
      </c>
      <c r="I289" s="4"/>
      <c r="J289" s="4" t="b">
        <v>0</v>
      </c>
      <c r="K289" s="4" t="s">
        <v>1600</v>
      </c>
      <c r="L289" s="5">
        <v>35</v>
      </c>
      <c r="M289" s="5">
        <v>35</v>
      </c>
      <c r="N289" s="5"/>
      <c r="O289" s="5"/>
      <c r="P289" s="5" t="s">
        <v>1708</v>
      </c>
      <c r="Q289" s="5"/>
      <c r="R289" s="5" t="s">
        <v>1709</v>
      </c>
      <c r="S289" s="5"/>
      <c r="T289" s="5"/>
      <c r="U289" s="5"/>
      <c r="V289" s="5"/>
      <c r="W289" s="5" t="s">
        <v>1619</v>
      </c>
      <c r="X289" s="14" t="s">
        <v>69</v>
      </c>
      <c r="AE289" t="s">
        <v>243</v>
      </c>
      <c r="AF289" t="s">
        <v>52</v>
      </c>
      <c r="AG289" t="s">
        <v>3</v>
      </c>
    </row>
    <row r="290" spans="1:33" ht="14" x14ac:dyDescent="0.15">
      <c r="A290" s="4" t="s">
        <v>835</v>
      </c>
      <c r="B290" s="4" t="s">
        <v>825</v>
      </c>
      <c r="C290" s="4" t="s">
        <v>836</v>
      </c>
      <c r="D290" s="6">
        <v>40</v>
      </c>
      <c r="E290" s="6">
        <v>1.8</v>
      </c>
      <c r="F290" s="4" t="s">
        <v>1714</v>
      </c>
      <c r="G290" s="4" t="s">
        <v>1618</v>
      </c>
      <c r="H290" s="4" t="b">
        <v>0</v>
      </c>
      <c r="I290" s="4"/>
      <c r="J290" s="4" t="b">
        <v>0</v>
      </c>
      <c r="K290" s="4" t="s">
        <v>1600</v>
      </c>
      <c r="L290" s="5">
        <v>40</v>
      </c>
      <c r="M290" s="5">
        <v>40</v>
      </c>
      <c r="N290" s="5"/>
      <c r="O290" s="5"/>
      <c r="P290" s="5" t="s">
        <v>1708</v>
      </c>
      <c r="Q290" s="5"/>
      <c r="R290" s="5" t="s">
        <v>1709</v>
      </c>
      <c r="S290" s="5"/>
      <c r="T290" s="5"/>
      <c r="U290" s="5"/>
      <c r="V290" s="5"/>
      <c r="W290" s="5" t="s">
        <v>1619</v>
      </c>
      <c r="X290" s="14" t="s">
        <v>69</v>
      </c>
      <c r="AE290" t="s">
        <v>243</v>
      </c>
      <c r="AF290" t="s">
        <v>52</v>
      </c>
      <c r="AG290" t="s">
        <v>3</v>
      </c>
    </row>
    <row r="291" spans="1:33" ht="14" x14ac:dyDescent="0.15">
      <c r="A291" s="4" t="s">
        <v>837</v>
      </c>
      <c r="B291" s="4" t="s">
        <v>825</v>
      </c>
      <c r="C291" s="4" t="s">
        <v>838</v>
      </c>
      <c r="D291" s="6">
        <v>50</v>
      </c>
      <c r="E291" s="6">
        <v>1.8</v>
      </c>
      <c r="F291" s="4" t="s">
        <v>1714</v>
      </c>
      <c r="G291" s="4" t="s">
        <v>1618</v>
      </c>
      <c r="H291" s="4" t="b">
        <v>0</v>
      </c>
      <c r="I291" s="4"/>
      <c r="J291" s="4" t="b">
        <v>0</v>
      </c>
      <c r="K291" s="4" t="s">
        <v>1600</v>
      </c>
      <c r="L291" s="5">
        <v>50</v>
      </c>
      <c r="M291" s="5">
        <v>50</v>
      </c>
      <c r="N291" s="5"/>
      <c r="O291" s="5"/>
      <c r="P291" s="5" t="s">
        <v>1708</v>
      </c>
      <c r="Q291" s="5"/>
      <c r="R291" s="5" t="s">
        <v>1709</v>
      </c>
      <c r="S291" s="5"/>
      <c r="T291" s="5"/>
      <c r="U291" s="5"/>
      <c r="V291" s="5"/>
      <c r="W291" s="5" t="s">
        <v>1619</v>
      </c>
      <c r="X291" s="14" t="s">
        <v>69</v>
      </c>
      <c r="AE291" t="s">
        <v>243</v>
      </c>
      <c r="AF291" t="s">
        <v>52</v>
      </c>
      <c r="AG291" t="s">
        <v>3</v>
      </c>
    </row>
    <row r="292" spans="1:33" ht="14" x14ac:dyDescent="0.15">
      <c r="A292" s="4" t="s">
        <v>839</v>
      </c>
      <c r="B292" s="4" t="s">
        <v>825</v>
      </c>
      <c r="C292" s="4" t="s">
        <v>840</v>
      </c>
      <c r="D292" s="6">
        <v>85</v>
      </c>
      <c r="E292" s="6">
        <v>1.8</v>
      </c>
      <c r="F292" s="4" t="s">
        <v>1714</v>
      </c>
      <c r="G292" s="4" t="s">
        <v>1618</v>
      </c>
      <c r="H292" s="4" t="b">
        <v>0</v>
      </c>
      <c r="I292" s="4"/>
      <c r="J292" s="4" t="b">
        <v>0</v>
      </c>
      <c r="K292" s="4" t="s">
        <v>1600</v>
      </c>
      <c r="L292" s="5">
        <v>85</v>
      </c>
      <c r="M292" s="5">
        <v>85</v>
      </c>
      <c r="N292" s="5"/>
      <c r="O292" s="5"/>
      <c r="P292" s="5" t="s">
        <v>1708</v>
      </c>
      <c r="Q292" s="5"/>
      <c r="R292" s="5" t="s">
        <v>1709</v>
      </c>
      <c r="S292" s="5"/>
      <c r="T292" s="5"/>
      <c r="U292" s="5"/>
      <c r="V292" s="5"/>
      <c r="W292" s="5" t="s">
        <v>1619</v>
      </c>
      <c r="X292" s="14" t="s">
        <v>69</v>
      </c>
      <c r="AE292" t="s">
        <v>243</v>
      </c>
      <c r="AF292" t="s">
        <v>52</v>
      </c>
      <c r="AG292" t="s">
        <v>3</v>
      </c>
    </row>
    <row r="293" spans="1:33" ht="14" x14ac:dyDescent="0.15">
      <c r="A293" s="4" t="s">
        <v>841</v>
      </c>
      <c r="B293" s="4" t="s">
        <v>825</v>
      </c>
      <c r="C293" s="4" t="s">
        <v>842</v>
      </c>
      <c r="D293" s="6">
        <v>105</v>
      </c>
      <c r="E293" s="6">
        <v>1.8</v>
      </c>
      <c r="F293" s="4" t="s">
        <v>1714</v>
      </c>
      <c r="G293" s="4" t="s">
        <v>1618</v>
      </c>
      <c r="H293" s="4" t="b">
        <v>0</v>
      </c>
      <c r="I293" s="4"/>
      <c r="J293" s="4" t="b">
        <v>0</v>
      </c>
      <c r="K293" s="4" t="s">
        <v>1600</v>
      </c>
      <c r="L293" s="5">
        <v>105</v>
      </c>
      <c r="M293" s="5">
        <v>105</v>
      </c>
      <c r="N293" s="5"/>
      <c r="O293" s="5"/>
      <c r="P293" s="5" t="s">
        <v>1708</v>
      </c>
      <c r="Q293" s="5"/>
      <c r="R293" s="5" t="s">
        <v>1709</v>
      </c>
      <c r="S293" s="5"/>
      <c r="T293" s="5"/>
      <c r="U293" s="5"/>
      <c r="V293" s="5"/>
      <c r="W293" s="5" t="s">
        <v>1619</v>
      </c>
      <c r="X293" s="14" t="s">
        <v>69</v>
      </c>
      <c r="AE293" t="s">
        <v>243</v>
      </c>
      <c r="AF293" t="s">
        <v>52</v>
      </c>
      <c r="AG293" t="s">
        <v>3</v>
      </c>
    </row>
    <row r="294" spans="1:33" ht="14" x14ac:dyDescent="0.15">
      <c r="A294" s="4" t="s">
        <v>843</v>
      </c>
      <c r="B294" s="4" t="s">
        <v>825</v>
      </c>
      <c r="C294" s="4" t="s">
        <v>844</v>
      </c>
      <c r="D294" s="6">
        <v>135</v>
      </c>
      <c r="E294" s="6">
        <v>1.8</v>
      </c>
      <c r="F294" s="4" t="s">
        <v>1714</v>
      </c>
      <c r="G294" s="4" t="s">
        <v>1618</v>
      </c>
      <c r="H294" s="4" t="b">
        <v>0</v>
      </c>
      <c r="I294" s="4"/>
      <c r="J294" s="4" t="b">
        <v>0</v>
      </c>
      <c r="K294" s="4" t="s">
        <v>1600</v>
      </c>
      <c r="L294" s="5">
        <v>135</v>
      </c>
      <c r="M294" s="5">
        <v>135</v>
      </c>
      <c r="N294" s="5"/>
      <c r="O294" s="5"/>
      <c r="P294" s="5" t="s">
        <v>1708</v>
      </c>
      <c r="Q294" s="5"/>
      <c r="R294" s="5" t="s">
        <v>1709</v>
      </c>
      <c r="S294" s="5"/>
      <c r="T294" s="5"/>
      <c r="U294" s="5"/>
      <c r="V294" s="5"/>
      <c r="W294" s="5" t="s">
        <v>1619</v>
      </c>
      <c r="X294" s="14" t="s">
        <v>69</v>
      </c>
      <c r="AE294" t="s">
        <v>243</v>
      </c>
      <c r="AF294" t="s">
        <v>52</v>
      </c>
      <c r="AG294" t="s">
        <v>3</v>
      </c>
    </row>
    <row r="295" spans="1:33" ht="14" x14ac:dyDescent="0.15">
      <c r="A295" s="4" t="s">
        <v>845</v>
      </c>
      <c r="B295" s="4" t="s">
        <v>825</v>
      </c>
      <c r="C295" s="4" t="s">
        <v>846</v>
      </c>
      <c r="D295" s="6">
        <v>14</v>
      </c>
      <c r="E295" s="6">
        <v>2.8</v>
      </c>
      <c r="F295" s="4" t="s">
        <v>1714</v>
      </c>
      <c r="G295" s="4" t="s">
        <v>1618</v>
      </c>
      <c r="H295" s="4" t="b">
        <v>0</v>
      </c>
      <c r="I295" s="4" t="s">
        <v>1744</v>
      </c>
      <c r="J295" s="4" t="b">
        <v>0</v>
      </c>
      <c r="K295" s="4" t="s">
        <v>1600</v>
      </c>
      <c r="L295" s="5">
        <v>14</v>
      </c>
      <c r="M295" s="5">
        <v>14</v>
      </c>
      <c r="N295" s="5"/>
      <c r="O295" s="5"/>
      <c r="P295" s="5" t="s">
        <v>1708</v>
      </c>
      <c r="Q295" s="5"/>
      <c r="R295" s="5" t="s">
        <v>1709</v>
      </c>
      <c r="S295" s="5"/>
      <c r="T295" s="5"/>
      <c r="U295" s="5"/>
      <c r="V295" s="5"/>
      <c r="W295" s="5" t="s">
        <v>1619</v>
      </c>
      <c r="X295" s="14" t="s">
        <v>69</v>
      </c>
      <c r="AE295" t="s">
        <v>243</v>
      </c>
      <c r="AF295" t="s">
        <v>52</v>
      </c>
      <c r="AG295" t="s">
        <v>3</v>
      </c>
    </row>
    <row r="296" spans="1:33" ht="14" x14ac:dyDescent="0.15">
      <c r="A296" s="4" t="s">
        <v>847</v>
      </c>
      <c r="B296" s="4" t="s">
        <v>825</v>
      </c>
      <c r="C296" s="4" t="s">
        <v>848</v>
      </c>
      <c r="D296" s="6">
        <v>20</v>
      </c>
      <c r="E296" s="6">
        <v>1.4</v>
      </c>
      <c r="F296" s="4" t="s">
        <v>1714</v>
      </c>
      <c r="G296" s="4" t="s">
        <v>1618</v>
      </c>
      <c r="H296" s="4" t="b">
        <v>0</v>
      </c>
      <c r="I296" s="4" t="s">
        <v>1744</v>
      </c>
      <c r="J296" s="4" t="b">
        <v>0</v>
      </c>
      <c r="K296" s="4" t="s">
        <v>1600</v>
      </c>
      <c r="L296" s="5">
        <v>20</v>
      </c>
      <c r="M296" s="5">
        <v>20</v>
      </c>
      <c r="N296" s="5"/>
      <c r="O296" s="5"/>
      <c r="P296" s="5" t="s">
        <v>1708</v>
      </c>
      <c r="Q296" s="5"/>
      <c r="R296" s="5" t="s">
        <v>1709</v>
      </c>
      <c r="S296" s="5"/>
      <c r="T296" s="5"/>
      <c r="U296" s="5"/>
      <c r="V296" s="5"/>
      <c r="W296" s="5" t="s">
        <v>1619</v>
      </c>
      <c r="X296" s="14" t="s">
        <v>69</v>
      </c>
      <c r="AE296" t="s">
        <v>243</v>
      </c>
      <c r="AF296" t="s">
        <v>52</v>
      </c>
      <c r="AG296" t="s">
        <v>3</v>
      </c>
    </row>
    <row r="297" spans="1:33" ht="14" x14ac:dyDescent="0.15">
      <c r="A297" s="4" t="s">
        <v>849</v>
      </c>
      <c r="B297" s="4" t="s">
        <v>825</v>
      </c>
      <c r="C297" s="4" t="s">
        <v>850</v>
      </c>
      <c r="D297" s="6">
        <v>24</v>
      </c>
      <c r="E297" s="6">
        <v>1.4</v>
      </c>
      <c r="F297" s="4" t="s">
        <v>1714</v>
      </c>
      <c r="G297" s="4" t="s">
        <v>1618</v>
      </c>
      <c r="H297" s="4" t="b">
        <v>0</v>
      </c>
      <c r="I297" s="4" t="s">
        <v>1744</v>
      </c>
      <c r="J297" s="4" t="b">
        <v>0</v>
      </c>
      <c r="K297" s="4" t="s">
        <v>1600</v>
      </c>
      <c r="L297" s="5">
        <v>24</v>
      </c>
      <c r="M297" s="5">
        <v>24</v>
      </c>
      <c r="N297" s="5"/>
      <c r="O297" s="5"/>
      <c r="P297" s="5" t="s">
        <v>1708</v>
      </c>
      <c r="Q297" s="5"/>
      <c r="R297" s="5" t="s">
        <v>1709</v>
      </c>
      <c r="S297" s="5"/>
      <c r="T297" s="5"/>
      <c r="U297" s="5"/>
      <c r="V297" s="5"/>
      <c r="W297" s="5" t="s">
        <v>1619</v>
      </c>
      <c r="X297" s="14" t="s">
        <v>69</v>
      </c>
      <c r="AE297" t="s">
        <v>243</v>
      </c>
      <c r="AF297" t="s">
        <v>52</v>
      </c>
      <c r="AG297" t="s">
        <v>3</v>
      </c>
    </row>
    <row r="298" spans="1:33" ht="14" x14ac:dyDescent="0.15">
      <c r="A298" s="4" t="s">
        <v>851</v>
      </c>
      <c r="B298" s="4" t="s">
        <v>825</v>
      </c>
      <c r="C298" s="4" t="s">
        <v>852</v>
      </c>
      <c r="D298" s="6">
        <v>28</v>
      </c>
      <c r="E298" s="6">
        <v>1.4</v>
      </c>
      <c r="F298" s="4" t="s">
        <v>1714</v>
      </c>
      <c r="G298" s="4" t="s">
        <v>1618</v>
      </c>
      <c r="H298" s="4" t="b">
        <v>0</v>
      </c>
      <c r="I298" s="4" t="s">
        <v>1744</v>
      </c>
      <c r="J298" s="4" t="b">
        <v>0</v>
      </c>
      <c r="K298" s="4" t="s">
        <v>1600</v>
      </c>
      <c r="L298" s="5">
        <v>28</v>
      </c>
      <c r="M298" s="5">
        <v>28</v>
      </c>
      <c r="N298" s="5"/>
      <c r="O298" s="5"/>
      <c r="P298" s="5" t="s">
        <v>1708</v>
      </c>
      <c r="Q298" s="5"/>
      <c r="R298" s="5" t="s">
        <v>1709</v>
      </c>
      <c r="S298" s="5"/>
      <c r="T298" s="5"/>
      <c r="U298" s="5"/>
      <c r="V298" s="5"/>
      <c r="W298" s="5" t="s">
        <v>1619</v>
      </c>
      <c r="X298" s="14" t="s">
        <v>69</v>
      </c>
      <c r="AE298" t="s">
        <v>243</v>
      </c>
      <c r="AF298" t="s">
        <v>52</v>
      </c>
      <c r="AG298" t="s">
        <v>3</v>
      </c>
    </row>
    <row r="299" spans="1:33" ht="14" x14ac:dyDescent="0.15">
      <c r="A299" s="4" t="s">
        <v>853</v>
      </c>
      <c r="B299" s="4" t="s">
        <v>825</v>
      </c>
      <c r="C299" s="4" t="s">
        <v>854</v>
      </c>
      <c r="D299" s="6">
        <v>35</v>
      </c>
      <c r="E299" s="6">
        <v>1.4</v>
      </c>
      <c r="F299" s="4" t="s">
        <v>1714</v>
      </c>
      <c r="G299" s="4" t="s">
        <v>1618</v>
      </c>
      <c r="H299" s="4" t="b">
        <v>0</v>
      </c>
      <c r="I299" s="4" t="s">
        <v>1744</v>
      </c>
      <c r="J299" s="4" t="b">
        <v>0</v>
      </c>
      <c r="K299" s="4" t="s">
        <v>1600</v>
      </c>
      <c r="L299" s="5">
        <v>35</v>
      </c>
      <c r="M299" s="5">
        <v>35</v>
      </c>
      <c r="N299" s="5"/>
      <c r="O299" s="5"/>
      <c r="P299" s="5" t="s">
        <v>1708</v>
      </c>
      <c r="Q299" s="5"/>
      <c r="R299" s="5" t="s">
        <v>1709</v>
      </c>
      <c r="S299" s="5"/>
      <c r="T299" s="5"/>
      <c r="U299" s="5"/>
      <c r="V299" s="5"/>
      <c r="W299" s="5" t="s">
        <v>1619</v>
      </c>
      <c r="X299" s="14" t="s">
        <v>69</v>
      </c>
      <c r="AE299" t="s">
        <v>243</v>
      </c>
      <c r="AF299" t="s">
        <v>52</v>
      </c>
      <c r="AG299" t="s">
        <v>3</v>
      </c>
    </row>
    <row r="300" spans="1:33" ht="14" x14ac:dyDescent="0.15">
      <c r="A300" s="4" t="s">
        <v>855</v>
      </c>
      <c r="B300" s="4" t="s">
        <v>825</v>
      </c>
      <c r="C300" s="4" t="s">
        <v>856</v>
      </c>
      <c r="D300" s="6">
        <v>40</v>
      </c>
      <c r="E300" s="6">
        <v>1.4</v>
      </c>
      <c r="F300" s="4" t="s">
        <v>1714</v>
      </c>
      <c r="G300" s="4" t="s">
        <v>1618</v>
      </c>
      <c r="H300" s="4" t="b">
        <v>0</v>
      </c>
      <c r="I300" s="4" t="s">
        <v>1744</v>
      </c>
      <c r="J300" s="4" t="b">
        <v>0</v>
      </c>
      <c r="K300" s="4" t="s">
        <v>1600</v>
      </c>
      <c r="L300" s="5">
        <v>40</v>
      </c>
      <c r="M300" s="5">
        <v>40</v>
      </c>
      <c r="N300" s="5"/>
      <c r="O300" s="5"/>
      <c r="P300" s="5" t="s">
        <v>1708</v>
      </c>
      <c r="Q300" s="5"/>
      <c r="R300" s="5" t="s">
        <v>1709</v>
      </c>
      <c r="S300" s="5"/>
      <c r="T300" s="5"/>
      <c r="U300" s="5"/>
      <c r="V300" s="5"/>
      <c r="W300" s="5" t="s">
        <v>1619</v>
      </c>
      <c r="X300" s="14" t="s">
        <v>69</v>
      </c>
      <c r="AE300" t="s">
        <v>243</v>
      </c>
      <c r="AF300" t="s">
        <v>52</v>
      </c>
      <c r="AG300" t="s">
        <v>3</v>
      </c>
    </row>
    <row r="301" spans="1:33" ht="14" x14ac:dyDescent="0.15">
      <c r="A301" s="4" t="s">
        <v>857</v>
      </c>
      <c r="B301" s="4" t="s">
        <v>825</v>
      </c>
      <c r="C301" s="4" t="s">
        <v>858</v>
      </c>
      <c r="D301" s="6">
        <v>50</v>
      </c>
      <c r="E301" s="6">
        <v>1.4</v>
      </c>
      <c r="F301" s="4" t="s">
        <v>1714</v>
      </c>
      <c r="G301" s="4" t="s">
        <v>1618</v>
      </c>
      <c r="H301" s="4" t="b">
        <v>0</v>
      </c>
      <c r="I301" s="4" t="s">
        <v>1744</v>
      </c>
      <c r="J301" s="4" t="b">
        <v>0</v>
      </c>
      <c r="K301" s="4" t="s">
        <v>1600</v>
      </c>
      <c r="L301" s="5">
        <v>50</v>
      </c>
      <c r="M301" s="5">
        <v>50</v>
      </c>
      <c r="N301" s="5"/>
      <c r="O301" s="5"/>
      <c r="P301" s="5" t="s">
        <v>1708</v>
      </c>
      <c r="Q301" s="5"/>
      <c r="R301" s="5" t="s">
        <v>1709</v>
      </c>
      <c r="S301" s="5"/>
      <c r="T301" s="5"/>
      <c r="U301" s="5"/>
      <c r="V301" s="5"/>
      <c r="W301" s="5" t="s">
        <v>1619</v>
      </c>
      <c r="X301" s="14" t="s">
        <v>69</v>
      </c>
      <c r="AE301" t="s">
        <v>243</v>
      </c>
      <c r="AF301" t="s">
        <v>52</v>
      </c>
      <c r="AG301" t="s">
        <v>3</v>
      </c>
    </row>
    <row r="302" spans="1:33" ht="14" x14ac:dyDescent="0.15">
      <c r="A302" s="4" t="s">
        <v>859</v>
      </c>
      <c r="B302" s="4" t="s">
        <v>825</v>
      </c>
      <c r="C302" s="4" t="s">
        <v>860</v>
      </c>
      <c r="D302" s="6">
        <v>85</v>
      </c>
      <c r="E302" s="6">
        <v>1.4</v>
      </c>
      <c r="F302" s="4" t="s">
        <v>1714</v>
      </c>
      <c r="G302" s="4" t="s">
        <v>1618</v>
      </c>
      <c r="H302" s="4" t="b">
        <v>0</v>
      </c>
      <c r="I302" s="4" t="s">
        <v>1744</v>
      </c>
      <c r="J302" s="4" t="b">
        <v>0</v>
      </c>
      <c r="K302" s="4" t="s">
        <v>1600</v>
      </c>
      <c r="L302" s="5">
        <v>85</v>
      </c>
      <c r="M302" s="5">
        <v>85</v>
      </c>
      <c r="N302" s="5"/>
      <c r="O302" s="5"/>
      <c r="P302" s="5" t="s">
        <v>1708</v>
      </c>
      <c r="Q302" s="5"/>
      <c r="R302" s="5" t="s">
        <v>1709</v>
      </c>
      <c r="S302" s="5"/>
      <c r="T302" s="5"/>
      <c r="U302" s="5"/>
      <c r="V302" s="5"/>
      <c r="W302" s="5" t="s">
        <v>1619</v>
      </c>
      <c r="X302" s="14" t="s">
        <v>69</v>
      </c>
      <c r="AE302" t="s">
        <v>243</v>
      </c>
      <c r="AF302" t="s">
        <v>52</v>
      </c>
      <c r="AG302" t="s">
        <v>3</v>
      </c>
    </row>
    <row r="303" spans="1:33" ht="14" x14ac:dyDescent="0.15">
      <c r="A303" s="4" t="s">
        <v>861</v>
      </c>
      <c r="B303" s="4" t="s">
        <v>825</v>
      </c>
      <c r="C303" s="4" t="s">
        <v>862</v>
      </c>
      <c r="D303" s="6">
        <v>105</v>
      </c>
      <c r="E303" s="6">
        <v>1.4</v>
      </c>
      <c r="F303" s="4" t="s">
        <v>1714</v>
      </c>
      <c r="G303" s="4" t="s">
        <v>1618</v>
      </c>
      <c r="H303" s="4" t="b">
        <v>0</v>
      </c>
      <c r="I303" s="4" t="s">
        <v>1744</v>
      </c>
      <c r="J303" s="4" t="b">
        <v>0</v>
      </c>
      <c r="K303" s="4" t="s">
        <v>1600</v>
      </c>
      <c r="L303" s="5">
        <v>105</v>
      </c>
      <c r="M303" s="5">
        <v>105</v>
      </c>
      <c r="N303" s="5"/>
      <c r="O303" s="5"/>
      <c r="P303" s="5" t="s">
        <v>1708</v>
      </c>
      <c r="Q303" s="5"/>
      <c r="R303" s="5" t="s">
        <v>1709</v>
      </c>
      <c r="S303" s="5"/>
      <c r="T303" s="5"/>
      <c r="U303" s="5"/>
      <c r="V303" s="5"/>
      <c r="W303" s="5" t="s">
        <v>1619</v>
      </c>
      <c r="X303" s="14" t="s">
        <v>69</v>
      </c>
      <c r="AE303" t="s">
        <v>243</v>
      </c>
      <c r="AF303" t="s">
        <v>52</v>
      </c>
      <c r="AG303" t="s">
        <v>3</v>
      </c>
    </row>
    <row r="304" spans="1:33" ht="14" x14ac:dyDescent="0.15">
      <c r="A304" s="4" t="s">
        <v>863</v>
      </c>
      <c r="B304" s="4" t="s">
        <v>825</v>
      </c>
      <c r="C304" s="4" t="s">
        <v>864</v>
      </c>
      <c r="D304" s="6">
        <v>135</v>
      </c>
      <c r="E304" s="6">
        <v>1.4</v>
      </c>
      <c r="F304" s="4" t="s">
        <v>1714</v>
      </c>
      <c r="G304" s="4" t="s">
        <v>1618</v>
      </c>
      <c r="H304" s="4" t="b">
        <v>0</v>
      </c>
      <c r="I304" s="4" t="s">
        <v>1744</v>
      </c>
      <c r="J304" s="4" t="b">
        <v>0</v>
      </c>
      <c r="K304" s="4" t="s">
        <v>1600</v>
      </c>
      <c r="L304" s="5">
        <v>135</v>
      </c>
      <c r="M304" s="5">
        <v>135</v>
      </c>
      <c r="N304" s="5"/>
      <c r="O304" s="5"/>
      <c r="P304" s="5" t="s">
        <v>1708</v>
      </c>
      <c r="Q304" s="5"/>
      <c r="R304" s="5" t="s">
        <v>1709</v>
      </c>
      <c r="S304" s="5"/>
      <c r="T304" s="5"/>
      <c r="U304" s="5"/>
      <c r="V304" s="5"/>
      <c r="W304" s="5" t="s">
        <v>1619</v>
      </c>
      <c r="X304" s="14" t="s">
        <v>69</v>
      </c>
      <c r="AE304" t="s">
        <v>243</v>
      </c>
      <c r="AF304" t="s">
        <v>52</v>
      </c>
      <c r="AG304" t="s">
        <v>3</v>
      </c>
    </row>
    <row r="305" spans="1:33" ht="14" x14ac:dyDescent="0.15">
      <c r="A305" s="4" t="s">
        <v>865</v>
      </c>
      <c r="B305" s="4" t="s">
        <v>183</v>
      </c>
      <c r="C305" s="4" t="s">
        <v>866</v>
      </c>
      <c r="D305" s="6">
        <v>0</v>
      </c>
      <c r="E305" s="6">
        <v>3.5</v>
      </c>
      <c r="F305" s="4" t="s">
        <v>1711</v>
      </c>
      <c r="G305" s="4" t="s">
        <v>1618</v>
      </c>
      <c r="H305" s="4" t="b">
        <v>0</v>
      </c>
      <c r="I305" s="4"/>
      <c r="J305" s="4" t="b">
        <v>0</v>
      </c>
      <c r="K305" s="4" t="s">
        <v>1600</v>
      </c>
      <c r="L305" s="5">
        <v>24</v>
      </c>
      <c r="M305" s="5">
        <v>480</v>
      </c>
      <c r="N305" s="5"/>
      <c r="O305" s="5"/>
      <c r="P305" s="5" t="s">
        <v>1708</v>
      </c>
      <c r="Q305" s="5"/>
      <c r="R305" s="5" t="s">
        <v>1709</v>
      </c>
      <c r="S305" s="5"/>
      <c r="T305" s="5"/>
      <c r="U305" s="5"/>
      <c r="V305" s="5"/>
      <c r="W305" s="5" t="s">
        <v>1619</v>
      </c>
      <c r="X305" s="14" t="s">
        <v>69</v>
      </c>
      <c r="AE305" t="s">
        <v>243</v>
      </c>
      <c r="AF305" t="s">
        <v>52</v>
      </c>
      <c r="AG305" t="s">
        <v>3</v>
      </c>
    </row>
    <row r="306" spans="1:33" ht="14" x14ac:dyDescent="0.15">
      <c r="A306" s="4" t="s">
        <v>867</v>
      </c>
      <c r="B306" s="4" t="s">
        <v>868</v>
      </c>
      <c r="C306" s="4" t="s">
        <v>869</v>
      </c>
      <c r="D306" s="6">
        <v>25</v>
      </c>
      <c r="E306" s="6">
        <v>2.8</v>
      </c>
      <c r="F306" s="4" t="s">
        <v>1711</v>
      </c>
      <c r="G306" s="4" t="s">
        <v>1618</v>
      </c>
      <c r="H306" s="4" t="b">
        <v>0</v>
      </c>
      <c r="I306" s="4"/>
      <c r="J306" s="4" t="b">
        <v>0</v>
      </c>
      <c r="K306" s="4" t="s">
        <v>1600</v>
      </c>
      <c r="L306" s="5">
        <v>25</v>
      </c>
      <c r="M306" s="5">
        <v>25</v>
      </c>
      <c r="N306" s="5"/>
      <c r="O306" s="5"/>
      <c r="P306" s="5" t="s">
        <v>1708</v>
      </c>
      <c r="Q306" s="5"/>
      <c r="R306" s="5" t="s">
        <v>1709</v>
      </c>
      <c r="S306" s="5"/>
      <c r="T306" s="5"/>
      <c r="U306" s="5"/>
      <c r="V306" s="5"/>
      <c r="W306" s="5" t="s">
        <v>1619</v>
      </c>
      <c r="X306" s="14" t="s">
        <v>69</v>
      </c>
      <c r="AE306" t="s">
        <v>243</v>
      </c>
      <c r="AF306" t="s">
        <v>52</v>
      </c>
      <c r="AG306" t="s">
        <v>3</v>
      </c>
    </row>
    <row r="307" spans="1:33" ht="14" x14ac:dyDescent="0.15">
      <c r="A307" s="4" t="s">
        <v>870</v>
      </c>
      <c r="B307" s="4" t="s">
        <v>868</v>
      </c>
      <c r="C307" s="4" t="s">
        <v>871</v>
      </c>
      <c r="D307" s="6">
        <v>32</v>
      </c>
      <c r="E307" s="6">
        <v>2.8</v>
      </c>
      <c r="F307" s="4" t="s">
        <v>1711</v>
      </c>
      <c r="G307" s="4" t="s">
        <v>1618</v>
      </c>
      <c r="H307" s="4" t="b">
        <v>0</v>
      </c>
      <c r="I307" s="4"/>
      <c r="J307" s="4" t="b">
        <v>0</v>
      </c>
      <c r="K307" s="4" t="s">
        <v>1600</v>
      </c>
      <c r="L307" s="5">
        <v>32</v>
      </c>
      <c r="M307" s="5">
        <v>32</v>
      </c>
      <c r="N307" s="5"/>
      <c r="O307" s="5"/>
      <c r="P307" s="5" t="s">
        <v>1708</v>
      </c>
      <c r="Q307" s="5"/>
      <c r="R307" s="5" t="s">
        <v>1709</v>
      </c>
      <c r="S307" s="5"/>
      <c r="T307" s="5"/>
      <c r="U307" s="5"/>
      <c r="V307" s="5"/>
      <c r="W307" s="5" t="s">
        <v>1619</v>
      </c>
      <c r="X307" s="14" t="s">
        <v>69</v>
      </c>
      <c r="AE307" t="s">
        <v>243</v>
      </c>
      <c r="AF307" t="s">
        <v>52</v>
      </c>
      <c r="AG307" t="s">
        <v>3</v>
      </c>
    </row>
    <row r="308" spans="1:33" ht="14" x14ac:dyDescent="0.15">
      <c r="A308" s="4" t="s">
        <v>872</v>
      </c>
      <c r="B308" s="4" t="s">
        <v>868</v>
      </c>
      <c r="C308" s="4" t="s">
        <v>873</v>
      </c>
      <c r="D308" s="6">
        <v>50</v>
      </c>
      <c r="E308" s="6">
        <v>2.8</v>
      </c>
      <c r="F308" s="4" t="s">
        <v>1711</v>
      </c>
      <c r="G308" s="4" t="s">
        <v>1618</v>
      </c>
      <c r="H308" s="4" t="b">
        <v>0</v>
      </c>
      <c r="I308" s="4"/>
      <c r="J308" s="4" t="b">
        <v>0</v>
      </c>
      <c r="K308" s="4" t="s">
        <v>1600</v>
      </c>
      <c r="L308" s="5">
        <v>50</v>
      </c>
      <c r="M308" s="5">
        <v>50</v>
      </c>
      <c r="N308" s="5"/>
      <c r="O308" s="5"/>
      <c r="P308" s="5" t="s">
        <v>1708</v>
      </c>
      <c r="Q308" s="5"/>
      <c r="R308" s="5" t="s">
        <v>1709</v>
      </c>
      <c r="S308" s="5"/>
      <c r="T308" s="5"/>
      <c r="U308" s="5"/>
      <c r="V308" s="5"/>
      <c r="W308" s="5" t="s">
        <v>1619</v>
      </c>
      <c r="X308" s="14" t="s">
        <v>69</v>
      </c>
      <c r="AE308" t="s">
        <v>243</v>
      </c>
      <c r="AF308" t="s">
        <v>52</v>
      </c>
      <c r="AG308" t="s">
        <v>3</v>
      </c>
    </row>
    <row r="309" spans="1:33" ht="14" x14ac:dyDescent="0.15">
      <c r="A309" s="4" t="s">
        <v>874</v>
      </c>
      <c r="B309" s="4" t="s">
        <v>868</v>
      </c>
      <c r="C309" s="4" t="s">
        <v>875</v>
      </c>
      <c r="D309" s="6">
        <v>75</v>
      </c>
      <c r="E309" s="6">
        <v>2.8</v>
      </c>
      <c r="F309" s="4" t="s">
        <v>1711</v>
      </c>
      <c r="G309" s="4" t="s">
        <v>1618</v>
      </c>
      <c r="H309" s="4" t="b">
        <v>0</v>
      </c>
      <c r="I309" s="4"/>
      <c r="J309" s="4" t="b">
        <v>0</v>
      </c>
      <c r="K309" s="4" t="s">
        <v>1600</v>
      </c>
      <c r="L309" s="5">
        <v>75</v>
      </c>
      <c r="M309" s="5">
        <v>75</v>
      </c>
      <c r="N309" s="5"/>
      <c r="O309" s="5"/>
      <c r="P309" s="5" t="s">
        <v>1708</v>
      </c>
      <c r="Q309" s="5"/>
      <c r="R309" s="5" t="s">
        <v>1709</v>
      </c>
      <c r="S309" s="5"/>
      <c r="T309" s="5"/>
      <c r="U309" s="5"/>
      <c r="V309" s="5"/>
      <c r="W309" s="5" t="s">
        <v>1619</v>
      </c>
      <c r="X309" s="14" t="s">
        <v>69</v>
      </c>
      <c r="AE309" t="s">
        <v>243</v>
      </c>
      <c r="AF309" t="s">
        <v>52</v>
      </c>
      <c r="AG309" t="s">
        <v>3</v>
      </c>
    </row>
    <row r="310" spans="1:33" ht="14" x14ac:dyDescent="0.15">
      <c r="A310" s="4" t="s">
        <v>876</v>
      </c>
      <c r="B310" s="4" t="s">
        <v>868</v>
      </c>
      <c r="C310" s="4" t="s">
        <v>877</v>
      </c>
      <c r="D310" s="6">
        <v>100</v>
      </c>
      <c r="E310" s="6">
        <v>2.8</v>
      </c>
      <c r="F310" s="4" t="s">
        <v>1711</v>
      </c>
      <c r="G310" s="4" t="s">
        <v>1618</v>
      </c>
      <c r="H310" s="4" t="b">
        <v>0</v>
      </c>
      <c r="I310" s="4"/>
      <c r="J310" s="4" t="b">
        <v>0</v>
      </c>
      <c r="K310" s="4" t="s">
        <v>1600</v>
      </c>
      <c r="L310" s="5">
        <v>100</v>
      </c>
      <c r="M310" s="5">
        <v>100</v>
      </c>
      <c r="N310" s="5"/>
      <c r="O310" s="5"/>
      <c r="P310" s="5" t="s">
        <v>1708</v>
      </c>
      <c r="Q310" s="5"/>
      <c r="R310" s="5" t="s">
        <v>1709</v>
      </c>
      <c r="S310" s="5"/>
      <c r="T310" s="5"/>
      <c r="U310" s="5"/>
      <c r="V310" s="5"/>
      <c r="W310" s="5" t="s">
        <v>1619</v>
      </c>
      <c r="X310" s="14" t="s">
        <v>69</v>
      </c>
      <c r="AE310" t="s">
        <v>243</v>
      </c>
      <c r="AF310" t="s">
        <v>52</v>
      </c>
      <c r="AG310" t="s">
        <v>3</v>
      </c>
    </row>
    <row r="311" spans="1:33" ht="14" x14ac:dyDescent="0.15">
      <c r="A311" s="4" t="s">
        <v>878</v>
      </c>
      <c r="B311" s="4" t="s">
        <v>879</v>
      </c>
      <c r="C311" s="4" t="s">
        <v>880</v>
      </c>
      <c r="D311" s="6">
        <v>18</v>
      </c>
      <c r="E311" s="6">
        <v>2</v>
      </c>
      <c r="F311" s="4" t="s">
        <v>1714</v>
      </c>
      <c r="G311" s="4" t="s">
        <v>1618</v>
      </c>
      <c r="H311" s="4" t="b">
        <v>0</v>
      </c>
      <c r="I311" s="4"/>
      <c r="J311" s="4" t="b">
        <v>0</v>
      </c>
      <c r="K311" s="4" t="s">
        <v>1600</v>
      </c>
      <c r="L311" s="5">
        <v>18</v>
      </c>
      <c r="M311" s="5">
        <v>18</v>
      </c>
      <c r="N311" s="5"/>
      <c r="O311" s="5"/>
      <c r="P311" s="5" t="s">
        <v>1708</v>
      </c>
      <c r="Q311" s="5"/>
      <c r="R311" s="5" t="s">
        <v>1709</v>
      </c>
      <c r="S311" s="5"/>
      <c r="T311" s="5"/>
      <c r="U311" s="5"/>
      <c r="V311" s="5"/>
      <c r="W311" s="5" t="s">
        <v>1619</v>
      </c>
      <c r="X311" s="14" t="s">
        <v>69</v>
      </c>
      <c r="AE311" t="s">
        <v>243</v>
      </c>
      <c r="AF311" t="s">
        <v>52</v>
      </c>
      <c r="AG311" t="s">
        <v>3</v>
      </c>
    </row>
    <row r="312" spans="1:33" ht="14" x14ac:dyDescent="0.15">
      <c r="A312" s="4" t="s">
        <v>881</v>
      </c>
      <c r="B312" s="4" t="s">
        <v>879</v>
      </c>
      <c r="C312" s="4" t="s">
        <v>882</v>
      </c>
      <c r="D312" s="6">
        <v>25</v>
      </c>
      <c r="E312" s="6">
        <v>2</v>
      </c>
      <c r="F312" s="4" t="s">
        <v>1714</v>
      </c>
      <c r="G312" s="4" t="s">
        <v>1618</v>
      </c>
      <c r="H312" s="4" t="b">
        <v>0</v>
      </c>
      <c r="I312" s="4"/>
      <c r="J312" s="4" t="b">
        <v>0</v>
      </c>
      <c r="K312" s="4" t="s">
        <v>1600</v>
      </c>
      <c r="L312" s="5">
        <v>25</v>
      </c>
      <c r="M312" s="5">
        <v>25</v>
      </c>
      <c r="N312" s="5"/>
      <c r="O312" s="5"/>
      <c r="P312" s="5" t="s">
        <v>1708</v>
      </c>
      <c r="Q312" s="5"/>
      <c r="R312" s="5" t="s">
        <v>1709</v>
      </c>
      <c r="S312" s="5"/>
      <c r="T312" s="5"/>
      <c r="U312" s="5"/>
      <c r="V312" s="5"/>
      <c r="W312" s="5" t="s">
        <v>1619</v>
      </c>
      <c r="X312" s="14" t="s">
        <v>69</v>
      </c>
      <c r="AE312" t="s">
        <v>243</v>
      </c>
      <c r="AF312" t="s">
        <v>52</v>
      </c>
      <c r="AG312" t="s">
        <v>3</v>
      </c>
    </row>
    <row r="313" spans="1:33" ht="14" x14ac:dyDescent="0.15">
      <c r="A313" s="4" t="s">
        <v>883</v>
      </c>
      <c r="B313" s="4" t="s">
        <v>879</v>
      </c>
      <c r="C313" s="4" t="s">
        <v>884</v>
      </c>
      <c r="D313" s="6">
        <v>35</v>
      </c>
      <c r="E313" s="6">
        <v>2</v>
      </c>
      <c r="F313" s="4" t="s">
        <v>1714</v>
      </c>
      <c r="G313" s="4" t="s">
        <v>1618</v>
      </c>
      <c r="H313" s="4" t="b">
        <v>0</v>
      </c>
      <c r="I313" s="4"/>
      <c r="J313" s="4" t="b">
        <v>0</v>
      </c>
      <c r="K313" s="4" t="s">
        <v>1600</v>
      </c>
      <c r="L313" s="5">
        <v>35</v>
      </c>
      <c r="M313" s="5">
        <v>35</v>
      </c>
      <c r="N313" s="5"/>
      <c r="O313" s="5"/>
      <c r="P313" s="5" t="s">
        <v>1708</v>
      </c>
      <c r="Q313" s="5"/>
      <c r="R313" s="5" t="s">
        <v>1709</v>
      </c>
      <c r="S313" s="5"/>
      <c r="T313" s="5"/>
      <c r="U313" s="5"/>
      <c r="V313" s="5"/>
      <c r="W313" s="5" t="s">
        <v>1619</v>
      </c>
      <c r="X313" s="14" t="s">
        <v>69</v>
      </c>
      <c r="AE313" t="s">
        <v>243</v>
      </c>
      <c r="AF313" t="s">
        <v>52</v>
      </c>
      <c r="AG313" t="s">
        <v>3</v>
      </c>
    </row>
    <row r="314" spans="1:33" ht="14" x14ac:dyDescent="0.15">
      <c r="A314" s="4" t="s">
        <v>885</v>
      </c>
      <c r="B314" s="4" t="s">
        <v>879</v>
      </c>
      <c r="C314" s="4" t="s">
        <v>886</v>
      </c>
      <c r="D314" s="6">
        <v>50</v>
      </c>
      <c r="E314" s="6">
        <v>2</v>
      </c>
      <c r="F314" s="4" t="s">
        <v>1714</v>
      </c>
      <c r="G314" s="4" t="s">
        <v>1618</v>
      </c>
      <c r="H314" s="4" t="b">
        <v>0</v>
      </c>
      <c r="I314" s="4"/>
      <c r="J314" s="4" t="b">
        <v>0</v>
      </c>
      <c r="K314" s="4" t="s">
        <v>1600</v>
      </c>
      <c r="L314" s="5">
        <v>50</v>
      </c>
      <c r="M314" s="5">
        <v>50</v>
      </c>
      <c r="N314" s="5"/>
      <c r="O314" s="5"/>
      <c r="P314" s="5" t="s">
        <v>1708</v>
      </c>
      <c r="Q314" s="5"/>
      <c r="R314" s="5" t="s">
        <v>1709</v>
      </c>
      <c r="S314" s="5"/>
      <c r="T314" s="5"/>
      <c r="U314" s="5"/>
      <c r="V314" s="5"/>
      <c r="W314" s="5" t="s">
        <v>1619</v>
      </c>
      <c r="X314" s="14" t="s">
        <v>69</v>
      </c>
      <c r="AE314" t="s">
        <v>243</v>
      </c>
      <c r="AF314" t="s">
        <v>52</v>
      </c>
      <c r="AG314" t="s">
        <v>3</v>
      </c>
    </row>
    <row r="315" spans="1:33" ht="14" x14ac:dyDescent="0.15">
      <c r="A315" s="4" t="s">
        <v>887</v>
      </c>
      <c r="B315" s="4" t="s">
        <v>879</v>
      </c>
      <c r="C315" s="4" t="s">
        <v>888</v>
      </c>
      <c r="D315" s="6">
        <v>65</v>
      </c>
      <c r="E315" s="6">
        <v>2</v>
      </c>
      <c r="F315" s="4" t="s">
        <v>1714</v>
      </c>
      <c r="G315" s="4" t="s">
        <v>1618</v>
      </c>
      <c r="H315" s="4" t="b">
        <v>0</v>
      </c>
      <c r="I315" s="4"/>
      <c r="J315" s="4" t="b">
        <v>0</v>
      </c>
      <c r="K315" s="4" t="s">
        <v>1600</v>
      </c>
      <c r="L315" s="5">
        <v>65</v>
      </c>
      <c r="M315" s="5">
        <v>65</v>
      </c>
      <c r="N315" s="5"/>
      <c r="O315" s="5"/>
      <c r="P315" s="5" t="s">
        <v>1708</v>
      </c>
      <c r="Q315" s="5"/>
      <c r="R315" s="5" t="s">
        <v>1709</v>
      </c>
      <c r="S315" s="5"/>
      <c r="T315" s="5"/>
      <c r="U315" s="5"/>
      <c r="V315" s="5"/>
      <c r="W315" s="5" t="s">
        <v>1619</v>
      </c>
      <c r="X315" s="14" t="s">
        <v>69</v>
      </c>
      <c r="AE315" t="s">
        <v>243</v>
      </c>
      <c r="AF315" t="s">
        <v>52</v>
      </c>
      <c r="AG315" t="s">
        <v>3</v>
      </c>
    </row>
    <row r="316" spans="1:33" ht="14" x14ac:dyDescent="0.15">
      <c r="A316" s="4" t="s">
        <v>889</v>
      </c>
      <c r="B316" s="4" t="s">
        <v>879</v>
      </c>
      <c r="C316" s="4" t="s">
        <v>890</v>
      </c>
      <c r="D316" s="6">
        <v>85</v>
      </c>
      <c r="E316" s="6">
        <v>2</v>
      </c>
      <c r="F316" s="4" t="s">
        <v>1714</v>
      </c>
      <c r="G316" s="4" t="s">
        <v>1618</v>
      </c>
      <c r="H316" s="4" t="b">
        <v>0</v>
      </c>
      <c r="I316" s="4"/>
      <c r="J316" s="4" t="b">
        <v>0</v>
      </c>
      <c r="K316" s="4" t="s">
        <v>1600</v>
      </c>
      <c r="L316" s="5">
        <v>85</v>
      </c>
      <c r="M316" s="5">
        <v>85</v>
      </c>
      <c r="N316" s="5"/>
      <c r="O316" s="5"/>
      <c r="P316" s="5" t="s">
        <v>1708</v>
      </c>
      <c r="Q316" s="5"/>
      <c r="R316" s="5" t="s">
        <v>1709</v>
      </c>
      <c r="S316" s="5"/>
      <c r="T316" s="5"/>
      <c r="U316" s="5"/>
      <c r="V316" s="5"/>
      <c r="W316" s="5" t="s">
        <v>1619</v>
      </c>
      <c r="X316" s="14" t="s">
        <v>69</v>
      </c>
      <c r="AE316" t="s">
        <v>243</v>
      </c>
      <c r="AF316" t="s">
        <v>52</v>
      </c>
      <c r="AG316" t="s">
        <v>3</v>
      </c>
    </row>
    <row r="317" spans="1:33" ht="14" x14ac:dyDescent="0.15">
      <c r="A317" s="4" t="s">
        <v>891</v>
      </c>
      <c r="B317" s="4" t="s">
        <v>879</v>
      </c>
      <c r="C317" s="4" t="s">
        <v>892</v>
      </c>
      <c r="D317" s="6">
        <v>105</v>
      </c>
      <c r="E317" s="6">
        <v>2</v>
      </c>
      <c r="F317" s="4" t="s">
        <v>1714</v>
      </c>
      <c r="G317" s="4" t="s">
        <v>1618</v>
      </c>
      <c r="H317" s="4" t="b">
        <v>0</v>
      </c>
      <c r="I317" s="4"/>
      <c r="J317" s="4" t="b">
        <v>0</v>
      </c>
      <c r="K317" s="4" t="s">
        <v>1600</v>
      </c>
      <c r="L317" s="5">
        <v>105</v>
      </c>
      <c r="M317" s="5">
        <v>105</v>
      </c>
      <c r="N317" s="5"/>
      <c r="O317" s="5"/>
      <c r="P317" s="5" t="s">
        <v>1708</v>
      </c>
      <c r="Q317" s="5"/>
      <c r="R317" s="5" t="s">
        <v>1709</v>
      </c>
      <c r="S317" s="5"/>
      <c r="T317" s="5"/>
      <c r="U317" s="5"/>
      <c r="V317" s="5"/>
      <c r="W317" s="5" t="s">
        <v>1619</v>
      </c>
      <c r="X317" s="14" t="s">
        <v>69</v>
      </c>
      <c r="AE317" t="s">
        <v>243</v>
      </c>
      <c r="AF317" t="s">
        <v>52</v>
      </c>
      <c r="AG317" t="s">
        <v>3</v>
      </c>
    </row>
    <row r="318" spans="1:33" ht="14" x14ac:dyDescent="0.15">
      <c r="A318" s="4" t="s">
        <v>893</v>
      </c>
      <c r="B318" s="4" t="s">
        <v>879</v>
      </c>
      <c r="C318" s="4" t="s">
        <v>894</v>
      </c>
      <c r="D318" s="6">
        <v>18</v>
      </c>
      <c r="E318" s="6">
        <v>2.9</v>
      </c>
      <c r="F318" s="4" t="s">
        <v>1714</v>
      </c>
      <c r="G318" s="4" t="s">
        <v>1618</v>
      </c>
      <c r="H318" s="4" t="b">
        <v>0</v>
      </c>
      <c r="I318" s="4" t="s">
        <v>1745</v>
      </c>
      <c r="J318" s="4" t="b">
        <v>0</v>
      </c>
      <c r="K318" s="4" t="s">
        <v>1600</v>
      </c>
      <c r="L318" s="5">
        <v>18</v>
      </c>
      <c r="M318" s="5">
        <v>18</v>
      </c>
      <c r="N318" s="5"/>
      <c r="O318" s="5"/>
      <c r="P318" s="5" t="s">
        <v>1708</v>
      </c>
      <c r="Q318" s="5"/>
      <c r="R318" s="5" t="s">
        <v>1709</v>
      </c>
      <c r="S318" s="5"/>
      <c r="T318" s="5"/>
      <c r="U318" s="5"/>
      <c r="V318" s="5"/>
      <c r="W318" s="5" t="s">
        <v>1619</v>
      </c>
      <c r="X318" s="14" t="s">
        <v>69</v>
      </c>
      <c r="AE318" t="s">
        <v>243</v>
      </c>
      <c r="AF318" t="s">
        <v>52</v>
      </c>
      <c r="AG318" t="s">
        <v>3</v>
      </c>
    </row>
    <row r="319" spans="1:33" ht="14" x14ac:dyDescent="0.15">
      <c r="A319" s="4" t="s">
        <v>895</v>
      </c>
      <c r="B319" s="4" t="s">
        <v>879</v>
      </c>
      <c r="C319" s="4" t="s">
        <v>896</v>
      </c>
      <c r="D319" s="6">
        <v>25</v>
      </c>
      <c r="E319" s="6">
        <v>2.2000000000000002</v>
      </c>
      <c r="F319" s="4" t="s">
        <v>1714</v>
      </c>
      <c r="G319" s="4" t="s">
        <v>1618</v>
      </c>
      <c r="H319" s="4" t="b">
        <v>0</v>
      </c>
      <c r="I319" s="4" t="s">
        <v>1745</v>
      </c>
      <c r="J319" s="4" t="b">
        <v>0</v>
      </c>
      <c r="K319" s="4" t="s">
        <v>1600</v>
      </c>
      <c r="L319" s="5">
        <v>25</v>
      </c>
      <c r="M319" s="5">
        <v>25</v>
      </c>
      <c r="N319" s="5"/>
      <c r="O319" s="5"/>
      <c r="P319" s="5" t="s">
        <v>1708</v>
      </c>
      <c r="Q319" s="5"/>
      <c r="R319" s="5" t="s">
        <v>1709</v>
      </c>
      <c r="S319" s="5"/>
      <c r="T319" s="5"/>
      <c r="U319" s="5"/>
      <c r="V319" s="5"/>
      <c r="W319" s="5" t="s">
        <v>1619</v>
      </c>
      <c r="X319" s="14" t="s">
        <v>69</v>
      </c>
      <c r="AE319" t="s">
        <v>243</v>
      </c>
      <c r="AF319" t="s">
        <v>52</v>
      </c>
      <c r="AG319" t="s">
        <v>3</v>
      </c>
    </row>
    <row r="320" spans="1:33" ht="14" x14ac:dyDescent="0.15">
      <c r="A320" s="4" t="s">
        <v>897</v>
      </c>
      <c r="B320" s="4" t="s">
        <v>879</v>
      </c>
      <c r="C320" s="4" t="s">
        <v>898</v>
      </c>
      <c r="D320" s="6">
        <v>35</v>
      </c>
      <c r="E320" s="6">
        <v>2.2000000000000002</v>
      </c>
      <c r="F320" s="4" t="s">
        <v>1714</v>
      </c>
      <c r="G320" s="4" t="s">
        <v>1618</v>
      </c>
      <c r="H320" s="4" t="b">
        <v>0</v>
      </c>
      <c r="I320" s="4" t="s">
        <v>1745</v>
      </c>
      <c r="J320" s="4" t="b">
        <v>0</v>
      </c>
      <c r="K320" s="4" t="s">
        <v>1600</v>
      </c>
      <c r="L320" s="5">
        <v>35</v>
      </c>
      <c r="M320" s="5">
        <v>35</v>
      </c>
      <c r="N320" s="5"/>
      <c r="O320" s="5"/>
      <c r="P320" s="5" t="s">
        <v>1708</v>
      </c>
      <c r="Q320" s="5"/>
      <c r="R320" s="5" t="s">
        <v>1709</v>
      </c>
      <c r="S320" s="5"/>
      <c r="T320" s="5"/>
      <c r="U320" s="5"/>
      <c r="V320" s="5"/>
      <c r="W320" s="5" t="s">
        <v>1619</v>
      </c>
      <c r="X320" s="14" t="s">
        <v>69</v>
      </c>
      <c r="AE320" t="s">
        <v>243</v>
      </c>
      <c r="AF320" t="s">
        <v>52</v>
      </c>
      <c r="AG320" t="s">
        <v>3</v>
      </c>
    </row>
    <row r="321" spans="1:33" ht="14" x14ac:dyDescent="0.15">
      <c r="A321" s="4" t="s">
        <v>899</v>
      </c>
      <c r="B321" s="4" t="s">
        <v>879</v>
      </c>
      <c r="C321" s="4" t="s">
        <v>900</v>
      </c>
      <c r="D321" s="6">
        <v>50</v>
      </c>
      <c r="E321" s="6">
        <v>2.2000000000000002</v>
      </c>
      <c r="F321" s="4" t="s">
        <v>1714</v>
      </c>
      <c r="G321" s="4" t="s">
        <v>1618</v>
      </c>
      <c r="H321" s="4" t="b">
        <v>0</v>
      </c>
      <c r="I321" s="4" t="s">
        <v>1745</v>
      </c>
      <c r="J321" s="4" t="b">
        <v>0</v>
      </c>
      <c r="K321" s="4" t="s">
        <v>1600</v>
      </c>
      <c r="L321" s="5">
        <v>50</v>
      </c>
      <c r="M321" s="5">
        <v>50</v>
      </c>
      <c r="N321" s="5"/>
      <c r="O321" s="5"/>
      <c r="P321" s="5" t="s">
        <v>1708</v>
      </c>
      <c r="Q321" s="5"/>
      <c r="R321" s="5" t="s">
        <v>1709</v>
      </c>
      <c r="S321" s="5"/>
      <c r="T321" s="5"/>
      <c r="U321" s="5"/>
      <c r="V321" s="5"/>
      <c r="W321" s="5" t="s">
        <v>1619</v>
      </c>
      <c r="X321" s="14" t="s">
        <v>69</v>
      </c>
      <c r="AE321" t="s">
        <v>243</v>
      </c>
      <c r="AF321" t="s">
        <v>52</v>
      </c>
      <c r="AG321" t="s">
        <v>3</v>
      </c>
    </row>
    <row r="322" spans="1:33" ht="14" x14ac:dyDescent="0.15">
      <c r="A322" s="4" t="s">
        <v>901</v>
      </c>
      <c r="B322" s="4" t="s">
        <v>879</v>
      </c>
      <c r="C322" s="4" t="s">
        <v>902</v>
      </c>
      <c r="D322" s="6">
        <v>65</v>
      </c>
      <c r="E322" s="6">
        <v>2.2000000000000002</v>
      </c>
      <c r="F322" s="4" t="s">
        <v>1714</v>
      </c>
      <c r="G322" s="4" t="s">
        <v>1618</v>
      </c>
      <c r="H322" s="4" t="b">
        <v>0</v>
      </c>
      <c r="I322" s="4" t="s">
        <v>1745</v>
      </c>
      <c r="J322" s="4" t="b">
        <v>0</v>
      </c>
      <c r="K322" s="4" t="s">
        <v>1600</v>
      </c>
      <c r="L322" s="5">
        <v>65</v>
      </c>
      <c r="M322" s="5">
        <v>65</v>
      </c>
      <c r="N322" s="5"/>
      <c r="O322" s="5"/>
      <c r="P322" s="5" t="s">
        <v>1708</v>
      </c>
      <c r="Q322" s="5"/>
      <c r="R322" s="5" t="s">
        <v>1709</v>
      </c>
      <c r="S322" s="5"/>
      <c r="T322" s="5"/>
      <c r="U322" s="5"/>
      <c r="V322" s="5"/>
      <c r="W322" s="5" t="s">
        <v>1619</v>
      </c>
      <c r="X322" s="14" t="s">
        <v>69</v>
      </c>
      <c r="AE322" t="s">
        <v>243</v>
      </c>
      <c r="AF322" t="s">
        <v>52</v>
      </c>
      <c r="AG322" t="s">
        <v>3</v>
      </c>
    </row>
    <row r="323" spans="1:33" ht="14" x14ac:dyDescent="0.15">
      <c r="A323" s="4" t="s">
        <v>903</v>
      </c>
      <c r="B323" s="4" t="s">
        <v>879</v>
      </c>
      <c r="C323" s="4" t="s">
        <v>904</v>
      </c>
      <c r="D323" s="6">
        <v>85</v>
      </c>
      <c r="E323" s="6">
        <v>2.2000000000000002</v>
      </c>
      <c r="F323" s="4" t="s">
        <v>1714</v>
      </c>
      <c r="G323" s="4" t="s">
        <v>1618</v>
      </c>
      <c r="H323" s="4" t="b">
        <v>0</v>
      </c>
      <c r="I323" s="4" t="s">
        <v>1745</v>
      </c>
      <c r="J323" s="4" t="b">
        <v>0</v>
      </c>
      <c r="K323" s="4" t="s">
        <v>1600</v>
      </c>
      <c r="L323" s="5">
        <v>85</v>
      </c>
      <c r="M323" s="5">
        <v>85</v>
      </c>
      <c r="N323" s="5"/>
      <c r="O323" s="5"/>
      <c r="P323" s="5" t="s">
        <v>1708</v>
      </c>
      <c r="Q323" s="5"/>
      <c r="R323" s="5" t="s">
        <v>1709</v>
      </c>
      <c r="S323" s="5"/>
      <c r="T323" s="5"/>
      <c r="U323" s="5"/>
      <c r="V323" s="5"/>
      <c r="W323" s="5" t="s">
        <v>1619</v>
      </c>
      <c r="X323" s="14" t="s">
        <v>69</v>
      </c>
      <c r="AE323" t="s">
        <v>243</v>
      </c>
      <c r="AF323" t="s">
        <v>52</v>
      </c>
      <c r="AG323" t="s">
        <v>3</v>
      </c>
    </row>
    <row r="324" spans="1:33" ht="14" x14ac:dyDescent="0.15">
      <c r="A324" s="4" t="s">
        <v>905</v>
      </c>
      <c r="B324" s="4" t="s">
        <v>879</v>
      </c>
      <c r="C324" s="4" t="s">
        <v>906</v>
      </c>
      <c r="D324" s="6">
        <v>105</v>
      </c>
      <c r="E324" s="6">
        <v>2.2000000000000002</v>
      </c>
      <c r="F324" s="4" t="s">
        <v>1714</v>
      </c>
      <c r="G324" s="4" t="s">
        <v>1618</v>
      </c>
      <c r="H324" s="4" t="b">
        <v>0</v>
      </c>
      <c r="I324" s="4" t="s">
        <v>1745</v>
      </c>
      <c r="J324" s="4" t="b">
        <v>0</v>
      </c>
      <c r="K324" s="4" t="s">
        <v>1600</v>
      </c>
      <c r="L324" s="5">
        <v>105</v>
      </c>
      <c r="M324" s="5">
        <v>105</v>
      </c>
      <c r="N324" s="5"/>
      <c r="O324" s="5"/>
      <c r="P324" s="5" t="s">
        <v>1708</v>
      </c>
      <c r="Q324" s="5"/>
      <c r="R324" s="5" t="s">
        <v>1709</v>
      </c>
      <c r="S324" s="5"/>
      <c r="T324" s="5"/>
      <c r="U324" s="5"/>
      <c r="V324" s="5"/>
      <c r="W324" s="5" t="s">
        <v>1619</v>
      </c>
      <c r="X324" s="14" t="s">
        <v>69</v>
      </c>
      <c r="AE324" t="s">
        <v>243</v>
      </c>
      <c r="AF324" t="s">
        <v>52</v>
      </c>
      <c r="AG324" t="s">
        <v>3</v>
      </c>
    </row>
    <row r="325" spans="1:33" ht="14" x14ac:dyDescent="0.15">
      <c r="A325" s="4" t="s">
        <v>907</v>
      </c>
      <c r="B325" s="4" t="s">
        <v>908</v>
      </c>
      <c r="C325" s="4" t="s">
        <v>909</v>
      </c>
      <c r="D325" s="6">
        <v>35</v>
      </c>
      <c r="E325" s="6">
        <v>1</v>
      </c>
      <c r="F325" s="4" t="s">
        <v>1714</v>
      </c>
      <c r="G325" s="4" t="s">
        <v>1618</v>
      </c>
      <c r="H325" s="4" t="b">
        <v>0</v>
      </c>
      <c r="I325" s="4" t="s">
        <v>1746</v>
      </c>
      <c r="J325" s="4" t="b">
        <v>0</v>
      </c>
      <c r="K325" s="4" t="s">
        <v>1600</v>
      </c>
      <c r="L325" s="5">
        <v>35</v>
      </c>
      <c r="M325" s="5">
        <v>35</v>
      </c>
      <c r="N325" s="5"/>
      <c r="O325" s="5"/>
      <c r="P325" s="5" t="s">
        <v>1708</v>
      </c>
      <c r="Q325" s="5"/>
      <c r="R325" s="5" t="s">
        <v>1709</v>
      </c>
      <c r="S325" s="5"/>
      <c r="T325" s="5"/>
      <c r="U325" s="5"/>
      <c r="V325" s="5"/>
      <c r="W325" s="5" t="s">
        <v>1619</v>
      </c>
      <c r="X325" s="14" t="s">
        <v>69</v>
      </c>
      <c r="AE325" t="s">
        <v>243</v>
      </c>
      <c r="AF325" t="s">
        <v>52</v>
      </c>
      <c r="AG325" t="s">
        <v>3</v>
      </c>
    </row>
    <row r="326" spans="1:33" ht="14" x14ac:dyDescent="0.15">
      <c r="A326" s="4" t="s">
        <v>910</v>
      </c>
      <c r="B326" s="4" t="s">
        <v>908</v>
      </c>
      <c r="C326" s="4" t="s">
        <v>911</v>
      </c>
      <c r="D326" s="6">
        <v>40</v>
      </c>
      <c r="E326" s="6">
        <v>1</v>
      </c>
      <c r="F326" s="4" t="s">
        <v>1714</v>
      </c>
      <c r="G326" s="4" t="s">
        <v>1618</v>
      </c>
      <c r="H326" s="4" t="b">
        <v>0</v>
      </c>
      <c r="I326" s="4" t="s">
        <v>1747</v>
      </c>
      <c r="J326" s="4" t="b">
        <v>0</v>
      </c>
      <c r="K326" s="4" t="s">
        <v>1600</v>
      </c>
      <c r="L326" s="5">
        <v>40</v>
      </c>
      <c r="M326" s="5">
        <v>40</v>
      </c>
      <c r="N326" s="5"/>
      <c r="O326" s="5"/>
      <c r="P326" s="5" t="s">
        <v>1708</v>
      </c>
      <c r="Q326" s="5"/>
      <c r="R326" s="5" t="s">
        <v>1709</v>
      </c>
      <c r="S326" s="5"/>
      <c r="T326" s="5"/>
      <c r="U326" s="5"/>
      <c r="V326" s="5"/>
      <c r="W326" s="5" t="s">
        <v>1619</v>
      </c>
      <c r="X326" s="14" t="s">
        <v>69</v>
      </c>
      <c r="AE326" t="s">
        <v>243</v>
      </c>
      <c r="AF326" t="s">
        <v>52</v>
      </c>
      <c r="AG326" t="s">
        <v>3</v>
      </c>
    </row>
    <row r="327" spans="1:33" ht="14" x14ac:dyDescent="0.15">
      <c r="A327" s="4" t="s">
        <v>912</v>
      </c>
      <c r="B327" s="4" t="s">
        <v>908</v>
      </c>
      <c r="C327" s="4" t="s">
        <v>913</v>
      </c>
      <c r="D327" s="6">
        <v>50</v>
      </c>
      <c r="E327" s="6">
        <v>1</v>
      </c>
      <c r="F327" s="4" t="s">
        <v>1714</v>
      </c>
      <c r="G327" s="4" t="s">
        <v>1618</v>
      </c>
      <c r="H327" s="4" t="b">
        <v>0</v>
      </c>
      <c r="I327" s="4" t="s">
        <v>1748</v>
      </c>
      <c r="J327" s="4" t="b">
        <v>0</v>
      </c>
      <c r="K327" s="4" t="s">
        <v>1600</v>
      </c>
      <c r="L327" s="5">
        <v>50</v>
      </c>
      <c r="M327" s="5">
        <v>50</v>
      </c>
      <c r="N327" s="5"/>
      <c r="O327" s="5"/>
      <c r="P327" s="5" t="s">
        <v>1708</v>
      </c>
      <c r="Q327" s="5"/>
      <c r="R327" s="5" t="s">
        <v>1709</v>
      </c>
      <c r="S327" s="5"/>
      <c r="T327" s="5"/>
      <c r="U327" s="5"/>
      <c r="V327" s="5"/>
      <c r="W327" s="5" t="s">
        <v>1619</v>
      </c>
      <c r="X327" s="14" t="s">
        <v>69</v>
      </c>
      <c r="AE327" t="s">
        <v>243</v>
      </c>
      <c r="AF327" t="s">
        <v>52</v>
      </c>
      <c r="AG327" t="s">
        <v>3</v>
      </c>
    </row>
    <row r="328" spans="1:33" ht="14" x14ac:dyDescent="0.15">
      <c r="A328" s="4" t="s">
        <v>914</v>
      </c>
      <c r="B328" s="4" t="s">
        <v>908</v>
      </c>
      <c r="C328" s="4" t="s">
        <v>915</v>
      </c>
      <c r="D328" s="6">
        <v>65</v>
      </c>
      <c r="E328" s="6">
        <v>1</v>
      </c>
      <c r="F328" s="4" t="s">
        <v>1714</v>
      </c>
      <c r="G328" s="4" t="s">
        <v>1618</v>
      </c>
      <c r="H328" s="4" t="b">
        <v>0</v>
      </c>
      <c r="I328" s="4" t="s">
        <v>1747</v>
      </c>
      <c r="J328" s="4" t="b">
        <v>0</v>
      </c>
      <c r="K328" s="4" t="s">
        <v>1600</v>
      </c>
      <c r="L328" s="5">
        <v>65</v>
      </c>
      <c r="M328" s="5">
        <v>65</v>
      </c>
      <c r="N328" s="5"/>
      <c r="O328" s="5"/>
      <c r="P328" s="5" t="s">
        <v>1708</v>
      </c>
      <c r="Q328" s="5"/>
      <c r="R328" s="5" t="s">
        <v>1709</v>
      </c>
      <c r="S328" s="5"/>
      <c r="T328" s="5"/>
      <c r="U328" s="5"/>
      <c r="V328" s="5"/>
      <c r="W328" s="5" t="s">
        <v>1619</v>
      </c>
      <c r="X328" s="14" t="s">
        <v>69</v>
      </c>
      <c r="AE328" t="s">
        <v>243</v>
      </c>
      <c r="AF328" t="s">
        <v>52</v>
      </c>
      <c r="AG328" t="s">
        <v>3</v>
      </c>
    </row>
    <row r="329" spans="1:33" ht="14" x14ac:dyDescent="0.15">
      <c r="A329" s="4" t="s">
        <v>916</v>
      </c>
      <c r="B329" s="4" t="s">
        <v>908</v>
      </c>
      <c r="C329" s="4" t="s">
        <v>917</v>
      </c>
      <c r="D329" s="6">
        <v>75</v>
      </c>
      <c r="E329" s="6">
        <v>1</v>
      </c>
      <c r="F329" s="4" t="s">
        <v>1714</v>
      </c>
      <c r="G329" s="4" t="s">
        <v>1618</v>
      </c>
      <c r="H329" s="4" t="b">
        <v>0</v>
      </c>
      <c r="I329" s="4" t="s">
        <v>1746</v>
      </c>
      <c r="J329" s="4" t="b">
        <v>0</v>
      </c>
      <c r="K329" s="4" t="s">
        <v>1600</v>
      </c>
      <c r="L329" s="5">
        <v>75</v>
      </c>
      <c r="M329" s="5">
        <v>75</v>
      </c>
      <c r="N329" s="5"/>
      <c r="O329" s="5"/>
      <c r="P329" s="5" t="s">
        <v>1708</v>
      </c>
      <c r="Q329" s="5"/>
      <c r="R329" s="5" t="s">
        <v>1709</v>
      </c>
      <c r="S329" s="5"/>
      <c r="T329" s="5"/>
      <c r="U329" s="5"/>
      <c r="V329" s="5"/>
      <c r="W329" s="5" t="s">
        <v>1619</v>
      </c>
      <c r="X329" s="14" t="s">
        <v>69</v>
      </c>
      <c r="AE329" t="s">
        <v>243</v>
      </c>
      <c r="AF329" t="s">
        <v>52</v>
      </c>
      <c r="AG329" t="s">
        <v>3</v>
      </c>
    </row>
    <row r="330" spans="1:33" ht="14" x14ac:dyDescent="0.15">
      <c r="A330" s="4" t="s">
        <v>918</v>
      </c>
      <c r="B330" s="4" t="s">
        <v>908</v>
      </c>
      <c r="C330" s="4" t="s">
        <v>919</v>
      </c>
      <c r="D330" s="6">
        <v>100</v>
      </c>
      <c r="E330" s="6">
        <v>1</v>
      </c>
      <c r="F330" s="4" t="s">
        <v>1714</v>
      </c>
      <c r="G330" s="4" t="s">
        <v>1618</v>
      </c>
      <c r="H330" s="4" t="b">
        <v>0</v>
      </c>
      <c r="I330" s="4" t="s">
        <v>1749</v>
      </c>
      <c r="J330" s="4" t="b">
        <v>0</v>
      </c>
      <c r="K330" s="4" t="s">
        <v>1600</v>
      </c>
      <c r="L330" s="5">
        <v>100</v>
      </c>
      <c r="M330" s="5">
        <v>100</v>
      </c>
      <c r="N330" s="5"/>
      <c r="O330" s="5"/>
      <c r="P330" s="5" t="s">
        <v>1708</v>
      </c>
      <c r="Q330" s="5"/>
      <c r="R330" s="5" t="s">
        <v>1709</v>
      </c>
      <c r="S330" s="5"/>
      <c r="T330" s="5"/>
      <c r="U330" s="5"/>
      <c r="V330" s="5"/>
      <c r="W330" s="5" t="s">
        <v>1619</v>
      </c>
      <c r="X330" s="14" t="s">
        <v>69</v>
      </c>
      <c r="AE330" t="s">
        <v>243</v>
      </c>
      <c r="AF330" t="s">
        <v>52</v>
      </c>
      <c r="AG330" t="s">
        <v>3</v>
      </c>
    </row>
    <row r="331" spans="1:33" ht="14" x14ac:dyDescent="0.15">
      <c r="A331" s="4" t="s">
        <v>920</v>
      </c>
      <c r="B331" s="4" t="s">
        <v>908</v>
      </c>
      <c r="C331" s="4" t="s">
        <v>921</v>
      </c>
      <c r="D331" s="6">
        <v>135</v>
      </c>
      <c r="E331" s="6">
        <v>1</v>
      </c>
      <c r="F331" s="4" t="s">
        <v>1714</v>
      </c>
      <c r="G331" s="4" t="s">
        <v>1618</v>
      </c>
      <c r="H331" s="4" t="b">
        <v>0</v>
      </c>
      <c r="I331" s="4" t="s">
        <v>1750</v>
      </c>
      <c r="J331" s="4" t="b">
        <v>0</v>
      </c>
      <c r="K331" s="4" t="s">
        <v>1600</v>
      </c>
      <c r="L331" s="5">
        <v>135</v>
      </c>
      <c r="M331" s="5">
        <v>135</v>
      </c>
      <c r="N331" s="5"/>
      <c r="O331" s="5"/>
      <c r="P331" s="5" t="s">
        <v>1708</v>
      </c>
      <c r="Q331" s="5"/>
      <c r="R331" s="5" t="s">
        <v>1709</v>
      </c>
      <c r="S331" s="5"/>
      <c r="T331" s="5"/>
      <c r="U331" s="5"/>
      <c r="V331" s="5"/>
      <c r="W331" s="5" t="s">
        <v>1619</v>
      </c>
      <c r="X331" s="14" t="s">
        <v>69</v>
      </c>
      <c r="AE331" t="s">
        <v>243</v>
      </c>
      <c r="AF331" t="s">
        <v>52</v>
      </c>
      <c r="AG331" t="s">
        <v>3</v>
      </c>
    </row>
    <row r="332" spans="1:33" ht="28" x14ac:dyDescent="0.15">
      <c r="A332" s="4" t="s">
        <v>922</v>
      </c>
      <c r="B332" s="4" t="s">
        <v>923</v>
      </c>
      <c r="C332" s="4" t="s">
        <v>924</v>
      </c>
      <c r="D332" s="6">
        <v>12</v>
      </c>
      <c r="E332" s="6">
        <v>1.3</v>
      </c>
      <c r="F332" s="4" t="s">
        <v>1714</v>
      </c>
      <c r="G332" s="4" t="s">
        <v>1618</v>
      </c>
      <c r="H332" s="4" t="b">
        <v>0</v>
      </c>
      <c r="I332" s="4"/>
      <c r="J332" s="4" t="b">
        <v>0</v>
      </c>
      <c r="K332" s="4" t="s">
        <v>1600</v>
      </c>
      <c r="L332" s="5">
        <v>12</v>
      </c>
      <c r="M332" s="5">
        <v>12</v>
      </c>
      <c r="N332" s="5"/>
      <c r="O332" s="5"/>
      <c r="P332" s="5" t="s">
        <v>1708</v>
      </c>
      <c r="Q332" s="5"/>
      <c r="R332" s="5" t="s">
        <v>1709</v>
      </c>
      <c r="S332" s="5"/>
      <c r="T332" s="5"/>
      <c r="U332" s="5"/>
      <c r="V332" s="5" t="s">
        <v>1712</v>
      </c>
      <c r="W332" s="5" t="s">
        <v>1751</v>
      </c>
      <c r="X332" s="14" t="s">
        <v>69</v>
      </c>
      <c r="AE332" t="s">
        <v>243</v>
      </c>
      <c r="AF332" t="s">
        <v>52</v>
      </c>
      <c r="AG332" t="s">
        <v>3</v>
      </c>
    </row>
    <row r="333" spans="1:33" ht="28" x14ac:dyDescent="0.15">
      <c r="A333" s="4" t="s">
        <v>925</v>
      </c>
      <c r="B333" s="4" t="s">
        <v>923</v>
      </c>
      <c r="C333" s="4" t="s">
        <v>926</v>
      </c>
      <c r="D333" s="6">
        <v>14</v>
      </c>
      <c r="E333" s="6">
        <v>1.3</v>
      </c>
      <c r="F333" s="4" t="s">
        <v>1714</v>
      </c>
      <c r="G333" s="4" t="s">
        <v>1618</v>
      </c>
      <c r="H333" s="4" t="b">
        <v>0</v>
      </c>
      <c r="I333" s="4"/>
      <c r="J333" s="4" t="b">
        <v>0</v>
      </c>
      <c r="K333" s="4" t="s">
        <v>1600</v>
      </c>
      <c r="L333" s="5">
        <v>14</v>
      </c>
      <c r="M333" s="5">
        <v>14</v>
      </c>
      <c r="N333" s="5"/>
      <c r="O333" s="5"/>
      <c r="P333" s="5" t="s">
        <v>1708</v>
      </c>
      <c r="Q333" s="5"/>
      <c r="R333" s="5" t="s">
        <v>1709</v>
      </c>
      <c r="S333" s="5"/>
      <c r="T333" s="5"/>
      <c r="U333" s="5"/>
      <c r="V333" s="5" t="s">
        <v>1712</v>
      </c>
      <c r="W333" s="5" t="s">
        <v>1751</v>
      </c>
      <c r="X333" s="14" t="s">
        <v>69</v>
      </c>
      <c r="AE333" t="s">
        <v>243</v>
      </c>
      <c r="AF333" t="s">
        <v>52</v>
      </c>
      <c r="AG333" t="s">
        <v>3</v>
      </c>
    </row>
    <row r="334" spans="1:33" ht="28" x14ac:dyDescent="0.15">
      <c r="A334" s="4" t="s">
        <v>927</v>
      </c>
      <c r="B334" s="4" t="s">
        <v>923</v>
      </c>
      <c r="C334" s="4" t="s">
        <v>928</v>
      </c>
      <c r="D334" s="6">
        <v>18</v>
      </c>
      <c r="E334" s="6">
        <v>1.3</v>
      </c>
      <c r="F334" s="4" t="s">
        <v>1714</v>
      </c>
      <c r="G334" s="4" t="s">
        <v>1618</v>
      </c>
      <c r="H334" s="4" t="b">
        <v>0</v>
      </c>
      <c r="I334" s="4"/>
      <c r="J334" s="4" t="b">
        <v>0</v>
      </c>
      <c r="K334" s="4" t="s">
        <v>1600</v>
      </c>
      <c r="L334" s="5">
        <v>18</v>
      </c>
      <c r="M334" s="5">
        <v>18</v>
      </c>
      <c r="N334" s="5"/>
      <c r="O334" s="5"/>
      <c r="P334" s="5" t="s">
        <v>1708</v>
      </c>
      <c r="Q334" s="5"/>
      <c r="R334" s="5" t="s">
        <v>1709</v>
      </c>
      <c r="S334" s="5"/>
      <c r="T334" s="5"/>
      <c r="U334" s="5"/>
      <c r="V334" s="5" t="s">
        <v>1712</v>
      </c>
      <c r="W334" s="5" t="s">
        <v>1751</v>
      </c>
      <c r="X334" s="14" t="s">
        <v>69</v>
      </c>
      <c r="AE334" t="s">
        <v>243</v>
      </c>
      <c r="AF334" t="s">
        <v>52</v>
      </c>
      <c r="AG334" t="s">
        <v>3</v>
      </c>
    </row>
    <row r="335" spans="1:33" ht="28" x14ac:dyDescent="0.15">
      <c r="A335" s="4" t="s">
        <v>929</v>
      </c>
      <c r="B335" s="4" t="s">
        <v>923</v>
      </c>
      <c r="C335" s="4" t="s">
        <v>930</v>
      </c>
      <c r="D335" s="6">
        <v>21</v>
      </c>
      <c r="E335" s="6">
        <v>1.3</v>
      </c>
      <c r="F335" s="4" t="s">
        <v>1714</v>
      </c>
      <c r="G335" s="4" t="s">
        <v>1618</v>
      </c>
      <c r="H335" s="4" t="b">
        <v>0</v>
      </c>
      <c r="I335" s="4"/>
      <c r="J335" s="4" t="b">
        <v>0</v>
      </c>
      <c r="K335" s="4" t="s">
        <v>1600</v>
      </c>
      <c r="L335" s="5">
        <v>21</v>
      </c>
      <c r="M335" s="5">
        <v>21</v>
      </c>
      <c r="N335" s="5"/>
      <c r="O335" s="5"/>
      <c r="P335" s="5" t="s">
        <v>1708</v>
      </c>
      <c r="Q335" s="5"/>
      <c r="R335" s="5" t="s">
        <v>1709</v>
      </c>
      <c r="S335" s="5"/>
      <c r="T335" s="5"/>
      <c r="U335" s="5"/>
      <c r="V335" s="5" t="s">
        <v>1712</v>
      </c>
      <c r="W335" s="5" t="s">
        <v>1751</v>
      </c>
      <c r="X335" s="14" t="s">
        <v>69</v>
      </c>
      <c r="AE335" t="s">
        <v>243</v>
      </c>
      <c r="AF335" t="s">
        <v>52</v>
      </c>
      <c r="AG335" t="s">
        <v>3</v>
      </c>
    </row>
    <row r="336" spans="1:33" ht="28" x14ac:dyDescent="0.15">
      <c r="A336" s="4" t="s">
        <v>931</v>
      </c>
      <c r="B336" s="4" t="s">
        <v>923</v>
      </c>
      <c r="C336" s="4" t="s">
        <v>932</v>
      </c>
      <c r="D336" s="6">
        <v>25</v>
      </c>
      <c r="E336" s="6">
        <v>1.3</v>
      </c>
      <c r="F336" s="4" t="s">
        <v>1714</v>
      </c>
      <c r="G336" s="4" t="s">
        <v>1618</v>
      </c>
      <c r="H336" s="4" t="b">
        <v>0</v>
      </c>
      <c r="I336" s="4"/>
      <c r="J336" s="4" t="b">
        <v>0</v>
      </c>
      <c r="K336" s="4" t="s">
        <v>1600</v>
      </c>
      <c r="L336" s="5">
        <v>25</v>
      </c>
      <c r="M336" s="5">
        <v>25</v>
      </c>
      <c r="N336" s="5"/>
      <c r="O336" s="5"/>
      <c r="P336" s="5" t="s">
        <v>1708</v>
      </c>
      <c r="Q336" s="5"/>
      <c r="R336" s="5" t="s">
        <v>1709</v>
      </c>
      <c r="S336" s="5"/>
      <c r="T336" s="5"/>
      <c r="U336" s="5"/>
      <c r="V336" s="5" t="s">
        <v>1712</v>
      </c>
      <c r="W336" s="5" t="s">
        <v>1751</v>
      </c>
      <c r="X336" s="14" t="s">
        <v>69</v>
      </c>
      <c r="AE336" t="s">
        <v>243</v>
      </c>
      <c r="AF336" t="s">
        <v>52</v>
      </c>
      <c r="AG336" t="s">
        <v>3</v>
      </c>
    </row>
    <row r="337" spans="1:33" ht="28" x14ac:dyDescent="0.15">
      <c r="A337" s="4" t="s">
        <v>933</v>
      </c>
      <c r="B337" s="4" t="s">
        <v>923</v>
      </c>
      <c r="C337" s="4" t="s">
        <v>934</v>
      </c>
      <c r="D337" s="6">
        <v>27</v>
      </c>
      <c r="E337" s="6">
        <v>1.3</v>
      </c>
      <c r="F337" s="4" t="s">
        <v>1714</v>
      </c>
      <c r="G337" s="4" t="s">
        <v>1618</v>
      </c>
      <c r="H337" s="4" t="b">
        <v>0</v>
      </c>
      <c r="I337" s="4"/>
      <c r="J337" s="4" t="b">
        <v>0</v>
      </c>
      <c r="K337" s="4" t="s">
        <v>1600</v>
      </c>
      <c r="L337" s="5">
        <v>27</v>
      </c>
      <c r="M337" s="5">
        <v>27</v>
      </c>
      <c r="N337" s="5"/>
      <c r="O337" s="5"/>
      <c r="P337" s="5" t="s">
        <v>1708</v>
      </c>
      <c r="Q337" s="5"/>
      <c r="R337" s="5" t="s">
        <v>1709</v>
      </c>
      <c r="S337" s="5"/>
      <c r="T337" s="5"/>
      <c r="U337" s="5"/>
      <c r="V337" s="5" t="s">
        <v>1712</v>
      </c>
      <c r="W337" s="5" t="s">
        <v>1751</v>
      </c>
      <c r="X337" s="14" t="s">
        <v>69</v>
      </c>
      <c r="AE337" t="s">
        <v>243</v>
      </c>
      <c r="AF337" t="s">
        <v>52</v>
      </c>
      <c r="AG337" t="s">
        <v>3</v>
      </c>
    </row>
    <row r="338" spans="1:33" ht="28" x14ac:dyDescent="0.15">
      <c r="A338" s="4" t="s">
        <v>935</v>
      </c>
      <c r="B338" s="4" t="s">
        <v>923</v>
      </c>
      <c r="C338" s="4" t="s">
        <v>936</v>
      </c>
      <c r="D338" s="6">
        <v>32</v>
      </c>
      <c r="E338" s="6">
        <v>1.3</v>
      </c>
      <c r="F338" s="4" t="s">
        <v>1714</v>
      </c>
      <c r="G338" s="4" t="s">
        <v>1618</v>
      </c>
      <c r="H338" s="4" t="b">
        <v>0</v>
      </c>
      <c r="I338" s="4"/>
      <c r="J338" s="4" t="b">
        <v>0</v>
      </c>
      <c r="K338" s="4" t="s">
        <v>1600</v>
      </c>
      <c r="L338" s="5">
        <v>32</v>
      </c>
      <c r="M338" s="5">
        <v>32</v>
      </c>
      <c r="N338" s="5"/>
      <c r="O338" s="5"/>
      <c r="P338" s="5" t="s">
        <v>1708</v>
      </c>
      <c r="Q338" s="5"/>
      <c r="R338" s="5" t="s">
        <v>1709</v>
      </c>
      <c r="S338" s="5"/>
      <c r="T338" s="5"/>
      <c r="U338" s="5"/>
      <c r="V338" s="5" t="s">
        <v>1712</v>
      </c>
      <c r="W338" s="5" t="s">
        <v>1751</v>
      </c>
      <c r="X338" s="14" t="s">
        <v>69</v>
      </c>
      <c r="AE338" t="s">
        <v>243</v>
      </c>
      <c r="AF338" t="s">
        <v>52</v>
      </c>
      <c r="AG338" t="s">
        <v>3</v>
      </c>
    </row>
    <row r="339" spans="1:33" ht="28" x14ac:dyDescent="0.15">
      <c r="A339" s="4" t="s">
        <v>937</v>
      </c>
      <c r="B339" s="4" t="s">
        <v>923</v>
      </c>
      <c r="C339" s="4" t="s">
        <v>938</v>
      </c>
      <c r="D339" s="6">
        <v>35</v>
      </c>
      <c r="E339" s="6">
        <v>1.3</v>
      </c>
      <c r="F339" s="4" t="s">
        <v>1714</v>
      </c>
      <c r="G339" s="4" t="s">
        <v>1618</v>
      </c>
      <c r="H339" s="4" t="b">
        <v>0</v>
      </c>
      <c r="I339" s="4"/>
      <c r="J339" s="4" t="b">
        <v>0</v>
      </c>
      <c r="K339" s="4" t="s">
        <v>1600</v>
      </c>
      <c r="L339" s="5">
        <v>35</v>
      </c>
      <c r="M339" s="5">
        <v>35</v>
      </c>
      <c r="N339" s="5"/>
      <c r="O339" s="5"/>
      <c r="P339" s="5" t="s">
        <v>1708</v>
      </c>
      <c r="Q339" s="5"/>
      <c r="R339" s="5" t="s">
        <v>1709</v>
      </c>
      <c r="S339" s="5"/>
      <c r="T339" s="5"/>
      <c r="U339" s="5"/>
      <c r="V339" s="5" t="s">
        <v>1712</v>
      </c>
      <c r="W339" s="5" t="s">
        <v>1751</v>
      </c>
      <c r="X339" s="14" t="s">
        <v>69</v>
      </c>
      <c r="AE339" t="s">
        <v>243</v>
      </c>
      <c r="AF339" t="s">
        <v>52</v>
      </c>
      <c r="AG339" t="s">
        <v>3</v>
      </c>
    </row>
    <row r="340" spans="1:33" ht="28" x14ac:dyDescent="0.15">
      <c r="A340" s="4" t="s">
        <v>939</v>
      </c>
      <c r="B340" s="4" t="s">
        <v>923</v>
      </c>
      <c r="C340" s="4" t="s">
        <v>940</v>
      </c>
      <c r="D340" s="6">
        <v>40</v>
      </c>
      <c r="E340" s="6">
        <v>1.3</v>
      </c>
      <c r="F340" s="4" t="s">
        <v>1714</v>
      </c>
      <c r="G340" s="4" t="s">
        <v>1618</v>
      </c>
      <c r="H340" s="4" t="b">
        <v>0</v>
      </c>
      <c r="I340" s="4"/>
      <c r="J340" s="4" t="b">
        <v>0</v>
      </c>
      <c r="K340" s="4" t="s">
        <v>1600</v>
      </c>
      <c r="L340" s="5">
        <v>40</v>
      </c>
      <c r="M340" s="5">
        <v>40</v>
      </c>
      <c r="N340" s="5"/>
      <c r="O340" s="5"/>
      <c r="P340" s="5" t="s">
        <v>1708</v>
      </c>
      <c r="Q340" s="5"/>
      <c r="R340" s="5" t="s">
        <v>1709</v>
      </c>
      <c r="S340" s="5"/>
      <c r="T340" s="5"/>
      <c r="U340" s="5"/>
      <c r="V340" s="5" t="s">
        <v>1712</v>
      </c>
      <c r="W340" s="5" t="s">
        <v>1751</v>
      </c>
      <c r="X340" s="14" t="s">
        <v>69</v>
      </c>
      <c r="AE340" t="s">
        <v>243</v>
      </c>
      <c r="AF340" t="s">
        <v>52</v>
      </c>
      <c r="AG340" t="s">
        <v>3</v>
      </c>
    </row>
    <row r="341" spans="1:33" ht="28" x14ac:dyDescent="0.15">
      <c r="A341" s="4" t="s">
        <v>941</v>
      </c>
      <c r="B341" s="4" t="s">
        <v>923</v>
      </c>
      <c r="C341" s="4" t="s">
        <v>942</v>
      </c>
      <c r="D341" s="6">
        <v>50</v>
      </c>
      <c r="E341" s="6">
        <v>1.3</v>
      </c>
      <c r="F341" s="4" t="s">
        <v>1714</v>
      </c>
      <c r="G341" s="4" t="s">
        <v>1618</v>
      </c>
      <c r="H341" s="4" t="b">
        <v>0</v>
      </c>
      <c r="I341" s="4"/>
      <c r="J341" s="4" t="b">
        <v>0</v>
      </c>
      <c r="K341" s="4" t="s">
        <v>1600</v>
      </c>
      <c r="L341" s="5">
        <v>50</v>
      </c>
      <c r="M341" s="5">
        <v>50</v>
      </c>
      <c r="N341" s="5"/>
      <c r="O341" s="5"/>
      <c r="P341" s="5" t="s">
        <v>1708</v>
      </c>
      <c r="Q341" s="5"/>
      <c r="R341" s="5" t="s">
        <v>1709</v>
      </c>
      <c r="S341" s="5"/>
      <c r="T341" s="5"/>
      <c r="U341" s="5"/>
      <c r="V341" s="5" t="s">
        <v>1712</v>
      </c>
      <c r="W341" s="5" t="s">
        <v>1751</v>
      </c>
      <c r="X341" s="14" t="s">
        <v>69</v>
      </c>
      <c r="AE341" t="s">
        <v>243</v>
      </c>
      <c r="AF341" t="s">
        <v>52</v>
      </c>
      <c r="AG341" t="s">
        <v>3</v>
      </c>
    </row>
    <row r="342" spans="1:33" ht="28" x14ac:dyDescent="0.15">
      <c r="A342" s="4" t="s">
        <v>943</v>
      </c>
      <c r="B342" s="4" t="s">
        <v>923</v>
      </c>
      <c r="C342" s="4" t="s">
        <v>944</v>
      </c>
      <c r="D342" s="6">
        <v>65</v>
      </c>
      <c r="E342" s="6">
        <v>1.3</v>
      </c>
      <c r="F342" s="4" t="s">
        <v>1714</v>
      </c>
      <c r="G342" s="4" t="s">
        <v>1618</v>
      </c>
      <c r="H342" s="4" t="b">
        <v>0</v>
      </c>
      <c r="I342" s="4"/>
      <c r="J342" s="4" t="b">
        <v>0</v>
      </c>
      <c r="K342" s="4" t="s">
        <v>1600</v>
      </c>
      <c r="L342" s="5">
        <v>65</v>
      </c>
      <c r="M342" s="5">
        <v>65</v>
      </c>
      <c r="N342" s="5"/>
      <c r="O342" s="5"/>
      <c r="P342" s="5" t="s">
        <v>1708</v>
      </c>
      <c r="Q342" s="5"/>
      <c r="R342" s="5" t="s">
        <v>1709</v>
      </c>
      <c r="S342" s="5"/>
      <c r="T342" s="5"/>
      <c r="U342" s="5"/>
      <c r="V342" s="5" t="s">
        <v>1712</v>
      </c>
      <c r="W342" s="5" t="s">
        <v>1751</v>
      </c>
      <c r="X342" s="14" t="s">
        <v>69</v>
      </c>
      <c r="AE342" t="s">
        <v>243</v>
      </c>
      <c r="AF342" t="s">
        <v>52</v>
      </c>
      <c r="AG342" t="s">
        <v>3</v>
      </c>
    </row>
    <row r="343" spans="1:33" ht="28" x14ac:dyDescent="0.15">
      <c r="A343" s="4" t="s">
        <v>945</v>
      </c>
      <c r="B343" s="4" t="s">
        <v>923</v>
      </c>
      <c r="C343" s="4" t="s">
        <v>946</v>
      </c>
      <c r="D343" s="6">
        <v>85</v>
      </c>
      <c r="E343" s="6">
        <v>1.3</v>
      </c>
      <c r="F343" s="4" t="s">
        <v>1714</v>
      </c>
      <c r="G343" s="4" t="s">
        <v>1618</v>
      </c>
      <c r="H343" s="4" t="b">
        <v>0</v>
      </c>
      <c r="I343" s="4"/>
      <c r="J343" s="4" t="b">
        <v>0</v>
      </c>
      <c r="K343" s="4" t="s">
        <v>1600</v>
      </c>
      <c r="L343" s="5">
        <v>85</v>
      </c>
      <c r="M343" s="5">
        <v>85</v>
      </c>
      <c r="N343" s="5"/>
      <c r="O343" s="5"/>
      <c r="P343" s="5" t="s">
        <v>1708</v>
      </c>
      <c r="Q343" s="5"/>
      <c r="R343" s="5" t="s">
        <v>1709</v>
      </c>
      <c r="S343" s="5"/>
      <c r="T343" s="5"/>
      <c r="U343" s="5"/>
      <c r="V343" s="5" t="s">
        <v>1712</v>
      </c>
      <c r="W343" s="5" t="s">
        <v>1751</v>
      </c>
      <c r="X343" s="14" t="s">
        <v>69</v>
      </c>
      <c r="AE343" t="s">
        <v>243</v>
      </c>
      <c r="AF343" t="s">
        <v>52</v>
      </c>
      <c r="AG343" t="s">
        <v>3</v>
      </c>
    </row>
    <row r="344" spans="1:33" ht="28" x14ac:dyDescent="0.15">
      <c r="A344" s="4" t="s">
        <v>947</v>
      </c>
      <c r="B344" s="4" t="s">
        <v>923</v>
      </c>
      <c r="C344" s="4" t="s">
        <v>948</v>
      </c>
      <c r="D344" s="6">
        <v>100</v>
      </c>
      <c r="E344" s="6">
        <v>1.3</v>
      </c>
      <c r="F344" s="4" t="s">
        <v>1714</v>
      </c>
      <c r="G344" s="4" t="s">
        <v>1618</v>
      </c>
      <c r="H344" s="4" t="b">
        <v>0</v>
      </c>
      <c r="I344" s="4"/>
      <c r="J344" s="4" t="b">
        <v>0</v>
      </c>
      <c r="K344" s="4" t="s">
        <v>1600</v>
      </c>
      <c r="L344" s="5">
        <v>100</v>
      </c>
      <c r="M344" s="5">
        <v>100</v>
      </c>
      <c r="N344" s="5"/>
      <c r="O344" s="5"/>
      <c r="P344" s="5" t="s">
        <v>1708</v>
      </c>
      <c r="Q344" s="5"/>
      <c r="R344" s="5" t="s">
        <v>1709</v>
      </c>
      <c r="S344" s="5"/>
      <c r="T344" s="5"/>
      <c r="U344" s="5"/>
      <c r="V344" s="5" t="s">
        <v>1712</v>
      </c>
      <c r="W344" s="5" t="s">
        <v>1751</v>
      </c>
      <c r="X344" s="14" t="s">
        <v>69</v>
      </c>
      <c r="AE344" t="s">
        <v>243</v>
      </c>
      <c r="AF344" t="s">
        <v>52</v>
      </c>
      <c r="AG344" t="s">
        <v>3</v>
      </c>
    </row>
    <row r="345" spans="1:33" ht="28" x14ac:dyDescent="0.15">
      <c r="A345" s="4" t="s">
        <v>949</v>
      </c>
      <c r="B345" s="4" t="s">
        <v>923</v>
      </c>
      <c r="C345" s="4" t="s">
        <v>950</v>
      </c>
      <c r="D345" s="6">
        <v>135</v>
      </c>
      <c r="E345" s="6">
        <v>1.3</v>
      </c>
      <c r="F345" s="4" t="s">
        <v>1714</v>
      </c>
      <c r="G345" s="4" t="s">
        <v>1618</v>
      </c>
      <c r="H345" s="4" t="b">
        <v>0</v>
      </c>
      <c r="I345" s="4"/>
      <c r="J345" s="4" t="b">
        <v>0</v>
      </c>
      <c r="K345" s="4" t="s">
        <v>1600</v>
      </c>
      <c r="L345" s="5">
        <v>135</v>
      </c>
      <c r="M345" s="5">
        <v>135</v>
      </c>
      <c r="N345" s="5"/>
      <c r="O345" s="5"/>
      <c r="P345" s="5" t="s">
        <v>1708</v>
      </c>
      <c r="Q345" s="5"/>
      <c r="R345" s="5" t="s">
        <v>1709</v>
      </c>
      <c r="S345" s="5"/>
      <c r="T345" s="5"/>
      <c r="U345" s="5"/>
      <c r="V345" s="5" t="s">
        <v>1712</v>
      </c>
      <c r="W345" s="5" t="s">
        <v>1751</v>
      </c>
      <c r="X345" s="14" t="s">
        <v>69</v>
      </c>
      <c r="AE345" t="s">
        <v>243</v>
      </c>
      <c r="AF345" t="s">
        <v>52</v>
      </c>
      <c r="AG345" t="s">
        <v>3</v>
      </c>
    </row>
    <row r="346" spans="1:33" ht="14" x14ac:dyDescent="0.15">
      <c r="A346" s="4" t="s">
        <v>951</v>
      </c>
      <c r="B346" s="4" t="s">
        <v>923</v>
      </c>
      <c r="C346" s="4" t="s">
        <v>952</v>
      </c>
      <c r="D346" s="6">
        <v>15</v>
      </c>
      <c r="E346" s="6">
        <v>1.5</v>
      </c>
      <c r="F346" s="4" t="s">
        <v>1714</v>
      </c>
      <c r="G346" s="4" t="s">
        <v>1618</v>
      </c>
      <c r="H346" s="4" t="b">
        <v>0</v>
      </c>
      <c r="I346" s="4"/>
      <c r="J346" s="4" t="b">
        <v>0</v>
      </c>
      <c r="K346" s="4" t="s">
        <v>1600</v>
      </c>
      <c r="L346" s="5">
        <v>15</v>
      </c>
      <c r="M346" s="5">
        <v>15</v>
      </c>
      <c r="N346" s="5"/>
      <c r="O346" s="5"/>
      <c r="P346" s="5" t="s">
        <v>1708</v>
      </c>
      <c r="Q346" s="5"/>
      <c r="R346" s="5" t="s">
        <v>1709</v>
      </c>
      <c r="S346" s="5"/>
      <c r="T346" s="5"/>
      <c r="U346" s="5"/>
      <c r="V346" s="5"/>
      <c r="W346" s="5" t="s">
        <v>1619</v>
      </c>
      <c r="X346" s="14" t="s">
        <v>69</v>
      </c>
      <c r="AE346" t="s">
        <v>243</v>
      </c>
      <c r="AF346" t="s">
        <v>52</v>
      </c>
      <c r="AG346" t="s">
        <v>3</v>
      </c>
    </row>
    <row r="347" spans="1:33" ht="14" x14ac:dyDescent="0.15">
      <c r="A347" s="4" t="s">
        <v>953</v>
      </c>
      <c r="B347" s="4" t="s">
        <v>923</v>
      </c>
      <c r="C347" s="4" t="s">
        <v>954</v>
      </c>
      <c r="D347" s="6">
        <v>18</v>
      </c>
      <c r="E347" s="6">
        <v>1.5</v>
      </c>
      <c r="F347" s="4" t="s">
        <v>1714</v>
      </c>
      <c r="G347" s="4" t="s">
        <v>1618</v>
      </c>
      <c r="H347" s="4" t="b">
        <v>0</v>
      </c>
      <c r="I347" s="4"/>
      <c r="J347" s="4" t="b">
        <v>0</v>
      </c>
      <c r="K347" s="4" t="s">
        <v>1600</v>
      </c>
      <c r="L347" s="5">
        <v>18</v>
      </c>
      <c r="M347" s="5">
        <v>18</v>
      </c>
      <c r="N347" s="5"/>
      <c r="O347" s="5"/>
      <c r="P347" s="5" t="s">
        <v>1708</v>
      </c>
      <c r="Q347" s="5"/>
      <c r="R347" s="5" t="s">
        <v>1709</v>
      </c>
      <c r="S347" s="5"/>
      <c r="T347" s="5"/>
      <c r="U347" s="5"/>
      <c r="V347" s="5"/>
      <c r="W347" s="5" t="s">
        <v>1619</v>
      </c>
      <c r="X347" s="14" t="s">
        <v>69</v>
      </c>
      <c r="AE347" t="s">
        <v>243</v>
      </c>
      <c r="AF347" t="s">
        <v>52</v>
      </c>
      <c r="AG347" t="s">
        <v>3</v>
      </c>
    </row>
    <row r="348" spans="1:33" ht="14" x14ac:dyDescent="0.15">
      <c r="A348" s="4" t="s">
        <v>955</v>
      </c>
      <c r="B348" s="4" t="s">
        <v>923</v>
      </c>
      <c r="C348" s="4" t="s">
        <v>956</v>
      </c>
      <c r="D348" s="6">
        <v>21</v>
      </c>
      <c r="E348" s="6">
        <v>1.5</v>
      </c>
      <c r="F348" s="4" t="s">
        <v>1714</v>
      </c>
      <c r="G348" s="4" t="s">
        <v>1618</v>
      </c>
      <c r="H348" s="4" t="b">
        <v>0</v>
      </c>
      <c r="I348" s="4"/>
      <c r="J348" s="4" t="b">
        <v>0</v>
      </c>
      <c r="K348" s="4" t="s">
        <v>1600</v>
      </c>
      <c r="L348" s="5">
        <v>21</v>
      </c>
      <c r="M348" s="5">
        <v>21</v>
      </c>
      <c r="N348" s="5"/>
      <c r="O348" s="5"/>
      <c r="P348" s="5" t="s">
        <v>1708</v>
      </c>
      <c r="Q348" s="5"/>
      <c r="R348" s="5" t="s">
        <v>1709</v>
      </c>
      <c r="S348" s="5"/>
      <c r="T348" s="5"/>
      <c r="U348" s="5"/>
      <c r="V348" s="5"/>
      <c r="W348" s="5" t="s">
        <v>1619</v>
      </c>
      <c r="X348" s="14" t="s">
        <v>69</v>
      </c>
      <c r="AE348" t="s">
        <v>243</v>
      </c>
      <c r="AF348" t="s">
        <v>52</v>
      </c>
      <c r="AG348" t="s">
        <v>3</v>
      </c>
    </row>
    <row r="349" spans="1:33" ht="14" x14ac:dyDescent="0.15">
      <c r="A349" s="4" t="s">
        <v>957</v>
      </c>
      <c r="B349" s="4" t="s">
        <v>923</v>
      </c>
      <c r="C349" s="4" t="s">
        <v>958</v>
      </c>
      <c r="D349" s="6">
        <v>25</v>
      </c>
      <c r="E349" s="6">
        <v>1.5</v>
      </c>
      <c r="F349" s="4" t="s">
        <v>1714</v>
      </c>
      <c r="G349" s="4" t="s">
        <v>1618</v>
      </c>
      <c r="H349" s="4" t="b">
        <v>0</v>
      </c>
      <c r="I349" s="4"/>
      <c r="J349" s="4" t="b">
        <v>0</v>
      </c>
      <c r="K349" s="4" t="s">
        <v>1600</v>
      </c>
      <c r="L349" s="5">
        <v>25</v>
      </c>
      <c r="M349" s="5">
        <v>25</v>
      </c>
      <c r="N349" s="5"/>
      <c r="O349" s="5"/>
      <c r="P349" s="5" t="s">
        <v>1708</v>
      </c>
      <c r="Q349" s="5"/>
      <c r="R349" s="5" t="s">
        <v>1709</v>
      </c>
      <c r="S349" s="5"/>
      <c r="T349" s="5"/>
      <c r="U349" s="5"/>
      <c r="V349" s="5"/>
      <c r="W349" s="5" t="s">
        <v>1619</v>
      </c>
      <c r="X349" s="14" t="s">
        <v>69</v>
      </c>
      <c r="AE349" t="s">
        <v>243</v>
      </c>
      <c r="AF349" t="s">
        <v>52</v>
      </c>
      <c r="AG349" t="s">
        <v>3</v>
      </c>
    </row>
    <row r="350" spans="1:33" ht="14" x14ac:dyDescent="0.15">
      <c r="A350" s="4" t="s">
        <v>959</v>
      </c>
      <c r="B350" s="4" t="s">
        <v>923</v>
      </c>
      <c r="C350" s="4" t="s">
        <v>960</v>
      </c>
      <c r="D350" s="6">
        <v>29</v>
      </c>
      <c r="E350" s="6">
        <v>1.5</v>
      </c>
      <c r="F350" s="4" t="s">
        <v>1714</v>
      </c>
      <c r="G350" s="4" t="s">
        <v>1618</v>
      </c>
      <c r="H350" s="4" t="b">
        <v>0</v>
      </c>
      <c r="I350" s="4"/>
      <c r="J350" s="4" t="b">
        <v>0</v>
      </c>
      <c r="K350" s="4" t="s">
        <v>1600</v>
      </c>
      <c r="L350" s="5">
        <v>29</v>
      </c>
      <c r="M350" s="5">
        <v>29</v>
      </c>
      <c r="N350" s="5"/>
      <c r="O350" s="5"/>
      <c r="P350" s="5" t="s">
        <v>1708</v>
      </c>
      <c r="Q350" s="5"/>
      <c r="R350" s="5" t="s">
        <v>1709</v>
      </c>
      <c r="S350" s="5"/>
      <c r="T350" s="5"/>
      <c r="U350" s="5"/>
      <c r="V350" s="5"/>
      <c r="W350" s="5" t="s">
        <v>1619</v>
      </c>
      <c r="X350" s="14" t="s">
        <v>69</v>
      </c>
      <c r="AE350" t="s">
        <v>243</v>
      </c>
      <c r="AF350" t="s">
        <v>52</v>
      </c>
      <c r="AG350" t="s">
        <v>3</v>
      </c>
    </row>
    <row r="351" spans="1:33" ht="14" x14ac:dyDescent="0.15">
      <c r="A351" s="4" t="s">
        <v>961</v>
      </c>
      <c r="B351" s="4" t="s">
        <v>923</v>
      </c>
      <c r="C351" s="4" t="s">
        <v>962</v>
      </c>
      <c r="D351" s="6">
        <v>35</v>
      </c>
      <c r="E351" s="6">
        <v>1.5</v>
      </c>
      <c r="F351" s="4" t="s">
        <v>1714</v>
      </c>
      <c r="G351" s="4" t="s">
        <v>1618</v>
      </c>
      <c r="H351" s="4" t="b">
        <v>0</v>
      </c>
      <c r="I351" s="4"/>
      <c r="J351" s="4" t="b">
        <v>0</v>
      </c>
      <c r="K351" s="4" t="s">
        <v>1600</v>
      </c>
      <c r="L351" s="5">
        <v>35</v>
      </c>
      <c r="M351" s="5">
        <v>35</v>
      </c>
      <c r="N351" s="5"/>
      <c r="O351" s="5"/>
      <c r="P351" s="5" t="s">
        <v>1708</v>
      </c>
      <c r="Q351" s="5"/>
      <c r="R351" s="5" t="s">
        <v>1709</v>
      </c>
      <c r="S351" s="5"/>
      <c r="T351" s="5"/>
      <c r="U351" s="5"/>
      <c r="V351" s="5"/>
      <c r="W351" s="5" t="s">
        <v>1619</v>
      </c>
      <c r="X351" s="14" t="s">
        <v>69</v>
      </c>
      <c r="AE351" t="s">
        <v>243</v>
      </c>
      <c r="AF351" t="s">
        <v>52</v>
      </c>
      <c r="AG351" t="s">
        <v>3</v>
      </c>
    </row>
    <row r="352" spans="1:33" ht="14" x14ac:dyDescent="0.15">
      <c r="A352" s="4" t="s">
        <v>963</v>
      </c>
      <c r="B352" s="4" t="s">
        <v>923</v>
      </c>
      <c r="C352" s="4" t="s">
        <v>964</v>
      </c>
      <c r="D352" s="6">
        <v>50</v>
      </c>
      <c r="E352" s="6">
        <v>1.5</v>
      </c>
      <c r="F352" s="4" t="s">
        <v>1714</v>
      </c>
      <c r="G352" s="4" t="s">
        <v>1618</v>
      </c>
      <c r="H352" s="4" t="b">
        <v>0</v>
      </c>
      <c r="I352" s="4"/>
      <c r="J352" s="4" t="b">
        <v>0</v>
      </c>
      <c r="K352" s="4" t="s">
        <v>1600</v>
      </c>
      <c r="L352" s="5">
        <v>50</v>
      </c>
      <c r="M352" s="5">
        <v>50</v>
      </c>
      <c r="N352" s="5"/>
      <c r="O352" s="5"/>
      <c r="P352" s="5" t="s">
        <v>1708</v>
      </c>
      <c r="Q352" s="5"/>
      <c r="R352" s="5" t="s">
        <v>1709</v>
      </c>
      <c r="S352" s="5"/>
      <c r="T352" s="5"/>
      <c r="U352" s="5"/>
      <c r="V352" s="5"/>
      <c r="W352" s="5" t="s">
        <v>1619</v>
      </c>
      <c r="X352" s="14" t="s">
        <v>69</v>
      </c>
      <c r="AE352" t="s">
        <v>243</v>
      </c>
      <c r="AF352" t="s">
        <v>52</v>
      </c>
      <c r="AG352" t="s">
        <v>3</v>
      </c>
    </row>
    <row r="353" spans="1:33" ht="14" x14ac:dyDescent="0.15">
      <c r="A353" s="4" t="s">
        <v>965</v>
      </c>
      <c r="B353" s="4" t="s">
        <v>923</v>
      </c>
      <c r="C353" s="4" t="s">
        <v>966</v>
      </c>
      <c r="D353" s="6">
        <v>65</v>
      </c>
      <c r="E353" s="6">
        <v>1.5</v>
      </c>
      <c r="F353" s="4" t="s">
        <v>1714</v>
      </c>
      <c r="G353" s="4" t="s">
        <v>1618</v>
      </c>
      <c r="H353" s="4" t="b">
        <v>0</v>
      </c>
      <c r="I353" s="4"/>
      <c r="J353" s="4" t="b">
        <v>0</v>
      </c>
      <c r="K353" s="4" t="s">
        <v>1600</v>
      </c>
      <c r="L353" s="5">
        <v>65</v>
      </c>
      <c r="M353" s="5">
        <v>65</v>
      </c>
      <c r="N353" s="5"/>
      <c r="O353" s="5"/>
      <c r="P353" s="5" t="s">
        <v>1708</v>
      </c>
      <c r="Q353" s="5"/>
      <c r="R353" s="5" t="s">
        <v>1709</v>
      </c>
      <c r="S353" s="5"/>
      <c r="T353" s="5"/>
      <c r="U353" s="5"/>
      <c r="V353" s="5"/>
      <c r="W353" s="5" t="s">
        <v>1619</v>
      </c>
      <c r="X353" s="14" t="s">
        <v>69</v>
      </c>
      <c r="AE353" t="s">
        <v>243</v>
      </c>
      <c r="AF353" t="s">
        <v>52</v>
      </c>
      <c r="AG353" t="s">
        <v>3</v>
      </c>
    </row>
    <row r="354" spans="1:33" ht="14" x14ac:dyDescent="0.15">
      <c r="A354" s="4" t="s">
        <v>967</v>
      </c>
      <c r="B354" s="4" t="s">
        <v>923</v>
      </c>
      <c r="C354" s="4" t="s">
        <v>968</v>
      </c>
      <c r="D354" s="6">
        <v>85</v>
      </c>
      <c r="E354" s="6">
        <v>1.5</v>
      </c>
      <c r="F354" s="4" t="s">
        <v>1714</v>
      </c>
      <c r="G354" s="4" t="s">
        <v>1618</v>
      </c>
      <c r="H354" s="4" t="b">
        <v>0</v>
      </c>
      <c r="I354" s="4"/>
      <c r="J354" s="4" t="b">
        <v>0</v>
      </c>
      <c r="K354" s="4" t="s">
        <v>1600</v>
      </c>
      <c r="L354" s="5">
        <v>85</v>
      </c>
      <c r="M354" s="5">
        <v>85</v>
      </c>
      <c r="N354" s="5"/>
      <c r="O354" s="5"/>
      <c r="P354" s="5" t="s">
        <v>1708</v>
      </c>
      <c r="Q354" s="5"/>
      <c r="R354" s="5" t="s">
        <v>1709</v>
      </c>
      <c r="S354" s="5"/>
      <c r="T354" s="5"/>
      <c r="U354" s="5"/>
      <c r="V354" s="5"/>
      <c r="W354" s="5" t="s">
        <v>1619</v>
      </c>
      <c r="X354" s="14" t="s">
        <v>69</v>
      </c>
      <c r="AE354" t="s">
        <v>243</v>
      </c>
      <c r="AF354" t="s">
        <v>52</v>
      </c>
      <c r="AG354" t="s">
        <v>3</v>
      </c>
    </row>
    <row r="355" spans="1:33" ht="14" x14ac:dyDescent="0.15">
      <c r="A355" s="4" t="s">
        <v>969</v>
      </c>
      <c r="B355" s="4" t="s">
        <v>923</v>
      </c>
      <c r="C355" s="4" t="s">
        <v>970</v>
      </c>
      <c r="D355" s="6">
        <v>100</v>
      </c>
      <c r="E355" s="6">
        <v>1.5</v>
      </c>
      <c r="F355" s="4" t="s">
        <v>1714</v>
      </c>
      <c r="G355" s="4" t="s">
        <v>1618</v>
      </c>
      <c r="H355" s="4" t="b">
        <v>0</v>
      </c>
      <c r="I355" s="4"/>
      <c r="J355" s="4" t="b">
        <v>0</v>
      </c>
      <c r="K355" s="4" t="s">
        <v>1600</v>
      </c>
      <c r="L355" s="5">
        <v>100</v>
      </c>
      <c r="M355" s="5">
        <v>100</v>
      </c>
      <c r="N355" s="5"/>
      <c r="O355" s="5"/>
      <c r="P355" s="5" t="s">
        <v>1708</v>
      </c>
      <c r="Q355" s="5"/>
      <c r="R355" s="5" t="s">
        <v>1709</v>
      </c>
      <c r="S355" s="5"/>
      <c r="T355" s="5"/>
      <c r="U355" s="5"/>
      <c r="V355" s="5"/>
      <c r="W355" s="5" t="s">
        <v>1619</v>
      </c>
      <c r="X355" s="14" t="s">
        <v>69</v>
      </c>
      <c r="AE355" t="s">
        <v>243</v>
      </c>
      <c r="AF355" t="s">
        <v>52</v>
      </c>
      <c r="AG355" t="s">
        <v>3</v>
      </c>
    </row>
    <row r="356" spans="1:33" ht="14" x14ac:dyDescent="0.15">
      <c r="A356" s="4" t="s">
        <v>971</v>
      </c>
      <c r="B356" s="4" t="s">
        <v>923</v>
      </c>
      <c r="C356" s="4" t="s">
        <v>972</v>
      </c>
      <c r="D356" s="6">
        <v>125</v>
      </c>
      <c r="E356" s="6">
        <v>1.5</v>
      </c>
      <c r="F356" s="4" t="s">
        <v>1714</v>
      </c>
      <c r="G356" s="4" t="s">
        <v>1618</v>
      </c>
      <c r="H356" s="4" t="b">
        <v>0</v>
      </c>
      <c r="I356" s="4"/>
      <c r="J356" s="4" t="b">
        <v>0</v>
      </c>
      <c r="K356" s="4" t="s">
        <v>1600</v>
      </c>
      <c r="L356" s="5">
        <v>125</v>
      </c>
      <c r="M356" s="5">
        <v>125</v>
      </c>
      <c r="N356" s="5"/>
      <c r="O356" s="5"/>
      <c r="P356" s="5" t="s">
        <v>1708</v>
      </c>
      <c r="Q356" s="5"/>
      <c r="R356" s="5" t="s">
        <v>1709</v>
      </c>
      <c r="S356" s="5"/>
      <c r="T356" s="5"/>
      <c r="U356" s="5"/>
      <c r="V356" s="5"/>
      <c r="W356" s="5" t="s">
        <v>1619</v>
      </c>
      <c r="X356" s="14" t="s">
        <v>69</v>
      </c>
      <c r="AE356" t="s">
        <v>243</v>
      </c>
      <c r="AF356" t="s">
        <v>52</v>
      </c>
      <c r="AG356" t="s">
        <v>3</v>
      </c>
    </row>
    <row r="357" spans="1:33" ht="14" x14ac:dyDescent="0.15">
      <c r="A357" s="4" t="s">
        <v>973</v>
      </c>
      <c r="B357" s="4" t="s">
        <v>923</v>
      </c>
      <c r="C357" s="4" t="s">
        <v>974</v>
      </c>
      <c r="D357" s="6">
        <v>150</v>
      </c>
      <c r="E357" s="6">
        <v>1.5</v>
      </c>
      <c r="F357" s="4" t="s">
        <v>1714</v>
      </c>
      <c r="G357" s="4" t="s">
        <v>1618</v>
      </c>
      <c r="H357" s="4" t="b">
        <v>0</v>
      </c>
      <c r="I357" s="4"/>
      <c r="J357" s="4" t="b">
        <v>0</v>
      </c>
      <c r="K357" s="4" t="s">
        <v>1600</v>
      </c>
      <c r="L357" s="5">
        <v>150</v>
      </c>
      <c r="M357" s="5">
        <v>150</v>
      </c>
      <c r="N357" s="5"/>
      <c r="O357" s="5"/>
      <c r="P357" s="5" t="s">
        <v>1708</v>
      </c>
      <c r="Q357" s="5"/>
      <c r="R357" s="5" t="s">
        <v>1709</v>
      </c>
      <c r="S357" s="5"/>
      <c r="T357" s="5"/>
      <c r="U357" s="5"/>
      <c r="V357" s="5"/>
      <c r="W357" s="5" t="s">
        <v>1619</v>
      </c>
      <c r="X357" s="14" t="s">
        <v>69</v>
      </c>
      <c r="AE357" t="s">
        <v>243</v>
      </c>
      <c r="AF357" t="s">
        <v>52</v>
      </c>
      <c r="AG357" t="s">
        <v>3</v>
      </c>
    </row>
    <row r="358" spans="1:33" ht="14" x14ac:dyDescent="0.15">
      <c r="A358" s="4" t="s">
        <v>975</v>
      </c>
      <c r="B358" s="4" t="s">
        <v>923</v>
      </c>
      <c r="C358" s="4" t="s">
        <v>976</v>
      </c>
      <c r="D358" s="6">
        <v>200</v>
      </c>
      <c r="E358" s="6">
        <v>1.5</v>
      </c>
      <c r="F358" s="4" t="s">
        <v>1714</v>
      </c>
      <c r="G358" s="4" t="s">
        <v>1618</v>
      </c>
      <c r="H358" s="4" t="b">
        <v>0</v>
      </c>
      <c r="I358" s="4"/>
      <c r="J358" s="4" t="b">
        <v>0</v>
      </c>
      <c r="K358" s="4" t="s">
        <v>1600</v>
      </c>
      <c r="L358" s="5">
        <v>200</v>
      </c>
      <c r="M358" s="5">
        <v>200</v>
      </c>
      <c r="N358" s="5"/>
      <c r="O358" s="5"/>
      <c r="P358" s="5" t="s">
        <v>1708</v>
      </c>
      <c r="Q358" s="5"/>
      <c r="R358" s="5" t="s">
        <v>1709</v>
      </c>
      <c r="S358" s="5"/>
      <c r="T358" s="5"/>
      <c r="U358" s="5"/>
      <c r="V358" s="5"/>
      <c r="W358" s="5" t="s">
        <v>1619</v>
      </c>
      <c r="X358" s="14" t="s">
        <v>69</v>
      </c>
      <c r="AE358" t="s">
        <v>243</v>
      </c>
      <c r="AF358" t="s">
        <v>52</v>
      </c>
      <c r="AG358" t="s">
        <v>3</v>
      </c>
    </row>
    <row r="359" spans="1:33" ht="14" x14ac:dyDescent="0.15">
      <c r="A359" s="4" t="s">
        <v>977</v>
      </c>
      <c r="B359" s="4" t="s">
        <v>923</v>
      </c>
      <c r="C359" s="4" t="s">
        <v>978</v>
      </c>
      <c r="D359" s="6">
        <v>16</v>
      </c>
      <c r="E359" s="6">
        <v>2.8</v>
      </c>
      <c r="F359" s="4" t="s">
        <v>1711</v>
      </c>
      <c r="G359" s="4" t="s">
        <v>1618</v>
      </c>
      <c r="H359" s="4" t="b">
        <v>0</v>
      </c>
      <c r="I359" s="4"/>
      <c r="J359" s="4" t="b">
        <v>0</v>
      </c>
      <c r="K359" s="4" t="s">
        <v>1600</v>
      </c>
      <c r="L359" s="5">
        <v>16</v>
      </c>
      <c r="M359" s="5">
        <v>16</v>
      </c>
      <c r="N359" s="5"/>
      <c r="O359" s="5"/>
      <c r="P359" s="5" t="s">
        <v>1708</v>
      </c>
      <c r="Q359" s="5"/>
      <c r="R359" s="5" t="s">
        <v>1709</v>
      </c>
      <c r="S359" s="5"/>
      <c r="T359" s="5"/>
      <c r="U359" s="5"/>
      <c r="V359" s="5"/>
      <c r="W359" s="5" t="s">
        <v>1619</v>
      </c>
      <c r="X359" s="14" t="s">
        <v>69</v>
      </c>
      <c r="AE359" t="s">
        <v>243</v>
      </c>
      <c r="AF359" t="s">
        <v>52</v>
      </c>
      <c r="AG359" t="s">
        <v>3</v>
      </c>
    </row>
    <row r="360" spans="1:33" ht="14" x14ac:dyDescent="0.15">
      <c r="A360" s="4" t="s">
        <v>979</v>
      </c>
      <c r="B360" s="4" t="s">
        <v>923</v>
      </c>
      <c r="C360" s="4" t="s">
        <v>980</v>
      </c>
      <c r="D360" s="6">
        <v>20</v>
      </c>
      <c r="E360" s="6">
        <v>2.8</v>
      </c>
      <c r="F360" s="4" t="s">
        <v>1711</v>
      </c>
      <c r="G360" s="4" t="s">
        <v>1618</v>
      </c>
      <c r="H360" s="4" t="b">
        <v>0</v>
      </c>
      <c r="I360" s="4"/>
      <c r="J360" s="4" t="b">
        <v>0</v>
      </c>
      <c r="K360" s="4" t="s">
        <v>1600</v>
      </c>
      <c r="L360" s="5">
        <v>20</v>
      </c>
      <c r="M360" s="5">
        <v>20</v>
      </c>
      <c r="N360" s="5"/>
      <c r="O360" s="5"/>
      <c r="P360" s="5" t="s">
        <v>1708</v>
      </c>
      <c r="Q360" s="5"/>
      <c r="R360" s="5" t="s">
        <v>1709</v>
      </c>
      <c r="S360" s="5"/>
      <c r="T360" s="5"/>
      <c r="U360" s="5"/>
      <c r="V360" s="5"/>
      <c r="W360" s="5" t="s">
        <v>1619</v>
      </c>
      <c r="X360" s="14" t="s">
        <v>69</v>
      </c>
      <c r="AE360" t="s">
        <v>243</v>
      </c>
      <c r="AF360" t="s">
        <v>52</v>
      </c>
      <c r="AG360" t="s">
        <v>3</v>
      </c>
    </row>
    <row r="361" spans="1:33" ht="14" x14ac:dyDescent="0.15">
      <c r="A361" s="4" t="s">
        <v>981</v>
      </c>
      <c r="B361" s="4" t="s">
        <v>923</v>
      </c>
      <c r="C361" s="4" t="s">
        <v>982</v>
      </c>
      <c r="D361" s="6">
        <v>24</v>
      </c>
      <c r="E361" s="6">
        <v>2.8</v>
      </c>
      <c r="F361" s="4" t="s">
        <v>1711</v>
      </c>
      <c r="G361" s="4" t="s">
        <v>1618</v>
      </c>
      <c r="H361" s="4" t="b">
        <v>0</v>
      </c>
      <c r="I361" s="4"/>
      <c r="J361" s="4" t="b">
        <v>0</v>
      </c>
      <c r="K361" s="4" t="s">
        <v>1600</v>
      </c>
      <c r="L361" s="5">
        <v>24</v>
      </c>
      <c r="M361" s="5">
        <v>24</v>
      </c>
      <c r="N361" s="5"/>
      <c r="O361" s="5"/>
      <c r="P361" s="5" t="s">
        <v>1708</v>
      </c>
      <c r="Q361" s="5"/>
      <c r="R361" s="5" t="s">
        <v>1709</v>
      </c>
      <c r="S361" s="5"/>
      <c r="T361" s="5"/>
      <c r="U361" s="5"/>
      <c r="V361" s="5"/>
      <c r="W361" s="5" t="s">
        <v>1619</v>
      </c>
      <c r="X361" s="14" t="s">
        <v>69</v>
      </c>
      <c r="AE361" t="s">
        <v>243</v>
      </c>
      <c r="AF361" t="s">
        <v>52</v>
      </c>
      <c r="AG361" t="s">
        <v>3</v>
      </c>
    </row>
    <row r="362" spans="1:33" ht="14" x14ac:dyDescent="0.15">
      <c r="A362" s="4" t="s">
        <v>983</v>
      </c>
      <c r="B362" s="4" t="s">
        <v>923</v>
      </c>
      <c r="C362" s="4" t="s">
        <v>984</v>
      </c>
      <c r="D362" s="6">
        <v>35</v>
      </c>
      <c r="E362" s="6">
        <v>2.8</v>
      </c>
      <c r="F362" s="4" t="s">
        <v>1711</v>
      </c>
      <c r="G362" s="4" t="s">
        <v>1618</v>
      </c>
      <c r="H362" s="4" t="b">
        <v>0</v>
      </c>
      <c r="I362" s="4"/>
      <c r="J362" s="4" t="b">
        <v>0</v>
      </c>
      <c r="K362" s="4" t="s">
        <v>1600</v>
      </c>
      <c r="L362" s="5">
        <v>35</v>
      </c>
      <c r="M362" s="5">
        <v>35</v>
      </c>
      <c r="N362" s="5"/>
      <c r="O362" s="5"/>
      <c r="P362" s="5" t="s">
        <v>1708</v>
      </c>
      <c r="Q362" s="5"/>
      <c r="R362" s="5" t="s">
        <v>1709</v>
      </c>
      <c r="S362" s="5"/>
      <c r="T362" s="5"/>
      <c r="U362" s="5"/>
      <c r="V362" s="5"/>
      <c r="W362" s="5" t="s">
        <v>1619</v>
      </c>
      <c r="X362" s="14" t="s">
        <v>69</v>
      </c>
      <c r="AE362" t="s">
        <v>243</v>
      </c>
      <c r="AF362" t="s">
        <v>52</v>
      </c>
      <c r="AG362" t="s">
        <v>3</v>
      </c>
    </row>
    <row r="363" spans="1:33" ht="14" x14ac:dyDescent="0.15">
      <c r="A363" s="4" t="s">
        <v>985</v>
      </c>
      <c r="B363" s="4" t="s">
        <v>923</v>
      </c>
      <c r="C363" s="4" t="s">
        <v>986</v>
      </c>
      <c r="D363" s="6">
        <v>50</v>
      </c>
      <c r="E363" s="6">
        <v>2.8</v>
      </c>
      <c r="F363" s="4" t="s">
        <v>1711</v>
      </c>
      <c r="G363" s="4" t="s">
        <v>1618</v>
      </c>
      <c r="H363" s="4" t="b">
        <v>0</v>
      </c>
      <c r="I363" s="4"/>
      <c r="J363" s="4" t="b">
        <v>0</v>
      </c>
      <c r="K363" s="4" t="s">
        <v>1600</v>
      </c>
      <c r="L363" s="5">
        <v>50</v>
      </c>
      <c r="M363" s="5">
        <v>50</v>
      </c>
      <c r="N363" s="5"/>
      <c r="O363" s="5"/>
      <c r="P363" s="5" t="s">
        <v>1708</v>
      </c>
      <c r="Q363" s="5"/>
      <c r="R363" s="5" t="s">
        <v>1709</v>
      </c>
      <c r="S363" s="5"/>
      <c r="T363" s="5"/>
      <c r="U363" s="5"/>
      <c r="V363" s="5"/>
      <c r="W363" s="5" t="s">
        <v>1619</v>
      </c>
      <c r="X363" s="14" t="s">
        <v>69</v>
      </c>
      <c r="AE363" t="s">
        <v>243</v>
      </c>
      <c r="AF363" t="s">
        <v>52</v>
      </c>
      <c r="AG363" t="s">
        <v>3</v>
      </c>
    </row>
    <row r="364" spans="1:33" ht="14" x14ac:dyDescent="0.15">
      <c r="A364" s="4" t="s">
        <v>987</v>
      </c>
      <c r="B364" s="4" t="s">
        <v>923</v>
      </c>
      <c r="C364" s="4" t="s">
        <v>988</v>
      </c>
      <c r="D364" s="6">
        <v>85</v>
      </c>
      <c r="E364" s="6">
        <v>2.8</v>
      </c>
      <c r="F364" s="4" t="s">
        <v>1711</v>
      </c>
      <c r="G364" s="4" t="s">
        <v>1618</v>
      </c>
      <c r="H364" s="4" t="b">
        <v>0</v>
      </c>
      <c r="I364" s="4"/>
      <c r="J364" s="4" t="b">
        <v>0</v>
      </c>
      <c r="K364" s="4" t="s">
        <v>1600</v>
      </c>
      <c r="L364" s="5">
        <v>85</v>
      </c>
      <c r="M364" s="5">
        <v>85</v>
      </c>
      <c r="N364" s="5"/>
      <c r="O364" s="5"/>
      <c r="P364" s="5" t="s">
        <v>1708</v>
      </c>
      <c r="Q364" s="5"/>
      <c r="R364" s="5" t="s">
        <v>1709</v>
      </c>
      <c r="S364" s="5"/>
      <c r="T364" s="5"/>
      <c r="U364" s="5"/>
      <c r="V364" s="5"/>
      <c r="W364" s="5" t="s">
        <v>1619</v>
      </c>
      <c r="X364" s="14" t="s">
        <v>69</v>
      </c>
      <c r="AE364" t="s">
        <v>243</v>
      </c>
      <c r="AF364" t="s">
        <v>52</v>
      </c>
      <c r="AG364" t="s">
        <v>3</v>
      </c>
    </row>
    <row r="365" spans="1:33" ht="14" x14ac:dyDescent="0.15">
      <c r="A365" s="4" t="s">
        <v>989</v>
      </c>
      <c r="B365" s="4" t="s">
        <v>923</v>
      </c>
      <c r="C365" s="4" t="s">
        <v>990</v>
      </c>
      <c r="D365" s="6">
        <v>16</v>
      </c>
      <c r="E365" s="6">
        <v>2.8</v>
      </c>
      <c r="F365" s="4" t="s">
        <v>1711</v>
      </c>
      <c r="G365" s="4" t="s">
        <v>1618</v>
      </c>
      <c r="H365" s="4" t="b">
        <v>0</v>
      </c>
      <c r="I365" s="4"/>
      <c r="J365" s="4" t="b">
        <v>0</v>
      </c>
      <c r="K365" s="4" t="s">
        <v>1600</v>
      </c>
      <c r="L365" s="5">
        <v>16</v>
      </c>
      <c r="M365" s="5">
        <v>16</v>
      </c>
      <c r="N365" s="5"/>
      <c r="O365" s="5"/>
      <c r="P365" s="5" t="s">
        <v>1708</v>
      </c>
      <c r="Q365" s="5"/>
      <c r="R365" s="5" t="s">
        <v>1709</v>
      </c>
      <c r="S365" s="5"/>
      <c r="T365" s="5"/>
      <c r="U365" s="5"/>
      <c r="V365" s="5"/>
      <c r="W365" s="5" t="s">
        <v>1619</v>
      </c>
      <c r="X365" s="14" t="s">
        <v>69</v>
      </c>
      <c r="AE365" t="s">
        <v>243</v>
      </c>
      <c r="AF365" t="s">
        <v>52</v>
      </c>
      <c r="AG365" t="s">
        <v>3</v>
      </c>
    </row>
    <row r="366" spans="1:33" ht="14" x14ac:dyDescent="0.15">
      <c r="A366" s="4" t="s">
        <v>991</v>
      </c>
      <c r="B366" s="4" t="s">
        <v>923</v>
      </c>
      <c r="C366" s="4" t="s">
        <v>992</v>
      </c>
      <c r="D366" s="6">
        <v>20</v>
      </c>
      <c r="E366" s="6">
        <v>2.8</v>
      </c>
      <c r="F366" s="4" t="s">
        <v>1711</v>
      </c>
      <c r="G366" s="4" t="s">
        <v>1618</v>
      </c>
      <c r="H366" s="4" t="b">
        <v>0</v>
      </c>
      <c r="I366" s="4"/>
      <c r="J366" s="4" t="b">
        <v>0</v>
      </c>
      <c r="K366" s="4" t="s">
        <v>1600</v>
      </c>
      <c r="L366" s="5">
        <v>20</v>
      </c>
      <c r="M366" s="5">
        <v>20</v>
      </c>
      <c r="N366" s="5"/>
      <c r="O366" s="5"/>
      <c r="P366" s="5" t="s">
        <v>1708</v>
      </c>
      <c r="Q366" s="5"/>
      <c r="R366" s="5" t="s">
        <v>1709</v>
      </c>
      <c r="S366" s="5"/>
      <c r="T366" s="5"/>
      <c r="U366" s="5"/>
      <c r="V366" s="5"/>
      <c r="W366" s="5" t="s">
        <v>1619</v>
      </c>
      <c r="X366" s="14" t="s">
        <v>69</v>
      </c>
      <c r="AE366" t="s">
        <v>243</v>
      </c>
      <c r="AF366" t="s">
        <v>52</v>
      </c>
      <c r="AG366" t="s">
        <v>3</v>
      </c>
    </row>
    <row r="367" spans="1:33" ht="14" x14ac:dyDescent="0.15">
      <c r="A367" s="4" t="s">
        <v>993</v>
      </c>
      <c r="B367" s="4" t="s">
        <v>923</v>
      </c>
      <c r="C367" s="4" t="s">
        <v>994</v>
      </c>
      <c r="D367" s="6">
        <v>24</v>
      </c>
      <c r="E367" s="6">
        <v>2.8</v>
      </c>
      <c r="F367" s="4" t="s">
        <v>1711</v>
      </c>
      <c r="G367" s="4" t="s">
        <v>1618</v>
      </c>
      <c r="H367" s="4" t="b">
        <v>0</v>
      </c>
      <c r="I367" s="4"/>
      <c r="J367" s="4" t="b">
        <v>0</v>
      </c>
      <c r="K367" s="4" t="s">
        <v>1600</v>
      </c>
      <c r="L367" s="5">
        <v>24</v>
      </c>
      <c r="M367" s="5">
        <v>24</v>
      </c>
      <c r="N367" s="5"/>
      <c r="O367" s="5"/>
      <c r="P367" s="5" t="s">
        <v>1708</v>
      </c>
      <c r="Q367" s="5"/>
      <c r="R367" s="5" t="s">
        <v>1709</v>
      </c>
      <c r="S367" s="5"/>
      <c r="T367" s="5"/>
      <c r="U367" s="5"/>
      <c r="V367" s="5"/>
      <c r="W367" s="5" t="s">
        <v>1619</v>
      </c>
      <c r="X367" s="14" t="s">
        <v>69</v>
      </c>
      <c r="AE367" t="s">
        <v>243</v>
      </c>
      <c r="AF367" t="s">
        <v>52</v>
      </c>
      <c r="AG367" t="s">
        <v>3</v>
      </c>
    </row>
    <row r="368" spans="1:33" ht="14" x14ac:dyDescent="0.15">
      <c r="A368" s="4" t="s">
        <v>995</v>
      </c>
      <c r="B368" s="4" t="s">
        <v>923</v>
      </c>
      <c r="C368" s="4" t="s">
        <v>996</v>
      </c>
      <c r="D368" s="6">
        <v>35</v>
      </c>
      <c r="E368" s="6">
        <v>2.8</v>
      </c>
      <c r="F368" s="4" t="s">
        <v>1711</v>
      </c>
      <c r="G368" s="4" t="s">
        <v>1618</v>
      </c>
      <c r="H368" s="4" t="b">
        <v>0</v>
      </c>
      <c r="I368" s="4"/>
      <c r="J368" s="4" t="b">
        <v>0</v>
      </c>
      <c r="K368" s="4" t="s">
        <v>1600</v>
      </c>
      <c r="L368" s="5">
        <v>35</v>
      </c>
      <c r="M368" s="5">
        <v>35</v>
      </c>
      <c r="N368" s="5"/>
      <c r="O368" s="5"/>
      <c r="P368" s="5" t="s">
        <v>1708</v>
      </c>
      <c r="Q368" s="5"/>
      <c r="R368" s="5" t="s">
        <v>1709</v>
      </c>
      <c r="S368" s="5"/>
      <c r="T368" s="5"/>
      <c r="U368" s="5"/>
      <c r="V368" s="5"/>
      <c r="W368" s="5" t="s">
        <v>1619</v>
      </c>
      <c r="X368" s="14" t="s">
        <v>69</v>
      </c>
      <c r="AE368" t="s">
        <v>243</v>
      </c>
      <c r="AF368" t="s">
        <v>52</v>
      </c>
      <c r="AG368" t="s">
        <v>3</v>
      </c>
    </row>
    <row r="369" spans="1:33" ht="14" x14ac:dyDescent="0.15">
      <c r="A369" s="4" t="s">
        <v>997</v>
      </c>
      <c r="B369" s="4" t="s">
        <v>923</v>
      </c>
      <c r="C369" s="4" t="s">
        <v>998</v>
      </c>
      <c r="D369" s="6">
        <v>50</v>
      </c>
      <c r="E369" s="6">
        <v>2.8</v>
      </c>
      <c r="F369" s="4" t="s">
        <v>1711</v>
      </c>
      <c r="G369" s="4" t="s">
        <v>1618</v>
      </c>
      <c r="H369" s="4" t="b">
        <v>0</v>
      </c>
      <c r="I369" s="4"/>
      <c r="J369" s="4" t="b">
        <v>0</v>
      </c>
      <c r="K369" s="4" t="s">
        <v>1600</v>
      </c>
      <c r="L369" s="5">
        <v>50</v>
      </c>
      <c r="M369" s="5">
        <v>50</v>
      </c>
      <c r="N369" s="5"/>
      <c r="O369" s="5"/>
      <c r="P369" s="5" t="s">
        <v>1708</v>
      </c>
      <c r="Q369" s="5"/>
      <c r="R369" s="5" t="s">
        <v>1709</v>
      </c>
      <c r="S369" s="5"/>
      <c r="T369" s="5"/>
      <c r="U369" s="5"/>
      <c r="V369" s="5"/>
      <c r="W369" s="5" t="s">
        <v>1619</v>
      </c>
      <c r="X369" s="14" t="s">
        <v>69</v>
      </c>
      <c r="AE369" t="s">
        <v>243</v>
      </c>
      <c r="AF369" t="s">
        <v>52</v>
      </c>
      <c r="AG369" t="s">
        <v>3</v>
      </c>
    </row>
    <row r="370" spans="1:33" ht="14" x14ac:dyDescent="0.15">
      <c r="A370" s="4" t="s">
        <v>999</v>
      </c>
      <c r="B370" s="4" t="s">
        <v>923</v>
      </c>
      <c r="C370" s="4" t="s">
        <v>1000</v>
      </c>
      <c r="D370" s="6">
        <v>85</v>
      </c>
      <c r="E370" s="6">
        <v>2.8</v>
      </c>
      <c r="F370" s="4" t="s">
        <v>1711</v>
      </c>
      <c r="G370" s="4" t="s">
        <v>1618</v>
      </c>
      <c r="H370" s="4" t="b">
        <v>0</v>
      </c>
      <c r="I370" s="4"/>
      <c r="J370" s="4" t="b">
        <v>0</v>
      </c>
      <c r="K370" s="4" t="s">
        <v>1600</v>
      </c>
      <c r="L370" s="5">
        <v>85</v>
      </c>
      <c r="M370" s="5">
        <v>85</v>
      </c>
      <c r="N370" s="5"/>
      <c r="O370" s="5"/>
      <c r="P370" s="5" t="s">
        <v>1708</v>
      </c>
      <c r="Q370" s="5"/>
      <c r="R370" s="5" t="s">
        <v>1709</v>
      </c>
      <c r="S370" s="5"/>
      <c r="T370" s="5"/>
      <c r="U370" s="5"/>
      <c r="V370" s="5"/>
      <c r="W370" s="5" t="s">
        <v>1619</v>
      </c>
      <c r="X370" s="14" t="s">
        <v>69</v>
      </c>
      <c r="AE370" t="s">
        <v>243</v>
      </c>
      <c r="AF370" t="s">
        <v>52</v>
      </c>
      <c r="AG370" t="s">
        <v>3</v>
      </c>
    </row>
    <row r="371" spans="1:33" ht="14" x14ac:dyDescent="0.15">
      <c r="A371" s="4" t="s">
        <v>1001</v>
      </c>
      <c r="B371" s="4" t="s">
        <v>923</v>
      </c>
      <c r="C371" s="4" t="s">
        <v>1002</v>
      </c>
      <c r="D371" s="6">
        <v>16</v>
      </c>
      <c r="E371" s="6">
        <v>2.8</v>
      </c>
      <c r="F371" s="4" t="s">
        <v>1711</v>
      </c>
      <c r="G371" s="4" t="s">
        <v>1618</v>
      </c>
      <c r="H371" s="4" t="b">
        <v>0</v>
      </c>
      <c r="I371" s="4"/>
      <c r="J371" s="4" t="b">
        <v>0</v>
      </c>
      <c r="K371" s="4" t="s">
        <v>1600</v>
      </c>
      <c r="L371" s="5">
        <v>16</v>
      </c>
      <c r="M371" s="5">
        <v>16</v>
      </c>
      <c r="N371" s="5"/>
      <c r="O371" s="5"/>
      <c r="P371" s="5" t="s">
        <v>1708</v>
      </c>
      <c r="Q371" s="5"/>
      <c r="R371" s="5" t="s">
        <v>1709</v>
      </c>
      <c r="S371" s="5"/>
      <c r="T371" s="5"/>
      <c r="U371" s="5"/>
      <c r="V371" s="5"/>
      <c r="W371" s="5" t="s">
        <v>1619</v>
      </c>
      <c r="X371" s="14" t="s">
        <v>69</v>
      </c>
      <c r="AE371" t="s">
        <v>243</v>
      </c>
      <c r="AF371" t="s">
        <v>52</v>
      </c>
      <c r="AG371" t="s">
        <v>3</v>
      </c>
    </row>
    <row r="372" spans="1:33" ht="14" x14ac:dyDescent="0.15">
      <c r="A372" s="4" t="s">
        <v>1003</v>
      </c>
      <c r="B372" s="4" t="s">
        <v>923</v>
      </c>
      <c r="C372" s="4" t="s">
        <v>1004</v>
      </c>
      <c r="D372" s="6">
        <v>20</v>
      </c>
      <c r="E372" s="6">
        <v>2.8</v>
      </c>
      <c r="F372" s="4" t="s">
        <v>1711</v>
      </c>
      <c r="G372" s="4" t="s">
        <v>1618</v>
      </c>
      <c r="H372" s="4" t="b">
        <v>0</v>
      </c>
      <c r="I372" s="4"/>
      <c r="J372" s="4" t="b">
        <v>0</v>
      </c>
      <c r="K372" s="4" t="s">
        <v>1600</v>
      </c>
      <c r="L372" s="5">
        <v>20</v>
      </c>
      <c r="M372" s="5">
        <v>20</v>
      </c>
      <c r="N372" s="5"/>
      <c r="O372" s="5"/>
      <c r="P372" s="5" t="s">
        <v>1708</v>
      </c>
      <c r="Q372" s="5"/>
      <c r="R372" s="5" t="s">
        <v>1709</v>
      </c>
      <c r="S372" s="5"/>
      <c r="T372" s="5"/>
      <c r="U372" s="5"/>
      <c r="V372" s="5"/>
      <c r="W372" s="5" t="s">
        <v>1619</v>
      </c>
      <c r="X372" s="14" t="s">
        <v>69</v>
      </c>
      <c r="AE372" t="s">
        <v>243</v>
      </c>
      <c r="AF372" t="s">
        <v>52</v>
      </c>
      <c r="AG372" t="s">
        <v>3</v>
      </c>
    </row>
    <row r="373" spans="1:33" ht="14" x14ac:dyDescent="0.15">
      <c r="A373" s="4" t="s">
        <v>1005</v>
      </c>
      <c r="B373" s="4" t="s">
        <v>923</v>
      </c>
      <c r="C373" s="4" t="s">
        <v>1006</v>
      </c>
      <c r="D373" s="6">
        <v>24</v>
      </c>
      <c r="E373" s="6">
        <v>2.8</v>
      </c>
      <c r="F373" s="4" t="s">
        <v>1711</v>
      </c>
      <c r="G373" s="4" t="s">
        <v>1618</v>
      </c>
      <c r="H373" s="4" t="b">
        <v>0</v>
      </c>
      <c r="I373" s="4"/>
      <c r="J373" s="4" t="b">
        <v>0</v>
      </c>
      <c r="K373" s="4" t="s">
        <v>1600</v>
      </c>
      <c r="L373" s="5">
        <v>24</v>
      </c>
      <c r="M373" s="5">
        <v>24</v>
      </c>
      <c r="N373" s="5"/>
      <c r="O373" s="5"/>
      <c r="P373" s="5" t="s">
        <v>1708</v>
      </c>
      <c r="Q373" s="5"/>
      <c r="R373" s="5" t="s">
        <v>1709</v>
      </c>
      <c r="S373" s="5"/>
      <c r="T373" s="5"/>
      <c r="U373" s="5"/>
      <c r="V373" s="5"/>
      <c r="W373" s="5" t="s">
        <v>1619</v>
      </c>
      <c r="X373" s="14" t="s">
        <v>69</v>
      </c>
      <c r="AE373" t="s">
        <v>243</v>
      </c>
      <c r="AF373" t="s">
        <v>52</v>
      </c>
      <c r="AG373" t="s">
        <v>3</v>
      </c>
    </row>
    <row r="374" spans="1:33" ht="14" x14ac:dyDescent="0.15">
      <c r="A374" s="4" t="s">
        <v>1007</v>
      </c>
      <c r="B374" s="4" t="s">
        <v>923</v>
      </c>
      <c r="C374" s="4" t="s">
        <v>1008</v>
      </c>
      <c r="D374" s="6">
        <v>35</v>
      </c>
      <c r="E374" s="6">
        <v>2.8</v>
      </c>
      <c r="F374" s="4" t="s">
        <v>1711</v>
      </c>
      <c r="G374" s="4" t="s">
        <v>1618</v>
      </c>
      <c r="H374" s="4" t="b">
        <v>0</v>
      </c>
      <c r="I374" s="4"/>
      <c r="J374" s="4" t="b">
        <v>0</v>
      </c>
      <c r="K374" s="4" t="s">
        <v>1600</v>
      </c>
      <c r="L374" s="5">
        <v>35</v>
      </c>
      <c r="M374" s="5">
        <v>35</v>
      </c>
      <c r="N374" s="5"/>
      <c r="O374" s="5"/>
      <c r="P374" s="5" t="s">
        <v>1708</v>
      </c>
      <c r="Q374" s="5"/>
      <c r="R374" s="5" t="s">
        <v>1709</v>
      </c>
      <c r="S374" s="5"/>
      <c r="T374" s="5"/>
      <c r="U374" s="5"/>
      <c r="V374" s="5"/>
      <c r="W374" s="5" t="s">
        <v>1619</v>
      </c>
      <c r="X374" s="14" t="s">
        <v>69</v>
      </c>
      <c r="AE374" t="s">
        <v>243</v>
      </c>
      <c r="AF374" t="s">
        <v>52</v>
      </c>
      <c r="AG374" t="s">
        <v>3</v>
      </c>
    </row>
    <row r="375" spans="1:33" ht="14" x14ac:dyDescent="0.15">
      <c r="A375" s="4" t="s">
        <v>1009</v>
      </c>
      <c r="B375" s="4" t="s">
        <v>923</v>
      </c>
      <c r="C375" s="4" t="s">
        <v>1010</v>
      </c>
      <c r="D375" s="6">
        <v>50</v>
      </c>
      <c r="E375" s="6">
        <v>2.8</v>
      </c>
      <c r="F375" s="4" t="s">
        <v>1711</v>
      </c>
      <c r="G375" s="4" t="s">
        <v>1618</v>
      </c>
      <c r="H375" s="4" t="b">
        <v>0</v>
      </c>
      <c r="I375" s="4"/>
      <c r="J375" s="4" t="b">
        <v>0</v>
      </c>
      <c r="K375" s="4" t="s">
        <v>1600</v>
      </c>
      <c r="L375" s="5">
        <v>50</v>
      </c>
      <c r="M375" s="5">
        <v>50</v>
      </c>
      <c r="N375" s="5"/>
      <c r="O375" s="5"/>
      <c r="P375" s="5" t="s">
        <v>1708</v>
      </c>
      <c r="Q375" s="5"/>
      <c r="R375" s="5" t="s">
        <v>1709</v>
      </c>
      <c r="S375" s="5"/>
      <c r="T375" s="5"/>
      <c r="U375" s="5"/>
      <c r="V375" s="5"/>
      <c r="W375" s="5" t="s">
        <v>1619</v>
      </c>
      <c r="X375" s="14" t="s">
        <v>69</v>
      </c>
      <c r="AE375" t="s">
        <v>243</v>
      </c>
      <c r="AF375" t="s">
        <v>52</v>
      </c>
      <c r="AG375" t="s">
        <v>3</v>
      </c>
    </row>
    <row r="376" spans="1:33" ht="14" x14ac:dyDescent="0.15">
      <c r="A376" s="4" t="s">
        <v>1011</v>
      </c>
      <c r="B376" s="4" t="s">
        <v>923</v>
      </c>
      <c r="C376" s="4" t="s">
        <v>1012</v>
      </c>
      <c r="D376" s="6">
        <v>85</v>
      </c>
      <c r="E376" s="6">
        <v>2.8</v>
      </c>
      <c r="F376" s="4" t="s">
        <v>1711</v>
      </c>
      <c r="G376" s="4" t="s">
        <v>1618</v>
      </c>
      <c r="H376" s="4" t="b">
        <v>0</v>
      </c>
      <c r="I376" s="4"/>
      <c r="J376" s="4" t="b">
        <v>0</v>
      </c>
      <c r="K376" s="4" t="s">
        <v>1600</v>
      </c>
      <c r="L376" s="5">
        <v>85</v>
      </c>
      <c r="M376" s="5">
        <v>85</v>
      </c>
      <c r="N376" s="5"/>
      <c r="O376" s="5"/>
      <c r="P376" s="5" t="s">
        <v>1708</v>
      </c>
      <c r="Q376" s="5"/>
      <c r="R376" s="5" t="s">
        <v>1709</v>
      </c>
      <c r="S376" s="5"/>
      <c r="T376" s="5"/>
      <c r="U376" s="5"/>
      <c r="V376" s="5"/>
      <c r="W376" s="5" t="s">
        <v>1619</v>
      </c>
      <c r="X376" s="14" t="s">
        <v>69</v>
      </c>
      <c r="AE376" t="s">
        <v>243</v>
      </c>
      <c r="AF376" t="s">
        <v>52</v>
      </c>
      <c r="AG376" t="s">
        <v>3</v>
      </c>
    </row>
    <row r="377" spans="1:33" ht="14" x14ac:dyDescent="0.15">
      <c r="A377" s="4" t="s">
        <v>1013</v>
      </c>
      <c r="B377" s="4" t="s">
        <v>923</v>
      </c>
      <c r="C377" s="4" t="s">
        <v>1014</v>
      </c>
      <c r="D377" s="6">
        <v>35</v>
      </c>
      <c r="E377" s="6">
        <v>2</v>
      </c>
      <c r="F377" s="4" t="s">
        <v>1714</v>
      </c>
      <c r="G377" s="4" t="s">
        <v>1618</v>
      </c>
      <c r="H377" s="4" t="b">
        <v>1</v>
      </c>
      <c r="I377" s="4" t="s">
        <v>1752</v>
      </c>
      <c r="J377" s="4" t="b">
        <v>0</v>
      </c>
      <c r="K377" s="4" t="s">
        <v>1600</v>
      </c>
      <c r="L377" s="5">
        <v>35</v>
      </c>
      <c r="M377" s="5">
        <v>35</v>
      </c>
      <c r="N377" s="5"/>
      <c r="O377" s="5"/>
      <c r="P377" s="5" t="s">
        <v>1708</v>
      </c>
      <c r="Q377" s="5"/>
      <c r="R377" s="5" t="s">
        <v>1718</v>
      </c>
      <c r="S377" s="5"/>
      <c r="T377" s="5"/>
      <c r="U377" s="5"/>
      <c r="V377" s="5"/>
      <c r="W377" s="5" t="s">
        <v>1619</v>
      </c>
      <c r="X377" s="14" t="s">
        <v>69</v>
      </c>
      <c r="AE377" t="s">
        <v>243</v>
      </c>
      <c r="AF377" t="s">
        <v>52</v>
      </c>
      <c r="AG377" t="s">
        <v>3</v>
      </c>
    </row>
    <row r="378" spans="1:33" ht="14" x14ac:dyDescent="0.15">
      <c r="A378" s="4" t="s">
        <v>1015</v>
      </c>
      <c r="B378" s="4" t="s">
        <v>923</v>
      </c>
      <c r="C378" s="4" t="s">
        <v>1016</v>
      </c>
      <c r="D378" s="6">
        <v>40</v>
      </c>
      <c r="E378" s="6">
        <v>2</v>
      </c>
      <c r="F378" s="4" t="s">
        <v>1714</v>
      </c>
      <c r="G378" s="4" t="s">
        <v>1618</v>
      </c>
      <c r="H378" s="4" t="b">
        <v>1</v>
      </c>
      <c r="I378" s="4" t="s">
        <v>1753</v>
      </c>
      <c r="J378" s="4" t="b">
        <v>0</v>
      </c>
      <c r="K378" s="4" t="s">
        <v>1600</v>
      </c>
      <c r="L378" s="5">
        <v>40</v>
      </c>
      <c r="M378" s="5">
        <v>40</v>
      </c>
      <c r="N378" s="5"/>
      <c r="O378" s="5"/>
      <c r="P378" s="5" t="s">
        <v>1708</v>
      </c>
      <c r="Q378" s="5"/>
      <c r="R378" s="5" t="s">
        <v>1718</v>
      </c>
      <c r="S378" s="5"/>
      <c r="T378" s="5"/>
      <c r="U378" s="5"/>
      <c r="V378" s="5"/>
      <c r="W378" s="5" t="s">
        <v>1619</v>
      </c>
      <c r="X378" s="14" t="s">
        <v>69</v>
      </c>
      <c r="AE378" t="s">
        <v>243</v>
      </c>
      <c r="AF378" t="s">
        <v>52</v>
      </c>
      <c r="AG378" t="s">
        <v>3</v>
      </c>
    </row>
    <row r="379" spans="1:33" ht="14" x14ac:dyDescent="0.15">
      <c r="A379" s="4" t="s">
        <v>1017</v>
      </c>
      <c r="B379" s="4" t="s">
        <v>923</v>
      </c>
      <c r="C379" s="4" t="s">
        <v>1018</v>
      </c>
      <c r="D379" s="6">
        <v>50</v>
      </c>
      <c r="E379" s="6">
        <v>2</v>
      </c>
      <c r="F379" s="4" t="s">
        <v>1714</v>
      </c>
      <c r="G379" s="4" t="s">
        <v>1618</v>
      </c>
      <c r="H379" s="4" t="b">
        <v>1</v>
      </c>
      <c r="I379" s="4" t="s">
        <v>1754</v>
      </c>
      <c r="J379" s="4" t="b">
        <v>0</v>
      </c>
      <c r="K379" s="4" t="s">
        <v>1600</v>
      </c>
      <c r="L379" s="5">
        <v>50</v>
      </c>
      <c r="M379" s="5">
        <v>50</v>
      </c>
      <c r="N379" s="5"/>
      <c r="O379" s="5"/>
      <c r="P379" s="5" t="s">
        <v>1708</v>
      </c>
      <c r="Q379" s="5"/>
      <c r="R379" s="5" t="s">
        <v>1718</v>
      </c>
      <c r="S379" s="5"/>
      <c r="T379" s="5"/>
      <c r="U379" s="5"/>
      <c r="V379" s="5"/>
      <c r="W379" s="5" t="s">
        <v>1619</v>
      </c>
      <c r="X379" s="14" t="s">
        <v>69</v>
      </c>
      <c r="AE379" t="s">
        <v>243</v>
      </c>
      <c r="AF379" t="s">
        <v>52</v>
      </c>
      <c r="AG379" t="s">
        <v>3</v>
      </c>
    </row>
    <row r="380" spans="1:33" ht="14" x14ac:dyDescent="0.15">
      <c r="A380" s="4" t="s">
        <v>1019</v>
      </c>
      <c r="B380" s="4" t="s">
        <v>923</v>
      </c>
      <c r="C380" s="4" t="s">
        <v>1020</v>
      </c>
      <c r="D380" s="6">
        <v>75</v>
      </c>
      <c r="E380" s="6">
        <v>2</v>
      </c>
      <c r="F380" s="4" t="s">
        <v>1714</v>
      </c>
      <c r="G380" s="4" t="s">
        <v>1618</v>
      </c>
      <c r="H380" s="4" t="b">
        <v>1</v>
      </c>
      <c r="I380" s="4" t="s">
        <v>1755</v>
      </c>
      <c r="J380" s="4" t="b">
        <v>0</v>
      </c>
      <c r="K380" s="4" t="s">
        <v>1600</v>
      </c>
      <c r="L380" s="5">
        <v>75</v>
      </c>
      <c r="M380" s="5">
        <v>75</v>
      </c>
      <c r="N380" s="5"/>
      <c r="O380" s="5"/>
      <c r="P380" s="5" t="s">
        <v>1708</v>
      </c>
      <c r="Q380" s="5"/>
      <c r="R380" s="5" t="s">
        <v>1718</v>
      </c>
      <c r="S380" s="5"/>
      <c r="T380" s="5"/>
      <c r="U380" s="5"/>
      <c r="V380" s="5"/>
      <c r="W380" s="5" t="s">
        <v>1619</v>
      </c>
      <c r="X380" s="14" t="s">
        <v>69</v>
      </c>
      <c r="AE380" t="s">
        <v>243</v>
      </c>
      <c r="AF380" t="s">
        <v>52</v>
      </c>
      <c r="AG380" t="s">
        <v>3</v>
      </c>
    </row>
    <row r="381" spans="1:33" ht="14" x14ac:dyDescent="0.15">
      <c r="A381" s="4" t="s">
        <v>1021</v>
      </c>
      <c r="B381" s="4" t="s">
        <v>923</v>
      </c>
      <c r="C381" s="4" t="s">
        <v>1022</v>
      </c>
      <c r="D381" s="6">
        <v>100</v>
      </c>
      <c r="E381" s="6">
        <v>2</v>
      </c>
      <c r="F381" s="4" t="s">
        <v>1714</v>
      </c>
      <c r="G381" s="4" t="s">
        <v>1618</v>
      </c>
      <c r="H381" s="4" t="b">
        <v>1</v>
      </c>
      <c r="I381" s="4" t="s">
        <v>1756</v>
      </c>
      <c r="J381" s="4" t="b">
        <v>0</v>
      </c>
      <c r="K381" s="4" t="s">
        <v>1600</v>
      </c>
      <c r="L381" s="5">
        <v>100</v>
      </c>
      <c r="M381" s="5">
        <v>100</v>
      </c>
      <c r="N381" s="5"/>
      <c r="O381" s="5"/>
      <c r="P381" s="5" t="s">
        <v>1708</v>
      </c>
      <c r="Q381" s="5"/>
      <c r="R381" s="5" t="s">
        <v>1718</v>
      </c>
      <c r="S381" s="5"/>
      <c r="T381" s="5"/>
      <c r="U381" s="5"/>
      <c r="V381" s="5"/>
      <c r="W381" s="5" t="s">
        <v>1619</v>
      </c>
      <c r="X381" s="14" t="s">
        <v>69</v>
      </c>
      <c r="AE381" t="s">
        <v>243</v>
      </c>
      <c r="AF381" t="s">
        <v>52</v>
      </c>
      <c r="AG381" t="s">
        <v>3</v>
      </c>
    </row>
    <row r="382" spans="1:33" ht="14" x14ac:dyDescent="0.15">
      <c r="A382" s="4" t="s">
        <v>1023</v>
      </c>
      <c r="B382" s="4" t="s">
        <v>923</v>
      </c>
      <c r="C382" s="4" t="s">
        <v>1024</v>
      </c>
      <c r="D382" s="6">
        <v>135</v>
      </c>
      <c r="E382" s="6">
        <v>2</v>
      </c>
      <c r="F382" s="4" t="s">
        <v>1714</v>
      </c>
      <c r="G382" s="4" t="s">
        <v>1618</v>
      </c>
      <c r="H382" s="4" t="b">
        <v>1</v>
      </c>
      <c r="I382" s="4" t="s">
        <v>1757</v>
      </c>
      <c r="J382" s="4" t="b">
        <v>0</v>
      </c>
      <c r="K382" s="4" t="s">
        <v>1600</v>
      </c>
      <c r="L382" s="5">
        <v>135</v>
      </c>
      <c r="M382" s="5">
        <v>135</v>
      </c>
      <c r="N382" s="5"/>
      <c r="O382" s="5"/>
      <c r="P382" s="5" t="s">
        <v>1708</v>
      </c>
      <c r="Q382" s="5"/>
      <c r="R382" s="5" t="s">
        <v>1718</v>
      </c>
      <c r="S382" s="5"/>
      <c r="T382" s="5"/>
      <c r="U382" s="5"/>
      <c r="V382" s="5"/>
      <c r="W382" s="5" t="s">
        <v>1619</v>
      </c>
      <c r="X382" s="14" t="s">
        <v>69</v>
      </c>
      <c r="AE382" t="s">
        <v>243</v>
      </c>
      <c r="AF382" t="s">
        <v>52</v>
      </c>
      <c r="AG382" t="s">
        <v>3</v>
      </c>
    </row>
    <row r="383" spans="1:33" ht="28" x14ac:dyDescent="0.15">
      <c r="A383" s="5" t="s">
        <v>1025</v>
      </c>
      <c r="B383" s="5" t="s">
        <v>117</v>
      </c>
      <c r="C383" s="5" t="s">
        <v>1026</v>
      </c>
      <c r="D383" s="5">
        <v>24</v>
      </c>
      <c r="E383" s="5">
        <v>1.4</v>
      </c>
      <c r="F383" s="5">
        <v>43.3</v>
      </c>
      <c r="G383" s="5" t="s">
        <v>1758</v>
      </c>
      <c r="H383" s="5" t="b">
        <v>0</v>
      </c>
      <c r="I383" s="5"/>
      <c r="J383" s="5" t="b">
        <v>1</v>
      </c>
      <c r="K383" s="5" t="s">
        <v>1675</v>
      </c>
      <c r="L383" s="5">
        <v>24</v>
      </c>
      <c r="M383" s="5">
        <v>24</v>
      </c>
      <c r="N383" s="5">
        <v>43.3</v>
      </c>
      <c r="O383" s="5">
        <v>0.3</v>
      </c>
      <c r="P383" s="5" t="s">
        <v>1708</v>
      </c>
      <c r="Q383" s="5"/>
      <c r="R383" s="5" t="s">
        <v>1729</v>
      </c>
      <c r="S383" s="5">
        <v>72</v>
      </c>
      <c r="T383" s="5">
        <v>68</v>
      </c>
      <c r="U383" s="5">
        <v>430</v>
      </c>
      <c r="V383" s="5" t="s">
        <v>1759</v>
      </c>
      <c r="W383" s="5" t="s">
        <v>1713</v>
      </c>
      <c r="X383" s="14" t="s">
        <v>69</v>
      </c>
      <c r="AE383" t="s">
        <v>243</v>
      </c>
      <c r="AF383" t="s">
        <v>52</v>
      </c>
      <c r="AG383" t="s">
        <v>3</v>
      </c>
    </row>
    <row r="384" spans="1:33" ht="28" x14ac:dyDescent="0.15">
      <c r="A384" s="5" t="s">
        <v>1027</v>
      </c>
      <c r="B384" s="5" t="s">
        <v>117</v>
      </c>
      <c r="C384" s="5" t="s">
        <v>1028</v>
      </c>
      <c r="D384" s="5">
        <v>24</v>
      </c>
      <c r="E384" s="5">
        <v>2</v>
      </c>
      <c r="F384" s="5">
        <v>43.3</v>
      </c>
      <c r="G384" s="5" t="s">
        <v>1758</v>
      </c>
      <c r="H384" s="5" t="b">
        <v>0</v>
      </c>
      <c r="I384" s="5"/>
      <c r="J384" s="5" t="b">
        <v>1</v>
      </c>
      <c r="K384" s="5" t="s">
        <v>1675</v>
      </c>
      <c r="L384" s="5">
        <v>24</v>
      </c>
      <c r="M384" s="5">
        <v>24</v>
      </c>
      <c r="N384" s="5">
        <v>43.3</v>
      </c>
      <c r="O384" s="5">
        <v>0.3</v>
      </c>
      <c r="P384" s="5" t="s">
        <v>1708</v>
      </c>
      <c r="Q384" s="5"/>
      <c r="R384" s="5" t="s">
        <v>1729</v>
      </c>
      <c r="S384" s="5">
        <v>52</v>
      </c>
      <c r="T384" s="5">
        <v>50.6</v>
      </c>
      <c r="U384" s="5">
        <v>285</v>
      </c>
      <c r="V384" s="5" t="s">
        <v>1759</v>
      </c>
      <c r="W384" s="5" t="s">
        <v>1713</v>
      </c>
      <c r="X384" s="14" t="s">
        <v>69</v>
      </c>
      <c r="AE384" t="s">
        <v>243</v>
      </c>
      <c r="AF384" t="s">
        <v>52</v>
      </c>
      <c r="AG384" t="s">
        <v>3</v>
      </c>
    </row>
    <row r="385" spans="1:33" ht="28" x14ac:dyDescent="0.15">
      <c r="A385" s="5" t="s">
        <v>1029</v>
      </c>
      <c r="B385" s="5" t="s">
        <v>117</v>
      </c>
      <c r="C385" s="5" t="s">
        <v>1030</v>
      </c>
      <c r="D385" s="5">
        <v>24</v>
      </c>
      <c r="E385" s="5">
        <v>2.8</v>
      </c>
      <c r="F385" s="5">
        <v>43.3</v>
      </c>
      <c r="G385" s="5" t="s">
        <v>1758</v>
      </c>
      <c r="H385" s="5" t="b">
        <v>0</v>
      </c>
      <c r="I385" s="5"/>
      <c r="J385" s="5" t="b">
        <v>1</v>
      </c>
      <c r="K385" s="5" t="s">
        <v>1675</v>
      </c>
      <c r="L385" s="5">
        <v>24</v>
      </c>
      <c r="M385" s="5">
        <v>24</v>
      </c>
      <c r="N385" s="5">
        <v>43.3</v>
      </c>
      <c r="O385" s="5">
        <v>0.3</v>
      </c>
      <c r="P385" s="5" t="s">
        <v>1708</v>
      </c>
      <c r="Q385" s="5"/>
      <c r="R385" s="5" t="s">
        <v>1729</v>
      </c>
      <c r="S385" s="5">
        <v>52</v>
      </c>
      <c r="T385" s="5">
        <v>43</v>
      </c>
      <c r="U385" s="5">
        <v>240</v>
      </c>
      <c r="V385" s="5" t="s">
        <v>1759</v>
      </c>
      <c r="W385" s="5" t="s">
        <v>1713</v>
      </c>
      <c r="X385" s="14" t="s">
        <v>69</v>
      </c>
      <c r="AE385" t="s">
        <v>243</v>
      </c>
      <c r="AF385" t="s">
        <v>52</v>
      </c>
      <c r="AG385" t="s">
        <v>3</v>
      </c>
    </row>
    <row r="386" spans="1:33" ht="28" x14ac:dyDescent="0.15">
      <c r="A386" s="5" t="s">
        <v>1031</v>
      </c>
      <c r="B386" s="5" t="s">
        <v>117</v>
      </c>
      <c r="C386" s="5" t="s">
        <v>1032</v>
      </c>
      <c r="D386" s="5">
        <v>28</v>
      </c>
      <c r="E386" s="5">
        <v>2</v>
      </c>
      <c r="F386" s="5">
        <v>43.3</v>
      </c>
      <c r="G386" s="5" t="s">
        <v>1758</v>
      </c>
      <c r="H386" s="5" t="b">
        <v>0</v>
      </c>
      <c r="I386" s="5"/>
      <c r="J386" s="5" t="b">
        <v>1</v>
      </c>
      <c r="K386" s="5" t="s">
        <v>1675</v>
      </c>
      <c r="L386" s="5">
        <v>28</v>
      </c>
      <c r="M386" s="5">
        <v>28</v>
      </c>
      <c r="N386" s="5">
        <v>43.3</v>
      </c>
      <c r="O386" s="5">
        <v>0.3</v>
      </c>
      <c r="P386" s="5" t="s">
        <v>1708</v>
      </c>
      <c r="Q386" s="5"/>
      <c r="R386" s="5" t="s">
        <v>1729</v>
      </c>
      <c r="S386" s="5">
        <v>52</v>
      </c>
      <c r="T386" s="5">
        <v>47.2</v>
      </c>
      <c r="U386" s="5">
        <v>265</v>
      </c>
      <c r="V386" s="5" t="s">
        <v>1759</v>
      </c>
      <c r="W386" s="5" t="s">
        <v>1713</v>
      </c>
      <c r="X386" s="14" t="s">
        <v>69</v>
      </c>
      <c r="AE386" t="s">
        <v>243</v>
      </c>
      <c r="AF386" t="s">
        <v>52</v>
      </c>
      <c r="AG386" t="s">
        <v>3</v>
      </c>
    </row>
    <row r="387" spans="1:33" ht="28" x14ac:dyDescent="0.15">
      <c r="A387" s="5" t="s">
        <v>1033</v>
      </c>
      <c r="B387" s="5" t="s">
        <v>117</v>
      </c>
      <c r="C387" s="5" t="s">
        <v>1034</v>
      </c>
      <c r="D387" s="5">
        <v>28</v>
      </c>
      <c r="E387" s="5">
        <v>2.8</v>
      </c>
      <c r="F387" s="5">
        <v>43.3</v>
      </c>
      <c r="G387" s="5" t="s">
        <v>1758</v>
      </c>
      <c r="H387" s="5" t="b">
        <v>0</v>
      </c>
      <c r="I387" s="5"/>
      <c r="J387" s="5" t="b">
        <v>1</v>
      </c>
      <c r="K387" s="5" t="s">
        <v>1675</v>
      </c>
      <c r="L387" s="5">
        <v>28</v>
      </c>
      <c r="M387" s="5">
        <v>28</v>
      </c>
      <c r="N387" s="5">
        <v>43.3</v>
      </c>
      <c r="O387" s="5">
        <v>0.3</v>
      </c>
      <c r="P387" s="5" t="s">
        <v>1708</v>
      </c>
      <c r="Q387" s="5"/>
      <c r="R387" s="5" t="s">
        <v>1729</v>
      </c>
      <c r="S387" s="5">
        <v>52</v>
      </c>
      <c r="T387" s="5">
        <v>40</v>
      </c>
      <c r="U387" s="5">
        <v>170</v>
      </c>
      <c r="V387" s="5" t="s">
        <v>1759</v>
      </c>
      <c r="W387" s="5" t="s">
        <v>1713</v>
      </c>
      <c r="X387" s="14" t="s">
        <v>69</v>
      </c>
      <c r="AE387" t="s">
        <v>243</v>
      </c>
      <c r="AF387" t="s">
        <v>52</v>
      </c>
      <c r="AG387" t="s">
        <v>3</v>
      </c>
    </row>
    <row r="388" spans="1:33" ht="28" x14ac:dyDescent="0.15">
      <c r="A388" s="5" t="s">
        <v>1035</v>
      </c>
      <c r="B388" s="5" t="s">
        <v>117</v>
      </c>
      <c r="C388" s="5" t="s">
        <v>1036</v>
      </c>
      <c r="D388" s="5">
        <v>35</v>
      </c>
      <c r="E388" s="5">
        <v>2</v>
      </c>
      <c r="F388" s="5">
        <v>43.3</v>
      </c>
      <c r="G388" s="5" t="s">
        <v>1758</v>
      </c>
      <c r="H388" s="5" t="b">
        <v>0</v>
      </c>
      <c r="I388" s="5"/>
      <c r="J388" s="5" t="b">
        <v>1</v>
      </c>
      <c r="K388" s="5" t="s">
        <v>1675</v>
      </c>
      <c r="L388" s="5">
        <v>35</v>
      </c>
      <c r="M388" s="5">
        <v>35</v>
      </c>
      <c r="N388" s="5">
        <v>43.3</v>
      </c>
      <c r="O388" s="5">
        <v>0.3</v>
      </c>
      <c r="P388" s="5" t="s">
        <v>1708</v>
      </c>
      <c r="Q388" s="5"/>
      <c r="R388" s="5" t="s">
        <v>1729</v>
      </c>
      <c r="S388" s="5">
        <v>52</v>
      </c>
      <c r="T388" s="5">
        <v>46</v>
      </c>
      <c r="U388" s="5">
        <v>245</v>
      </c>
      <c r="V388" s="5" t="s">
        <v>1759</v>
      </c>
      <c r="W388" s="5" t="s">
        <v>1713</v>
      </c>
      <c r="X388" s="14" t="s">
        <v>69</v>
      </c>
      <c r="AE388" t="s">
        <v>243</v>
      </c>
      <c r="AF388" t="s">
        <v>52</v>
      </c>
      <c r="AG388" t="s">
        <v>3</v>
      </c>
    </row>
    <row r="389" spans="1:33" ht="28" x14ac:dyDescent="0.15">
      <c r="A389" s="5" t="s">
        <v>1037</v>
      </c>
      <c r="B389" s="5" t="s">
        <v>117</v>
      </c>
      <c r="C389" s="5" t="s">
        <v>1038</v>
      </c>
      <c r="D389" s="5">
        <v>35</v>
      </c>
      <c r="E389" s="5">
        <v>2.8</v>
      </c>
      <c r="F389" s="5">
        <v>43.3</v>
      </c>
      <c r="G389" s="5" t="s">
        <v>1758</v>
      </c>
      <c r="H389" s="5" t="b">
        <v>0</v>
      </c>
      <c r="I389" s="5"/>
      <c r="J389" s="5" t="b">
        <v>1</v>
      </c>
      <c r="K389" s="5" t="s">
        <v>1675</v>
      </c>
      <c r="L389" s="5">
        <v>35</v>
      </c>
      <c r="M389" s="5">
        <v>35</v>
      </c>
      <c r="N389" s="5">
        <v>43.3</v>
      </c>
      <c r="O389" s="5">
        <v>0.35</v>
      </c>
      <c r="P389" s="5" t="s">
        <v>1708</v>
      </c>
      <c r="Q389" s="5"/>
      <c r="R389" s="5" t="s">
        <v>1729</v>
      </c>
      <c r="S389" s="5">
        <v>52</v>
      </c>
      <c r="T389" s="5">
        <v>40</v>
      </c>
      <c r="U389" s="5">
        <v>165</v>
      </c>
      <c r="V389" s="5" t="s">
        <v>1759</v>
      </c>
      <c r="W389" s="5" t="s">
        <v>1713</v>
      </c>
      <c r="X389" s="14" t="s">
        <v>69</v>
      </c>
      <c r="AE389" t="s">
        <v>243</v>
      </c>
      <c r="AF389" t="s">
        <v>52</v>
      </c>
      <c r="AG389" t="s">
        <v>3</v>
      </c>
    </row>
    <row r="390" spans="1:33" ht="28" x14ac:dyDescent="0.15">
      <c r="A390" s="5" t="s">
        <v>1039</v>
      </c>
      <c r="B390" s="5" t="s">
        <v>117</v>
      </c>
      <c r="C390" s="5" t="s">
        <v>1040</v>
      </c>
      <c r="D390" s="5">
        <v>50</v>
      </c>
      <c r="E390" s="5">
        <v>1.2</v>
      </c>
      <c r="F390" s="5">
        <v>43.3</v>
      </c>
      <c r="G390" s="5" t="s">
        <v>1758</v>
      </c>
      <c r="H390" s="5" t="b">
        <v>0</v>
      </c>
      <c r="I390" s="5"/>
      <c r="J390" s="5" t="b">
        <v>1</v>
      </c>
      <c r="K390" s="5" t="s">
        <v>1675</v>
      </c>
      <c r="L390" s="5">
        <v>50</v>
      </c>
      <c r="M390" s="5">
        <v>50</v>
      </c>
      <c r="N390" s="5">
        <v>43.3</v>
      </c>
      <c r="O390" s="5">
        <v>0.5</v>
      </c>
      <c r="P390" s="5" t="s">
        <v>1708</v>
      </c>
      <c r="Q390" s="5"/>
      <c r="R390" s="5" t="s">
        <v>1729</v>
      </c>
      <c r="S390" s="5">
        <v>52</v>
      </c>
      <c r="T390" s="5">
        <v>45.6</v>
      </c>
      <c r="U390" s="5">
        <v>315</v>
      </c>
      <c r="V390" s="5" t="s">
        <v>1759</v>
      </c>
      <c r="W390" s="5" t="s">
        <v>1713</v>
      </c>
      <c r="X390" s="14" t="s">
        <v>69</v>
      </c>
      <c r="AE390" t="s">
        <v>243</v>
      </c>
      <c r="AF390" t="s">
        <v>52</v>
      </c>
      <c r="AG390" t="s">
        <v>3</v>
      </c>
    </row>
    <row r="391" spans="1:33" ht="28" x14ac:dyDescent="0.15">
      <c r="A391" s="5" t="s">
        <v>1041</v>
      </c>
      <c r="B391" s="5" t="s">
        <v>117</v>
      </c>
      <c r="C391" s="5" t="s">
        <v>1042</v>
      </c>
      <c r="D391" s="5">
        <v>50</v>
      </c>
      <c r="E391" s="5">
        <v>1.2</v>
      </c>
      <c r="F391" s="5">
        <v>43.3</v>
      </c>
      <c r="G391" s="5" t="s">
        <v>1758</v>
      </c>
      <c r="H391" s="5" t="b">
        <v>0</v>
      </c>
      <c r="I391" s="5"/>
      <c r="J391" s="5" t="b">
        <v>1</v>
      </c>
      <c r="K391" s="5" t="s">
        <v>1675</v>
      </c>
      <c r="L391" s="5">
        <v>50</v>
      </c>
      <c r="M391" s="5">
        <v>50</v>
      </c>
      <c r="N391" s="5">
        <v>43.3</v>
      </c>
      <c r="O391" s="5">
        <v>0.5</v>
      </c>
      <c r="P391" s="5" t="s">
        <v>1708</v>
      </c>
      <c r="Q391" s="5"/>
      <c r="R391" s="5" t="s">
        <v>1729</v>
      </c>
      <c r="S391" s="5">
        <v>52</v>
      </c>
      <c r="T391" s="5">
        <v>50.5</v>
      </c>
      <c r="U391" s="5">
        <v>380</v>
      </c>
      <c r="V391" s="5" t="s">
        <v>1759</v>
      </c>
      <c r="W391" s="5" t="s">
        <v>1713</v>
      </c>
      <c r="X391" s="14" t="s">
        <v>69</v>
      </c>
      <c r="AE391" t="s">
        <v>243</v>
      </c>
      <c r="AF391" t="s">
        <v>52</v>
      </c>
      <c r="AG391" t="s">
        <v>3</v>
      </c>
    </row>
    <row r="392" spans="1:33" ht="28" x14ac:dyDescent="0.15">
      <c r="A392" s="5" t="s">
        <v>1043</v>
      </c>
      <c r="B392" s="5" t="s">
        <v>117</v>
      </c>
      <c r="C392" s="5" t="s">
        <v>1044</v>
      </c>
      <c r="D392" s="5">
        <v>50</v>
      </c>
      <c r="E392" s="5">
        <v>1.4</v>
      </c>
      <c r="F392" s="5">
        <v>43.3</v>
      </c>
      <c r="G392" s="5" t="s">
        <v>1758</v>
      </c>
      <c r="H392" s="5" t="b">
        <v>0</v>
      </c>
      <c r="I392" s="5"/>
      <c r="J392" s="5" t="b">
        <v>1</v>
      </c>
      <c r="K392" s="5" t="s">
        <v>1675</v>
      </c>
      <c r="L392" s="5">
        <v>50</v>
      </c>
      <c r="M392" s="5">
        <v>50</v>
      </c>
      <c r="N392" s="5">
        <v>43.3</v>
      </c>
      <c r="O392" s="5">
        <v>0.45</v>
      </c>
      <c r="P392" s="5" t="s">
        <v>1708</v>
      </c>
      <c r="Q392" s="5"/>
      <c r="R392" s="5" t="s">
        <v>1729</v>
      </c>
      <c r="S392" s="5">
        <v>52</v>
      </c>
      <c r="T392" s="5">
        <v>41</v>
      </c>
      <c r="U392" s="5">
        <v>235</v>
      </c>
      <c r="V392" s="5" t="s">
        <v>1759</v>
      </c>
      <c r="W392" s="5" t="s">
        <v>1713</v>
      </c>
      <c r="X392" s="14" t="s">
        <v>69</v>
      </c>
      <c r="AE392" t="s">
        <v>243</v>
      </c>
      <c r="AF392" t="s">
        <v>52</v>
      </c>
      <c r="AG392" t="s">
        <v>3</v>
      </c>
    </row>
    <row r="393" spans="1:33" ht="28" x14ac:dyDescent="0.15">
      <c r="A393" s="5" t="s">
        <v>1045</v>
      </c>
      <c r="B393" s="5" t="s">
        <v>117</v>
      </c>
      <c r="C393" s="5" t="s">
        <v>1046</v>
      </c>
      <c r="D393" s="5">
        <v>50</v>
      </c>
      <c r="E393" s="5">
        <v>1.8</v>
      </c>
      <c r="F393" s="5">
        <v>43.3</v>
      </c>
      <c r="G393" s="5" t="s">
        <v>1758</v>
      </c>
      <c r="H393" s="5" t="b">
        <v>0</v>
      </c>
      <c r="I393" s="5"/>
      <c r="J393" s="5" t="b">
        <v>1</v>
      </c>
      <c r="K393" s="5" t="s">
        <v>1675</v>
      </c>
      <c r="L393" s="5">
        <v>50</v>
      </c>
      <c r="M393" s="5">
        <v>50</v>
      </c>
      <c r="N393" s="5">
        <v>43.3</v>
      </c>
      <c r="O393" s="5">
        <v>0.6</v>
      </c>
      <c r="P393" s="5" t="s">
        <v>1708</v>
      </c>
      <c r="Q393" s="5"/>
      <c r="R393" s="5" t="s">
        <v>1729</v>
      </c>
      <c r="S393" s="5">
        <v>52</v>
      </c>
      <c r="T393" s="5">
        <v>35</v>
      </c>
      <c r="U393" s="5">
        <v>170</v>
      </c>
      <c r="V393" s="5" t="s">
        <v>1759</v>
      </c>
      <c r="W393" s="5" t="s">
        <v>1713</v>
      </c>
      <c r="X393" s="14" t="s">
        <v>69</v>
      </c>
      <c r="AE393" t="s">
        <v>243</v>
      </c>
      <c r="AF393" t="s">
        <v>52</v>
      </c>
      <c r="AG393" t="s">
        <v>3</v>
      </c>
    </row>
    <row r="394" spans="1:33" ht="28" x14ac:dyDescent="0.15">
      <c r="A394" s="5" t="s">
        <v>1047</v>
      </c>
      <c r="B394" s="5" t="s">
        <v>117</v>
      </c>
      <c r="C394" s="5" t="s">
        <v>1048</v>
      </c>
      <c r="D394" s="5">
        <v>50</v>
      </c>
      <c r="E394" s="5">
        <v>2</v>
      </c>
      <c r="F394" s="5">
        <v>43.3</v>
      </c>
      <c r="G394" s="5" t="s">
        <v>1758</v>
      </c>
      <c r="H394" s="5" t="b">
        <v>0</v>
      </c>
      <c r="I394" s="5"/>
      <c r="J394" s="5" t="b">
        <v>1</v>
      </c>
      <c r="K394" s="5" t="s">
        <v>1675</v>
      </c>
      <c r="L394" s="5">
        <v>50</v>
      </c>
      <c r="M394" s="5">
        <v>50</v>
      </c>
      <c r="N394" s="5">
        <v>43.3</v>
      </c>
      <c r="O394" s="5">
        <v>0.6</v>
      </c>
      <c r="P394" s="5" t="s">
        <v>1708</v>
      </c>
      <c r="Q394" s="5"/>
      <c r="R394" s="5" t="s">
        <v>1729</v>
      </c>
      <c r="S394" s="5">
        <v>52</v>
      </c>
      <c r="T394" s="5">
        <v>35</v>
      </c>
      <c r="U394" s="5">
        <v>170</v>
      </c>
      <c r="V394" s="5" t="s">
        <v>1759</v>
      </c>
      <c r="W394" s="5" t="s">
        <v>1713</v>
      </c>
      <c r="X394" s="14" t="s">
        <v>69</v>
      </c>
      <c r="AE394" t="s">
        <v>243</v>
      </c>
      <c r="AF394" t="s">
        <v>52</v>
      </c>
      <c r="AG394" t="s">
        <v>3</v>
      </c>
    </row>
    <row r="395" spans="1:33" ht="28" x14ac:dyDescent="0.15">
      <c r="A395" s="5" t="s">
        <v>1049</v>
      </c>
      <c r="B395" s="5" t="s">
        <v>117</v>
      </c>
      <c r="C395" s="5" t="s">
        <v>1050</v>
      </c>
      <c r="D395" s="5">
        <v>50</v>
      </c>
      <c r="E395" s="5">
        <v>3.5</v>
      </c>
      <c r="F395" s="5">
        <v>43.3</v>
      </c>
      <c r="G395" s="5" t="s">
        <v>1758</v>
      </c>
      <c r="H395" s="5" t="b">
        <v>0</v>
      </c>
      <c r="I395" s="5"/>
      <c r="J395" s="5" t="b">
        <v>1</v>
      </c>
      <c r="K395" s="5" t="s">
        <v>1675</v>
      </c>
      <c r="L395" s="5">
        <v>50</v>
      </c>
      <c r="M395" s="5">
        <v>50</v>
      </c>
      <c r="N395" s="5">
        <v>43.3</v>
      </c>
      <c r="O395" s="5">
        <v>0.23</v>
      </c>
      <c r="P395" s="5" t="s">
        <v>1708</v>
      </c>
      <c r="Q395" s="5"/>
      <c r="R395" s="5" t="s">
        <v>1729</v>
      </c>
      <c r="S395" s="5">
        <v>52</v>
      </c>
      <c r="T395" s="5">
        <v>57</v>
      </c>
      <c r="U395" s="5">
        <v>235</v>
      </c>
      <c r="V395" s="5" t="s">
        <v>1759</v>
      </c>
      <c r="W395" s="5" t="s">
        <v>1713</v>
      </c>
      <c r="X395" s="14" t="s">
        <v>69</v>
      </c>
      <c r="AE395" t="s">
        <v>243</v>
      </c>
      <c r="AF395" t="s">
        <v>52</v>
      </c>
      <c r="AG395" t="s">
        <v>3</v>
      </c>
    </row>
    <row r="396" spans="1:33" ht="28" x14ac:dyDescent="0.15">
      <c r="A396" s="5" t="s">
        <v>1051</v>
      </c>
      <c r="B396" s="5" t="s">
        <v>117</v>
      </c>
      <c r="C396" s="5" t="s">
        <v>1052</v>
      </c>
      <c r="D396" s="5">
        <v>85</v>
      </c>
      <c r="E396" s="5">
        <v>1.2</v>
      </c>
      <c r="F396" s="5">
        <v>43.3</v>
      </c>
      <c r="G396" s="5" t="s">
        <v>1758</v>
      </c>
      <c r="H396" s="5" t="b">
        <v>0</v>
      </c>
      <c r="I396" s="5"/>
      <c r="J396" s="5" t="b">
        <v>1</v>
      </c>
      <c r="K396" s="5" t="s">
        <v>1675</v>
      </c>
      <c r="L396" s="5">
        <v>85</v>
      </c>
      <c r="M396" s="5">
        <v>85</v>
      </c>
      <c r="N396" s="5">
        <v>43.3</v>
      </c>
      <c r="O396" s="5">
        <v>0.9</v>
      </c>
      <c r="P396" s="5" t="s">
        <v>1708</v>
      </c>
      <c r="Q396" s="5"/>
      <c r="R396" s="5" t="s">
        <v>1729</v>
      </c>
      <c r="S396" s="5">
        <v>72</v>
      </c>
      <c r="T396" s="5">
        <v>71</v>
      </c>
      <c r="U396" s="5">
        <v>680</v>
      </c>
      <c r="V396" s="5" t="s">
        <v>1759</v>
      </c>
      <c r="W396" s="5" t="s">
        <v>1713</v>
      </c>
      <c r="X396" s="14" t="s">
        <v>69</v>
      </c>
      <c r="AE396" t="s">
        <v>243</v>
      </c>
      <c r="AF396" t="s">
        <v>52</v>
      </c>
      <c r="AG396" t="s">
        <v>3</v>
      </c>
    </row>
    <row r="397" spans="1:33" ht="28" x14ac:dyDescent="0.15">
      <c r="A397" s="5" t="s">
        <v>1053</v>
      </c>
      <c r="B397" s="5" t="s">
        <v>117</v>
      </c>
      <c r="C397" s="5" t="s">
        <v>1054</v>
      </c>
      <c r="D397" s="5">
        <v>85</v>
      </c>
      <c r="E397" s="5">
        <v>1.8</v>
      </c>
      <c r="F397" s="5">
        <v>43.3</v>
      </c>
      <c r="G397" s="5" t="s">
        <v>1758</v>
      </c>
      <c r="H397" s="5" t="b">
        <v>0</v>
      </c>
      <c r="I397" s="5"/>
      <c r="J397" s="5" t="b">
        <v>1</v>
      </c>
      <c r="K397" s="5" t="s">
        <v>1675</v>
      </c>
      <c r="L397" s="5">
        <v>85</v>
      </c>
      <c r="M397" s="5">
        <v>85</v>
      </c>
      <c r="N397" s="5">
        <v>43.3</v>
      </c>
      <c r="O397" s="5">
        <v>0.85</v>
      </c>
      <c r="P397" s="5" t="s">
        <v>1708</v>
      </c>
      <c r="Q397" s="5"/>
      <c r="R397" s="5" t="s">
        <v>1729</v>
      </c>
      <c r="S397" s="5">
        <v>52</v>
      </c>
      <c r="T397" s="5">
        <v>53.5</v>
      </c>
      <c r="U397" s="5">
        <v>345</v>
      </c>
      <c r="V397" s="5" t="s">
        <v>1759</v>
      </c>
      <c r="W397" s="5" t="s">
        <v>1713</v>
      </c>
      <c r="X397" s="14" t="s">
        <v>69</v>
      </c>
      <c r="AE397" t="s">
        <v>243</v>
      </c>
      <c r="AF397" t="s">
        <v>52</v>
      </c>
      <c r="AG397" t="s">
        <v>3</v>
      </c>
    </row>
    <row r="398" spans="1:33" ht="28" x14ac:dyDescent="0.15">
      <c r="A398" s="5" t="s">
        <v>1055</v>
      </c>
      <c r="B398" s="5" t="s">
        <v>117</v>
      </c>
      <c r="C398" s="5" t="s">
        <v>1056</v>
      </c>
      <c r="D398" s="5">
        <v>100</v>
      </c>
      <c r="E398" s="5">
        <v>2</v>
      </c>
      <c r="F398" s="5">
        <v>43.3</v>
      </c>
      <c r="G398" s="5" t="s">
        <v>1758</v>
      </c>
      <c r="H398" s="5" t="b">
        <v>0</v>
      </c>
      <c r="I398" s="5"/>
      <c r="J398" s="5" t="b">
        <v>1</v>
      </c>
      <c r="K398" s="5" t="s">
        <v>1675</v>
      </c>
      <c r="L398" s="5">
        <v>100</v>
      </c>
      <c r="M398" s="5">
        <v>100</v>
      </c>
      <c r="N398" s="5">
        <v>43.3</v>
      </c>
      <c r="O398" s="5">
        <v>1</v>
      </c>
      <c r="P398" s="5" t="s">
        <v>1708</v>
      </c>
      <c r="Q398" s="5"/>
      <c r="R398" s="5" t="s">
        <v>1729</v>
      </c>
      <c r="S398" s="5">
        <v>52</v>
      </c>
      <c r="T398" s="5">
        <v>70</v>
      </c>
      <c r="U398" s="5">
        <v>445</v>
      </c>
      <c r="V398" s="5" t="s">
        <v>1759</v>
      </c>
      <c r="W398" s="5" t="s">
        <v>1713</v>
      </c>
      <c r="X398" s="14" t="s">
        <v>69</v>
      </c>
      <c r="AE398" t="s">
        <v>243</v>
      </c>
      <c r="AF398" t="s">
        <v>52</v>
      </c>
      <c r="AG398" t="s">
        <v>3</v>
      </c>
    </row>
    <row r="399" spans="1:33" ht="28" x14ac:dyDescent="0.15">
      <c r="A399" s="5" t="s">
        <v>1057</v>
      </c>
      <c r="B399" s="5" t="s">
        <v>1058</v>
      </c>
      <c r="C399" s="5" t="s">
        <v>1059</v>
      </c>
      <c r="D399" s="5">
        <v>12</v>
      </c>
      <c r="E399" s="5">
        <v>2.8</v>
      </c>
      <c r="F399" s="5">
        <v>31.1</v>
      </c>
      <c r="G399" s="5" t="s">
        <v>1728</v>
      </c>
      <c r="H399" s="5" t="b">
        <v>0</v>
      </c>
      <c r="I399" s="5"/>
      <c r="J399" s="5" t="b">
        <v>1</v>
      </c>
      <c r="K399" s="5" t="s">
        <v>1675</v>
      </c>
      <c r="L399" s="5">
        <v>12</v>
      </c>
      <c r="M399" s="5">
        <v>25</v>
      </c>
      <c r="N399" s="5">
        <v>31.1</v>
      </c>
      <c r="O399" s="5">
        <v>0.4</v>
      </c>
      <c r="P399" s="5" t="s">
        <v>1708</v>
      </c>
      <c r="Q399" s="5"/>
      <c r="R399" s="5" t="s">
        <v>1729</v>
      </c>
      <c r="S399" s="5">
        <v>95</v>
      </c>
      <c r="T399" s="5">
        <v>159</v>
      </c>
      <c r="U399" s="5">
        <v>1600</v>
      </c>
      <c r="V399" s="5" t="s">
        <v>1730</v>
      </c>
      <c r="W399" s="5" t="s">
        <v>1713</v>
      </c>
      <c r="X399" s="14" t="s">
        <v>69</v>
      </c>
      <c r="AE399" t="s">
        <v>243</v>
      </c>
      <c r="AF399" t="s">
        <v>52</v>
      </c>
      <c r="AG399" t="s">
        <v>3</v>
      </c>
    </row>
    <row r="400" spans="1:33" ht="28" x14ac:dyDescent="0.15">
      <c r="A400" s="5" t="s">
        <v>1060</v>
      </c>
      <c r="B400" s="5" t="s">
        <v>1058</v>
      </c>
      <c r="C400" s="5" t="s">
        <v>1061</v>
      </c>
      <c r="D400" s="5">
        <v>14</v>
      </c>
      <c r="E400" s="5">
        <v>2.8</v>
      </c>
      <c r="F400" s="5">
        <v>31.1</v>
      </c>
      <c r="G400" s="5" t="s">
        <v>1728</v>
      </c>
      <c r="H400" s="5" t="b">
        <v>0</v>
      </c>
      <c r="I400" s="5"/>
      <c r="J400" s="5" t="b">
        <v>1</v>
      </c>
      <c r="K400" s="5" t="s">
        <v>1675</v>
      </c>
      <c r="L400" s="5">
        <v>14</v>
      </c>
      <c r="M400" s="5">
        <v>30</v>
      </c>
      <c r="N400" s="5">
        <v>31.1</v>
      </c>
      <c r="O400" s="5">
        <v>0.6</v>
      </c>
      <c r="P400" s="5" t="s">
        <v>1708</v>
      </c>
      <c r="Q400" s="5"/>
      <c r="R400" s="5" t="s">
        <v>1729</v>
      </c>
      <c r="S400" s="5">
        <v>95</v>
      </c>
      <c r="T400" s="5">
        <v>173</v>
      </c>
      <c r="U400" s="5">
        <v>1880</v>
      </c>
      <c r="V400" s="5" t="s">
        <v>1730</v>
      </c>
      <c r="W400" s="5" t="s">
        <v>1713</v>
      </c>
      <c r="X400" s="14" t="s">
        <v>69</v>
      </c>
      <c r="AE400" t="s">
        <v>243</v>
      </c>
      <c r="AF400" t="s">
        <v>52</v>
      </c>
      <c r="AG400" t="s">
        <v>3</v>
      </c>
    </row>
    <row r="401" spans="1:33" ht="28" x14ac:dyDescent="0.15">
      <c r="A401" s="5" t="s">
        <v>1062</v>
      </c>
      <c r="B401" s="5" t="s">
        <v>1058</v>
      </c>
      <c r="C401" s="5" t="s">
        <v>1063</v>
      </c>
      <c r="D401" s="5">
        <v>18</v>
      </c>
      <c r="E401" s="5">
        <v>2.9</v>
      </c>
      <c r="F401" s="5">
        <v>31.5</v>
      </c>
      <c r="G401" s="5" t="s">
        <v>1728</v>
      </c>
      <c r="H401" s="5" t="b">
        <v>0</v>
      </c>
      <c r="I401" s="5"/>
      <c r="J401" s="5" t="b">
        <v>1</v>
      </c>
      <c r="K401" s="5" t="s">
        <v>1675</v>
      </c>
      <c r="L401" s="5">
        <v>18</v>
      </c>
      <c r="M401" s="5">
        <v>90</v>
      </c>
      <c r="N401" s="5">
        <v>31.5</v>
      </c>
      <c r="O401" s="5">
        <v>0.7</v>
      </c>
      <c r="P401" s="5" t="s">
        <v>1708</v>
      </c>
      <c r="Q401" s="5"/>
      <c r="R401" s="5" t="s">
        <v>1729</v>
      </c>
      <c r="S401" s="5">
        <v>114</v>
      </c>
      <c r="T401" s="5">
        <v>256.39999999999998</v>
      </c>
      <c r="U401" s="5">
        <v>3539</v>
      </c>
      <c r="V401" s="5" t="s">
        <v>1730</v>
      </c>
      <c r="W401" s="5" t="s">
        <v>1713</v>
      </c>
      <c r="X401" s="14" t="s">
        <v>69</v>
      </c>
      <c r="AE401" t="s">
        <v>243</v>
      </c>
      <c r="AF401" t="s">
        <v>52</v>
      </c>
      <c r="AG401" t="s">
        <v>3</v>
      </c>
    </row>
    <row r="402" spans="1:33" ht="28" x14ac:dyDescent="0.15">
      <c r="A402" s="5" t="s">
        <v>1064</v>
      </c>
      <c r="B402" s="5" t="s">
        <v>1065</v>
      </c>
      <c r="C402" s="5" t="s">
        <v>1066</v>
      </c>
      <c r="D402" s="5">
        <v>50</v>
      </c>
      <c r="E402" s="5">
        <v>2</v>
      </c>
      <c r="F402" s="5" t="s">
        <v>1714</v>
      </c>
      <c r="G402" s="5" t="s">
        <v>1760</v>
      </c>
      <c r="H402" s="5" t="b">
        <v>1</v>
      </c>
      <c r="I402" s="5"/>
      <c r="J402" s="5" t="b">
        <v>1</v>
      </c>
      <c r="K402" s="5" t="s">
        <v>1675</v>
      </c>
      <c r="L402" s="5">
        <v>50</v>
      </c>
      <c r="M402" s="5">
        <v>50</v>
      </c>
      <c r="N402" s="5">
        <v>43.3</v>
      </c>
      <c r="O402" s="5">
        <v>0.48</v>
      </c>
      <c r="P402" s="5" t="s">
        <v>1708</v>
      </c>
      <c r="Q402" s="5">
        <v>1.33</v>
      </c>
      <c r="R402" s="5" t="s">
        <v>1718</v>
      </c>
      <c r="S402" s="5">
        <v>80</v>
      </c>
      <c r="T402" s="5"/>
      <c r="U402" s="5">
        <v>760</v>
      </c>
      <c r="V402" s="5" t="s">
        <v>1761</v>
      </c>
      <c r="W402" s="5" t="s">
        <v>1713</v>
      </c>
      <c r="X402" s="14" t="s">
        <v>69</v>
      </c>
      <c r="AE402" t="s">
        <v>243</v>
      </c>
      <c r="AF402" t="s">
        <v>52</v>
      </c>
      <c r="AG402" t="s">
        <v>3</v>
      </c>
    </row>
    <row r="403" spans="1:33" ht="28" x14ac:dyDescent="0.15">
      <c r="A403" s="5" t="s">
        <v>1067</v>
      </c>
      <c r="B403" s="5" t="s">
        <v>1065</v>
      </c>
      <c r="C403" s="5" t="s">
        <v>1068</v>
      </c>
      <c r="D403" s="5">
        <v>75</v>
      </c>
      <c r="E403" s="5">
        <v>2</v>
      </c>
      <c r="F403" s="5" t="s">
        <v>1714</v>
      </c>
      <c r="G403" s="5" t="s">
        <v>1760</v>
      </c>
      <c r="H403" s="5" t="b">
        <v>1</v>
      </c>
      <c r="I403" s="5"/>
      <c r="J403" s="5" t="b">
        <v>1</v>
      </c>
      <c r="K403" s="5" t="s">
        <v>1675</v>
      </c>
      <c r="L403" s="5">
        <v>75</v>
      </c>
      <c r="M403" s="5">
        <v>75</v>
      </c>
      <c r="N403" s="5">
        <v>43.3</v>
      </c>
      <c r="O403" s="5">
        <v>0.67</v>
      </c>
      <c r="P403" s="5" t="s">
        <v>1708</v>
      </c>
      <c r="Q403" s="5">
        <v>1.33</v>
      </c>
      <c r="R403" s="5" t="s">
        <v>1718</v>
      </c>
      <c r="S403" s="5">
        <v>80</v>
      </c>
      <c r="T403" s="5"/>
      <c r="U403" s="5">
        <v>785</v>
      </c>
      <c r="V403" s="5" t="s">
        <v>1761</v>
      </c>
      <c r="W403" s="5" t="s">
        <v>1713</v>
      </c>
      <c r="X403" s="14" t="s">
        <v>69</v>
      </c>
      <c r="AE403" t="s">
        <v>243</v>
      </c>
      <c r="AF403" t="s">
        <v>52</v>
      </c>
      <c r="AG403" t="s">
        <v>3</v>
      </c>
    </row>
    <row r="404" spans="1:33" ht="28" x14ac:dyDescent="0.15">
      <c r="A404" s="5" t="s">
        <v>1069</v>
      </c>
      <c r="B404" s="5" t="s">
        <v>1065</v>
      </c>
      <c r="C404" s="5" t="s">
        <v>1070</v>
      </c>
      <c r="D404" s="5">
        <v>100</v>
      </c>
      <c r="E404" s="5">
        <v>2.4</v>
      </c>
      <c r="F404" s="5" t="s">
        <v>1714</v>
      </c>
      <c r="G404" s="5" t="s">
        <v>1760</v>
      </c>
      <c r="H404" s="5" t="b">
        <v>1</v>
      </c>
      <c r="I404" s="5"/>
      <c r="J404" s="5" t="b">
        <v>1</v>
      </c>
      <c r="K404" s="5" t="s">
        <v>1675</v>
      </c>
      <c r="L404" s="5">
        <v>100</v>
      </c>
      <c r="M404" s="5">
        <v>100</v>
      </c>
      <c r="N404" s="5">
        <v>43.3</v>
      </c>
      <c r="O404" s="5">
        <v>0.67</v>
      </c>
      <c r="P404" s="5" t="s">
        <v>1708</v>
      </c>
      <c r="Q404" s="5">
        <v>1.33</v>
      </c>
      <c r="R404" s="5" t="s">
        <v>1718</v>
      </c>
      <c r="S404" s="5">
        <v>80</v>
      </c>
      <c r="T404" s="5"/>
      <c r="U404" s="5">
        <v>760</v>
      </c>
      <c r="V404" s="5" t="s">
        <v>1761</v>
      </c>
      <c r="W404" s="5" t="s">
        <v>1713</v>
      </c>
      <c r="X404" s="14" t="s">
        <v>69</v>
      </c>
      <c r="AE404" t="s">
        <v>243</v>
      </c>
      <c r="AF404" t="s">
        <v>52</v>
      </c>
      <c r="AG404" t="s">
        <v>3</v>
      </c>
    </row>
    <row r="405" spans="1:33" ht="28" x14ac:dyDescent="0.15">
      <c r="A405" s="5" t="s">
        <v>1071</v>
      </c>
      <c r="B405" s="5" t="s">
        <v>1065</v>
      </c>
      <c r="C405" s="5" t="s">
        <v>1072</v>
      </c>
      <c r="D405" s="5">
        <v>135</v>
      </c>
      <c r="E405" s="5">
        <v>3.2</v>
      </c>
      <c r="F405" s="5" t="s">
        <v>1714</v>
      </c>
      <c r="G405" s="5" t="s">
        <v>1760</v>
      </c>
      <c r="H405" s="5" t="b">
        <v>1</v>
      </c>
      <c r="I405" s="5"/>
      <c r="J405" s="5" t="b">
        <v>1</v>
      </c>
      <c r="K405" s="5" t="s">
        <v>1675</v>
      </c>
      <c r="L405" s="5">
        <v>135</v>
      </c>
      <c r="M405" s="5">
        <v>135</v>
      </c>
      <c r="N405" s="5">
        <v>43.3</v>
      </c>
      <c r="O405" s="5">
        <v>1</v>
      </c>
      <c r="P405" s="5" t="s">
        <v>1708</v>
      </c>
      <c r="Q405" s="5">
        <v>1.33</v>
      </c>
      <c r="R405" s="5" t="s">
        <v>1718</v>
      </c>
      <c r="S405" s="5">
        <v>80</v>
      </c>
      <c r="T405" s="5">
        <v>112</v>
      </c>
      <c r="U405" s="5">
        <v>800</v>
      </c>
      <c r="V405" s="5" t="s">
        <v>1761</v>
      </c>
      <c r="W405" s="5" t="s">
        <v>1713</v>
      </c>
      <c r="X405" s="14" t="s">
        <v>69</v>
      </c>
      <c r="AE405" t="s">
        <v>243</v>
      </c>
      <c r="AF405" t="s">
        <v>52</v>
      </c>
      <c r="AG405" t="s">
        <v>3</v>
      </c>
    </row>
    <row r="406" spans="1:33" ht="28" x14ac:dyDescent="0.15">
      <c r="A406" s="5" t="s">
        <v>1073</v>
      </c>
      <c r="B406" s="5" t="s">
        <v>1065</v>
      </c>
      <c r="C406" s="5" t="s">
        <v>1074</v>
      </c>
      <c r="D406" s="5">
        <v>33</v>
      </c>
      <c r="E406" s="5">
        <v>1.8</v>
      </c>
      <c r="F406" s="5" t="s">
        <v>1714</v>
      </c>
      <c r="G406" s="5" t="s">
        <v>1728</v>
      </c>
      <c r="H406" s="5" t="b">
        <v>1</v>
      </c>
      <c r="I406" s="5"/>
      <c r="J406" s="5" t="b">
        <v>1</v>
      </c>
      <c r="K406" s="5" t="s">
        <v>1675</v>
      </c>
      <c r="L406" s="5">
        <v>33</v>
      </c>
      <c r="M406" s="5">
        <v>33</v>
      </c>
      <c r="N406" s="5">
        <v>43.3</v>
      </c>
      <c r="O406" s="5">
        <v>0.49</v>
      </c>
      <c r="P406" s="5" t="s">
        <v>1708</v>
      </c>
      <c r="Q406" s="5">
        <v>1.5</v>
      </c>
      <c r="R406" s="5" t="s">
        <v>1718</v>
      </c>
      <c r="S406" s="5">
        <v>80</v>
      </c>
      <c r="T406" s="5">
        <v>101</v>
      </c>
      <c r="U406" s="5">
        <v>880</v>
      </c>
      <c r="V406" s="5" t="s">
        <v>1761</v>
      </c>
      <c r="W406" s="5" t="s">
        <v>1713</v>
      </c>
      <c r="X406" s="14" t="s">
        <v>69</v>
      </c>
      <c r="AE406" t="s">
        <v>243</v>
      </c>
      <c r="AF406" t="s">
        <v>52</v>
      </c>
      <c r="AG406" t="s">
        <v>3</v>
      </c>
    </row>
    <row r="407" spans="1:33" ht="28" x14ac:dyDescent="0.15">
      <c r="A407" s="5" t="s">
        <v>1075</v>
      </c>
      <c r="B407" s="5" t="s">
        <v>1065</v>
      </c>
      <c r="C407" s="5" t="s">
        <v>1076</v>
      </c>
      <c r="D407" s="5">
        <v>45</v>
      </c>
      <c r="E407" s="5">
        <v>2</v>
      </c>
      <c r="F407" s="5" t="s">
        <v>1714</v>
      </c>
      <c r="G407" s="5" t="s">
        <v>1728</v>
      </c>
      <c r="H407" s="5" t="b">
        <v>1</v>
      </c>
      <c r="I407" s="5"/>
      <c r="J407" s="5" t="b">
        <v>1</v>
      </c>
      <c r="K407" s="5" t="s">
        <v>1675</v>
      </c>
      <c r="L407" s="5">
        <v>45</v>
      </c>
      <c r="M407" s="5">
        <v>45</v>
      </c>
      <c r="N407" s="5">
        <v>43.3</v>
      </c>
      <c r="O407" s="5">
        <v>0.68</v>
      </c>
      <c r="P407" s="5" t="s">
        <v>1708</v>
      </c>
      <c r="Q407" s="5">
        <v>1.5</v>
      </c>
      <c r="R407" s="5" t="s">
        <v>1718</v>
      </c>
      <c r="S407" s="5">
        <v>80</v>
      </c>
      <c r="T407" s="5">
        <v>90</v>
      </c>
      <c r="U407" s="5">
        <v>720</v>
      </c>
      <c r="V407" s="5" t="s">
        <v>1761</v>
      </c>
      <c r="W407" s="5" t="s">
        <v>1713</v>
      </c>
      <c r="X407" s="14" t="s">
        <v>69</v>
      </c>
      <c r="AE407" t="s">
        <v>243</v>
      </c>
      <c r="AF407" t="s">
        <v>52</v>
      </c>
      <c r="AG407" t="s">
        <v>3</v>
      </c>
    </row>
    <row r="408" spans="1:33" ht="28" x14ac:dyDescent="0.15">
      <c r="A408" s="5" t="s">
        <v>1077</v>
      </c>
      <c r="B408" s="5" t="s">
        <v>1065</v>
      </c>
      <c r="C408" s="5" t="s">
        <v>1078</v>
      </c>
      <c r="D408" s="5">
        <v>50</v>
      </c>
      <c r="E408" s="5">
        <v>2</v>
      </c>
      <c r="F408" s="5" t="s">
        <v>1714</v>
      </c>
      <c r="G408" s="5" t="s">
        <v>1728</v>
      </c>
      <c r="H408" s="5" t="b">
        <v>1</v>
      </c>
      <c r="I408" s="5"/>
      <c r="J408" s="5" t="b">
        <v>1</v>
      </c>
      <c r="K408" s="5" t="s">
        <v>1675</v>
      </c>
      <c r="L408" s="5">
        <v>50</v>
      </c>
      <c r="M408" s="5">
        <v>50</v>
      </c>
      <c r="N408" s="5">
        <v>43.3</v>
      </c>
      <c r="O408" s="5">
        <v>0.74</v>
      </c>
      <c r="P408" s="5" t="s">
        <v>1708</v>
      </c>
      <c r="Q408" s="5">
        <v>1.5</v>
      </c>
      <c r="R408" s="5" t="s">
        <v>1718</v>
      </c>
      <c r="S408" s="5">
        <v>80</v>
      </c>
      <c r="T408" s="5">
        <v>90</v>
      </c>
      <c r="U408" s="5">
        <v>716</v>
      </c>
      <c r="V408" s="5" t="s">
        <v>1761</v>
      </c>
      <c r="W408" s="5" t="s">
        <v>1713</v>
      </c>
      <c r="X408" s="14" t="s">
        <v>69</v>
      </c>
      <c r="AE408" t="s">
        <v>243</v>
      </c>
      <c r="AF408" t="s">
        <v>52</v>
      </c>
      <c r="AG408" t="s">
        <v>3</v>
      </c>
    </row>
    <row r="409" spans="1:33" ht="28" x14ac:dyDescent="0.15">
      <c r="A409" s="5" t="s">
        <v>1079</v>
      </c>
      <c r="B409" s="5" t="s">
        <v>1065</v>
      </c>
      <c r="C409" s="5" t="s">
        <v>1080</v>
      </c>
      <c r="D409" s="5">
        <v>65</v>
      </c>
      <c r="E409" s="5">
        <v>2</v>
      </c>
      <c r="F409" s="5" t="s">
        <v>1714</v>
      </c>
      <c r="G409" s="5" t="s">
        <v>1728</v>
      </c>
      <c r="H409" s="5" t="b">
        <v>1</v>
      </c>
      <c r="I409" s="5"/>
      <c r="J409" s="5" t="b">
        <v>1</v>
      </c>
      <c r="K409" s="5" t="s">
        <v>1675</v>
      </c>
      <c r="L409" s="5">
        <v>65</v>
      </c>
      <c r="M409" s="5">
        <v>65</v>
      </c>
      <c r="N409" s="5">
        <v>43.3</v>
      </c>
      <c r="O409" s="5">
        <v>0.69</v>
      </c>
      <c r="P409" s="5" t="s">
        <v>1708</v>
      </c>
      <c r="Q409" s="5">
        <v>1.5</v>
      </c>
      <c r="R409" s="5" t="s">
        <v>1718</v>
      </c>
      <c r="S409" s="5">
        <v>80</v>
      </c>
      <c r="T409" s="5">
        <v>101</v>
      </c>
      <c r="U409" s="5">
        <v>782</v>
      </c>
      <c r="V409" s="5" t="s">
        <v>1761</v>
      </c>
      <c r="W409" s="5" t="s">
        <v>1713</v>
      </c>
      <c r="X409" s="14" t="s">
        <v>69</v>
      </c>
      <c r="AE409" t="s">
        <v>243</v>
      </c>
      <c r="AF409" t="s">
        <v>52</v>
      </c>
      <c r="AG409" t="s">
        <v>3</v>
      </c>
    </row>
    <row r="410" spans="1:33" ht="28" x14ac:dyDescent="0.15">
      <c r="A410" s="5" t="s">
        <v>1081</v>
      </c>
      <c r="B410" s="5" t="s">
        <v>1065</v>
      </c>
      <c r="C410" s="5" t="s">
        <v>1082</v>
      </c>
      <c r="D410" s="5">
        <v>85</v>
      </c>
      <c r="E410" s="5">
        <v>2.8</v>
      </c>
      <c r="F410" s="5" t="s">
        <v>1714</v>
      </c>
      <c r="G410" s="5" t="s">
        <v>1728</v>
      </c>
      <c r="H410" s="5" t="b">
        <v>1</v>
      </c>
      <c r="I410" s="5"/>
      <c r="J410" s="5" t="b">
        <v>1</v>
      </c>
      <c r="K410" s="5" t="s">
        <v>1675</v>
      </c>
      <c r="L410" s="5">
        <v>85</v>
      </c>
      <c r="M410" s="5">
        <v>85</v>
      </c>
      <c r="N410" s="5">
        <v>43.3</v>
      </c>
      <c r="O410" s="5">
        <v>0.69</v>
      </c>
      <c r="P410" s="5" t="s">
        <v>1708</v>
      </c>
      <c r="Q410" s="5">
        <v>1.5</v>
      </c>
      <c r="R410" s="5" t="s">
        <v>1718</v>
      </c>
      <c r="S410" s="5">
        <v>80</v>
      </c>
      <c r="T410" s="5">
        <v>104</v>
      </c>
      <c r="U410" s="5">
        <v>811</v>
      </c>
      <c r="V410" s="5" t="s">
        <v>1761</v>
      </c>
      <c r="W410" s="5" t="s">
        <v>1713</v>
      </c>
      <c r="X410" s="14" t="s">
        <v>69</v>
      </c>
      <c r="AE410" t="s">
        <v>243</v>
      </c>
      <c r="AF410" t="s">
        <v>52</v>
      </c>
      <c r="AG410" t="s">
        <v>3</v>
      </c>
    </row>
    <row r="411" spans="1:33" ht="28" x14ac:dyDescent="0.15">
      <c r="A411" s="5" t="s">
        <v>1083</v>
      </c>
      <c r="B411" s="5" t="s">
        <v>1065</v>
      </c>
      <c r="C411" s="5" t="s">
        <v>1084</v>
      </c>
      <c r="D411" s="5">
        <v>100</v>
      </c>
      <c r="E411" s="5">
        <v>2.8</v>
      </c>
      <c r="F411" s="5" t="s">
        <v>1714</v>
      </c>
      <c r="G411" s="5" t="s">
        <v>1728</v>
      </c>
      <c r="H411" s="5" t="b">
        <v>1</v>
      </c>
      <c r="I411" s="5"/>
      <c r="J411" s="5" t="b">
        <v>1</v>
      </c>
      <c r="K411" s="5" t="s">
        <v>1675</v>
      </c>
      <c r="L411" s="5">
        <v>100</v>
      </c>
      <c r="M411" s="5">
        <v>100</v>
      </c>
      <c r="N411" s="5">
        <v>43.3</v>
      </c>
      <c r="O411" s="5">
        <v>0.71</v>
      </c>
      <c r="P411" s="5" t="s">
        <v>1708</v>
      </c>
      <c r="Q411" s="5">
        <v>1.5</v>
      </c>
      <c r="R411" s="5" t="s">
        <v>1718</v>
      </c>
      <c r="S411" s="5">
        <v>80</v>
      </c>
      <c r="T411" s="5">
        <v>110</v>
      </c>
      <c r="U411" s="5">
        <v>788</v>
      </c>
      <c r="V411" s="5" t="s">
        <v>1761</v>
      </c>
      <c r="W411" s="5" t="s">
        <v>1713</v>
      </c>
      <c r="X411" s="14" t="s">
        <v>69</v>
      </c>
      <c r="AE411" t="s">
        <v>243</v>
      </c>
      <c r="AF411" t="s">
        <v>52</v>
      </c>
      <c r="AG411" t="s">
        <v>3</v>
      </c>
    </row>
    <row r="412" spans="1:33" ht="28" x14ac:dyDescent="0.15">
      <c r="A412" s="5" t="s">
        <v>1085</v>
      </c>
      <c r="B412" s="5" t="s">
        <v>1065</v>
      </c>
      <c r="C412" s="5" t="s">
        <v>1086</v>
      </c>
      <c r="D412" s="5">
        <v>125</v>
      </c>
      <c r="E412" s="5">
        <v>4</v>
      </c>
      <c r="F412" s="5" t="s">
        <v>1714</v>
      </c>
      <c r="G412" s="5" t="s">
        <v>1728</v>
      </c>
      <c r="H412" s="5" t="b">
        <v>1</v>
      </c>
      <c r="I412" s="5"/>
      <c r="J412" s="5" t="b">
        <v>1</v>
      </c>
      <c r="K412" s="5" t="s">
        <v>1675</v>
      </c>
      <c r="L412" s="5">
        <v>125</v>
      </c>
      <c r="M412" s="5">
        <v>125</v>
      </c>
      <c r="N412" s="5">
        <v>43.3</v>
      </c>
      <c r="O412" s="5">
        <v>0.76</v>
      </c>
      <c r="P412" s="5" t="s">
        <v>1708</v>
      </c>
      <c r="Q412" s="5">
        <v>1.5</v>
      </c>
      <c r="R412" s="5" t="s">
        <v>1718</v>
      </c>
      <c r="S412" s="5">
        <v>80</v>
      </c>
      <c r="T412" s="5">
        <v>114</v>
      </c>
      <c r="U412" s="5">
        <v>820</v>
      </c>
      <c r="V412" s="5" t="s">
        <v>1761</v>
      </c>
      <c r="W412" s="5" t="s">
        <v>1713</v>
      </c>
      <c r="X412" s="14" t="s">
        <v>69</v>
      </c>
      <c r="AE412" t="s">
        <v>243</v>
      </c>
      <c r="AF412" t="s">
        <v>52</v>
      </c>
      <c r="AG412" t="s">
        <v>3</v>
      </c>
    </row>
    <row r="413" spans="1:33" ht="28" x14ac:dyDescent="0.15">
      <c r="A413" s="5" t="s">
        <v>1087</v>
      </c>
      <c r="B413" s="5" t="s">
        <v>1065</v>
      </c>
      <c r="C413" s="5" t="s">
        <v>1088</v>
      </c>
      <c r="D413" s="5">
        <v>35</v>
      </c>
      <c r="E413" s="5">
        <v>1.6</v>
      </c>
      <c r="F413" s="5" t="s">
        <v>1711</v>
      </c>
      <c r="G413" s="5" t="s">
        <v>1728</v>
      </c>
      <c r="H413" s="5" t="b">
        <v>1</v>
      </c>
      <c r="I413" s="5"/>
      <c r="J413" s="5" t="b">
        <v>1</v>
      </c>
      <c r="K413" s="5" t="s">
        <v>1675</v>
      </c>
      <c r="L413" s="5">
        <v>35</v>
      </c>
      <c r="M413" s="5">
        <v>35</v>
      </c>
      <c r="N413" s="5">
        <v>30.2</v>
      </c>
      <c r="O413" s="5">
        <v>0.74</v>
      </c>
      <c r="P413" s="5" t="s">
        <v>1708</v>
      </c>
      <c r="Q413" s="5">
        <v>1.5</v>
      </c>
      <c r="R413" s="5" t="s">
        <v>1718</v>
      </c>
      <c r="S413" s="5">
        <v>80</v>
      </c>
      <c r="T413" s="5">
        <v>93</v>
      </c>
      <c r="U413" s="5">
        <v>742</v>
      </c>
      <c r="V413" s="5" t="s">
        <v>1761</v>
      </c>
      <c r="W413" s="5" t="s">
        <v>1713</v>
      </c>
      <c r="X413" s="14" t="s">
        <v>69</v>
      </c>
      <c r="AE413" t="s">
        <v>243</v>
      </c>
      <c r="AF413" t="s">
        <v>52</v>
      </c>
      <c r="AG413" t="s">
        <v>3</v>
      </c>
    </row>
    <row r="414" spans="1:33" ht="28" x14ac:dyDescent="0.15">
      <c r="A414" s="5" t="s">
        <v>1089</v>
      </c>
      <c r="B414" s="5" t="s">
        <v>1065</v>
      </c>
      <c r="C414" s="5" t="s">
        <v>1090</v>
      </c>
      <c r="D414" s="5">
        <v>50</v>
      </c>
      <c r="E414" s="5">
        <v>2.1</v>
      </c>
      <c r="F414" s="5" t="s">
        <v>1714</v>
      </c>
      <c r="G414" s="5" t="s">
        <v>1651</v>
      </c>
      <c r="H414" s="5" t="b">
        <v>1</v>
      </c>
      <c r="I414" s="5"/>
      <c r="J414" s="5" t="b">
        <v>1</v>
      </c>
      <c r="K414" s="5" t="s">
        <v>1675</v>
      </c>
      <c r="L414" s="5">
        <v>50</v>
      </c>
      <c r="M414" s="5">
        <v>50</v>
      </c>
      <c r="N414" s="5">
        <v>43.3</v>
      </c>
      <c r="O414" s="5">
        <v>0.65</v>
      </c>
      <c r="P414" s="5" t="s">
        <v>1708</v>
      </c>
      <c r="Q414" s="5">
        <v>1.5</v>
      </c>
      <c r="R414" s="5" t="s">
        <v>1718</v>
      </c>
      <c r="S414" s="5">
        <v>80</v>
      </c>
      <c r="T414" s="5">
        <v>120</v>
      </c>
      <c r="U414" s="5">
        <v>664</v>
      </c>
      <c r="V414" s="5" t="s">
        <v>1761</v>
      </c>
      <c r="W414" s="5" t="s">
        <v>1713</v>
      </c>
      <c r="X414" s="14" t="s">
        <v>69</v>
      </c>
      <c r="AE414" t="s">
        <v>243</v>
      </c>
      <c r="AF414" t="s">
        <v>52</v>
      </c>
      <c r="AG414" t="s">
        <v>3</v>
      </c>
    </row>
    <row r="415" spans="1:33" ht="28" x14ac:dyDescent="0.15">
      <c r="A415" s="5" t="s">
        <v>1091</v>
      </c>
      <c r="B415" s="5" t="s">
        <v>1065</v>
      </c>
      <c r="C415" s="5" t="s">
        <v>1092</v>
      </c>
      <c r="D415" s="5">
        <v>35</v>
      </c>
      <c r="E415" s="5">
        <v>2.1</v>
      </c>
      <c r="F415" s="5" t="s">
        <v>1714</v>
      </c>
      <c r="G415" s="5" t="s">
        <v>1728</v>
      </c>
      <c r="H415" s="5" t="b">
        <v>1</v>
      </c>
      <c r="I415" s="5"/>
      <c r="J415" s="5" t="b">
        <v>1</v>
      </c>
      <c r="K415" s="5" t="s">
        <v>1675</v>
      </c>
      <c r="L415" s="5">
        <v>35</v>
      </c>
      <c r="M415" s="5">
        <v>35</v>
      </c>
      <c r="N415" s="5">
        <v>43.3</v>
      </c>
      <c r="O415" s="5">
        <v>0.37</v>
      </c>
      <c r="P415" s="5" t="s">
        <v>1708</v>
      </c>
      <c r="Q415" s="5">
        <v>1.5</v>
      </c>
      <c r="R415" s="5" t="s">
        <v>1718</v>
      </c>
      <c r="S415" s="5">
        <v>80</v>
      </c>
      <c r="T415" s="5">
        <v>83</v>
      </c>
      <c r="U415" s="5">
        <v>579</v>
      </c>
      <c r="V415" s="5" t="s">
        <v>1761</v>
      </c>
      <c r="W415" s="5" t="s">
        <v>1713</v>
      </c>
      <c r="X415" s="14" t="s">
        <v>69</v>
      </c>
      <c r="AE415" t="s">
        <v>243</v>
      </c>
      <c r="AF415" t="s">
        <v>52</v>
      </c>
      <c r="AG415" t="s">
        <v>3</v>
      </c>
    </row>
    <row r="416" spans="1:33" ht="28" x14ac:dyDescent="0.15">
      <c r="A416" s="5" t="s">
        <v>1093</v>
      </c>
      <c r="B416" s="5" t="s">
        <v>1065</v>
      </c>
      <c r="C416" s="5" t="s">
        <v>1094</v>
      </c>
      <c r="D416" s="5">
        <v>50</v>
      </c>
      <c r="E416" s="5">
        <v>2.1</v>
      </c>
      <c r="F416" s="5" t="s">
        <v>1714</v>
      </c>
      <c r="G416" s="5" t="s">
        <v>1728</v>
      </c>
      <c r="H416" s="5" t="b">
        <v>1</v>
      </c>
      <c r="I416" s="5"/>
      <c r="J416" s="5" t="b">
        <v>1</v>
      </c>
      <c r="K416" s="5" t="s">
        <v>1675</v>
      </c>
      <c r="L416" s="5">
        <v>50</v>
      </c>
      <c r="M416" s="5">
        <v>50</v>
      </c>
      <c r="N416" s="5">
        <v>43.3</v>
      </c>
      <c r="O416" s="5">
        <v>0.65</v>
      </c>
      <c r="P416" s="5" t="s">
        <v>1708</v>
      </c>
      <c r="Q416" s="5">
        <v>1.5</v>
      </c>
      <c r="R416" s="5" t="s">
        <v>1718</v>
      </c>
      <c r="S416" s="5">
        <v>80</v>
      </c>
      <c r="T416" s="5">
        <v>82</v>
      </c>
      <c r="U416" s="5">
        <v>591</v>
      </c>
      <c r="V416" s="5" t="s">
        <v>1761</v>
      </c>
      <c r="W416" s="5" t="s">
        <v>1713</v>
      </c>
      <c r="X416" s="14" t="s">
        <v>69</v>
      </c>
      <c r="AE416" t="s">
        <v>243</v>
      </c>
      <c r="AF416" t="s">
        <v>52</v>
      </c>
      <c r="AG416" t="s">
        <v>3</v>
      </c>
    </row>
    <row r="417" spans="1:33" ht="28" x14ac:dyDescent="0.15">
      <c r="A417" s="5" t="s">
        <v>1095</v>
      </c>
      <c r="B417" s="5" t="s">
        <v>1065</v>
      </c>
      <c r="C417" s="5" t="s">
        <v>1096</v>
      </c>
      <c r="D417" s="5">
        <v>75</v>
      </c>
      <c r="E417" s="5">
        <v>2.1</v>
      </c>
      <c r="F417" s="5" t="s">
        <v>1714</v>
      </c>
      <c r="G417" s="5" t="s">
        <v>1728</v>
      </c>
      <c r="H417" s="5" t="b">
        <v>1</v>
      </c>
      <c r="I417" s="5"/>
      <c r="J417" s="5" t="b">
        <v>1</v>
      </c>
      <c r="K417" s="5" t="s">
        <v>1675</v>
      </c>
      <c r="L417" s="5">
        <v>75</v>
      </c>
      <c r="M417" s="5">
        <v>75</v>
      </c>
      <c r="N417" s="5">
        <v>43.3</v>
      </c>
      <c r="O417" s="5">
        <v>0.7</v>
      </c>
      <c r="P417" s="5" t="s">
        <v>1708</v>
      </c>
      <c r="Q417" s="5">
        <v>1.5</v>
      </c>
      <c r="R417" s="5" t="s">
        <v>1718</v>
      </c>
      <c r="S417" s="5">
        <v>80</v>
      </c>
      <c r="T417" s="5">
        <v>93</v>
      </c>
      <c r="U417" s="5">
        <v>633</v>
      </c>
      <c r="V417" s="5" t="s">
        <v>1761</v>
      </c>
      <c r="W417" s="5" t="s">
        <v>1713</v>
      </c>
      <c r="X417" s="14" t="s">
        <v>69</v>
      </c>
      <c r="AE417" t="s">
        <v>243</v>
      </c>
      <c r="AF417" t="s">
        <v>52</v>
      </c>
      <c r="AG417" t="s">
        <v>3</v>
      </c>
    </row>
    <row r="418" spans="1:33" ht="28" x14ac:dyDescent="0.15">
      <c r="A418" s="5" t="s">
        <v>1097</v>
      </c>
      <c r="B418" s="5" t="s">
        <v>1098</v>
      </c>
      <c r="C418" s="5" t="s">
        <v>1099</v>
      </c>
      <c r="D418" s="5" t="s">
        <v>1762</v>
      </c>
      <c r="E418" s="5" t="s">
        <v>1763</v>
      </c>
      <c r="F418" s="5" t="s">
        <v>1711</v>
      </c>
      <c r="G418" s="5" t="s">
        <v>1618</v>
      </c>
      <c r="H418" s="5" t="b">
        <v>0</v>
      </c>
      <c r="I418" s="5" t="s">
        <v>1764</v>
      </c>
      <c r="J418" s="5" t="b">
        <v>0</v>
      </c>
      <c r="K418" s="5"/>
      <c r="L418" s="5">
        <v>16</v>
      </c>
      <c r="M418" s="5">
        <v>16</v>
      </c>
      <c r="N418" s="5"/>
      <c r="O418" s="5"/>
      <c r="P418" s="5"/>
      <c r="Q418" s="5">
        <v>1</v>
      </c>
      <c r="R418" s="5" t="s">
        <v>1765</v>
      </c>
      <c r="S418" s="5">
        <v>80</v>
      </c>
      <c r="T418" s="5"/>
      <c r="U418" s="5"/>
      <c r="V418" s="5" t="s">
        <v>1766</v>
      </c>
      <c r="W418" s="5" t="s">
        <v>1767</v>
      </c>
      <c r="X418" s="14" t="s">
        <v>69</v>
      </c>
      <c r="AE418" t="s">
        <v>243</v>
      </c>
      <c r="AF418" t="s">
        <v>52</v>
      </c>
      <c r="AG418" t="s">
        <v>3</v>
      </c>
    </row>
    <row r="419" spans="1:33" ht="28" x14ac:dyDescent="0.15">
      <c r="A419" s="5" t="s">
        <v>1100</v>
      </c>
      <c r="B419" s="5" t="s">
        <v>1098</v>
      </c>
      <c r="C419" s="5" t="s">
        <v>1099</v>
      </c>
      <c r="D419" s="5" t="s">
        <v>1768</v>
      </c>
      <c r="E419" s="5" t="s">
        <v>1763</v>
      </c>
      <c r="F419" s="5" t="s">
        <v>1711</v>
      </c>
      <c r="G419" s="5" t="s">
        <v>1618</v>
      </c>
      <c r="H419" s="5" t="b">
        <v>0</v>
      </c>
      <c r="I419" s="5" t="s">
        <v>1764</v>
      </c>
      <c r="J419" s="5" t="b">
        <v>0</v>
      </c>
      <c r="K419" s="5"/>
      <c r="L419" s="5">
        <v>20</v>
      </c>
      <c r="M419" s="5">
        <v>20</v>
      </c>
      <c r="N419" s="5"/>
      <c r="O419" s="5"/>
      <c r="P419" s="5"/>
      <c r="Q419" s="5">
        <v>1</v>
      </c>
      <c r="R419" s="5" t="s">
        <v>1765</v>
      </c>
      <c r="S419" s="5">
        <v>80</v>
      </c>
      <c r="T419" s="5"/>
      <c r="U419" s="5"/>
      <c r="V419" s="5" t="s">
        <v>1766</v>
      </c>
      <c r="W419" s="5" t="s">
        <v>1767</v>
      </c>
      <c r="X419" s="14" t="s">
        <v>69</v>
      </c>
      <c r="AE419" t="s">
        <v>243</v>
      </c>
      <c r="AF419" t="s">
        <v>52</v>
      </c>
      <c r="AG419" t="s">
        <v>3</v>
      </c>
    </row>
    <row r="420" spans="1:33" ht="28" x14ac:dyDescent="0.15">
      <c r="A420" s="5" t="s">
        <v>1101</v>
      </c>
      <c r="B420" s="5" t="s">
        <v>1098</v>
      </c>
      <c r="C420" s="5" t="s">
        <v>1099</v>
      </c>
      <c r="D420" s="5" t="s">
        <v>1769</v>
      </c>
      <c r="E420" s="5" t="s">
        <v>1763</v>
      </c>
      <c r="F420" s="5" t="s">
        <v>1711</v>
      </c>
      <c r="G420" s="5" t="s">
        <v>1618</v>
      </c>
      <c r="H420" s="5" t="b">
        <v>0</v>
      </c>
      <c r="I420" s="5" t="s">
        <v>1764</v>
      </c>
      <c r="J420" s="5" t="b">
        <v>0</v>
      </c>
      <c r="K420" s="5"/>
      <c r="L420" s="5">
        <v>24</v>
      </c>
      <c r="M420" s="5">
        <v>24</v>
      </c>
      <c r="N420" s="5"/>
      <c r="O420" s="5"/>
      <c r="P420" s="5"/>
      <c r="Q420" s="5">
        <v>1</v>
      </c>
      <c r="R420" s="5" t="s">
        <v>1765</v>
      </c>
      <c r="S420" s="5">
        <v>80</v>
      </c>
      <c r="T420" s="5"/>
      <c r="U420" s="5"/>
      <c r="V420" s="5" t="s">
        <v>1766</v>
      </c>
      <c r="W420" s="5" t="s">
        <v>1767</v>
      </c>
      <c r="X420" s="14" t="s">
        <v>69</v>
      </c>
      <c r="AE420" t="s">
        <v>243</v>
      </c>
      <c r="AF420" t="s">
        <v>52</v>
      </c>
      <c r="AG420" t="s">
        <v>3</v>
      </c>
    </row>
    <row r="421" spans="1:33" ht="28" x14ac:dyDescent="0.15">
      <c r="A421" s="5" t="s">
        <v>1102</v>
      </c>
      <c r="B421" s="5" t="s">
        <v>1098</v>
      </c>
      <c r="C421" s="5" t="s">
        <v>1099</v>
      </c>
      <c r="D421" s="5" t="s">
        <v>1770</v>
      </c>
      <c r="E421" s="5" t="s">
        <v>1763</v>
      </c>
      <c r="F421" s="5" t="s">
        <v>1711</v>
      </c>
      <c r="G421" s="5" t="s">
        <v>1618</v>
      </c>
      <c r="H421" s="5" t="b">
        <v>0</v>
      </c>
      <c r="I421" s="5" t="s">
        <v>1764</v>
      </c>
      <c r="J421" s="5" t="b">
        <v>0</v>
      </c>
      <c r="K421" s="5"/>
      <c r="L421" s="5">
        <v>28</v>
      </c>
      <c r="M421" s="5">
        <v>28</v>
      </c>
      <c r="N421" s="5"/>
      <c r="O421" s="5"/>
      <c r="P421" s="5"/>
      <c r="Q421" s="5">
        <v>1</v>
      </c>
      <c r="R421" s="5" t="s">
        <v>1765</v>
      </c>
      <c r="S421" s="5">
        <v>80</v>
      </c>
      <c r="T421" s="5"/>
      <c r="U421" s="5"/>
      <c r="V421" s="5" t="s">
        <v>1766</v>
      </c>
      <c r="W421" s="5" t="s">
        <v>1767</v>
      </c>
      <c r="X421" s="14" t="s">
        <v>69</v>
      </c>
      <c r="AE421" t="s">
        <v>243</v>
      </c>
      <c r="AF421" t="s">
        <v>52</v>
      </c>
      <c r="AG421" t="s">
        <v>3</v>
      </c>
    </row>
    <row r="422" spans="1:33" ht="28" x14ac:dyDescent="0.15">
      <c r="A422" s="5" t="s">
        <v>1103</v>
      </c>
      <c r="B422" s="5" t="s">
        <v>1098</v>
      </c>
      <c r="C422" s="5" t="s">
        <v>1099</v>
      </c>
      <c r="D422" s="5" t="s">
        <v>1771</v>
      </c>
      <c r="E422" s="5" t="s">
        <v>1763</v>
      </c>
      <c r="F422" s="5" t="s">
        <v>1711</v>
      </c>
      <c r="G422" s="5" t="s">
        <v>1618</v>
      </c>
      <c r="H422" s="5" t="b">
        <v>0</v>
      </c>
      <c r="I422" s="5" t="s">
        <v>1764</v>
      </c>
      <c r="J422" s="5" t="b">
        <v>0</v>
      </c>
      <c r="K422" s="5"/>
      <c r="L422" s="5">
        <v>32</v>
      </c>
      <c r="M422" s="5">
        <v>32</v>
      </c>
      <c r="N422" s="5"/>
      <c r="O422" s="5"/>
      <c r="P422" s="5"/>
      <c r="Q422" s="5">
        <v>1</v>
      </c>
      <c r="R422" s="5" t="s">
        <v>1765</v>
      </c>
      <c r="S422" s="5">
        <v>80</v>
      </c>
      <c r="T422" s="5"/>
      <c r="U422" s="5"/>
      <c r="V422" s="5" t="s">
        <v>1766</v>
      </c>
      <c r="W422" s="5" t="s">
        <v>1767</v>
      </c>
      <c r="X422" s="14" t="s">
        <v>69</v>
      </c>
      <c r="AE422" t="s">
        <v>243</v>
      </c>
      <c r="AF422" t="s">
        <v>52</v>
      </c>
      <c r="AG422" t="s">
        <v>3</v>
      </c>
    </row>
    <row r="423" spans="1:33" ht="28" x14ac:dyDescent="0.15">
      <c r="A423" s="5" t="s">
        <v>1104</v>
      </c>
      <c r="B423" s="5" t="s">
        <v>1098</v>
      </c>
      <c r="C423" s="5" t="s">
        <v>1099</v>
      </c>
      <c r="D423" s="5" t="s">
        <v>1772</v>
      </c>
      <c r="E423" s="5" t="s">
        <v>1763</v>
      </c>
      <c r="F423" s="5" t="s">
        <v>1711</v>
      </c>
      <c r="G423" s="5" t="s">
        <v>1618</v>
      </c>
      <c r="H423" s="5" t="b">
        <v>0</v>
      </c>
      <c r="I423" s="5" t="s">
        <v>1764</v>
      </c>
      <c r="J423" s="5" t="b">
        <v>0</v>
      </c>
      <c r="K423" s="5"/>
      <c r="L423" s="5">
        <v>40</v>
      </c>
      <c r="M423" s="5">
        <v>40</v>
      </c>
      <c r="N423" s="5"/>
      <c r="O423" s="5"/>
      <c r="P423" s="5"/>
      <c r="Q423" s="5">
        <v>1</v>
      </c>
      <c r="R423" s="5" t="s">
        <v>1765</v>
      </c>
      <c r="S423" s="5">
        <v>80</v>
      </c>
      <c r="T423" s="5"/>
      <c r="U423" s="5"/>
      <c r="V423" s="5" t="s">
        <v>1766</v>
      </c>
      <c r="W423" s="5" t="s">
        <v>1767</v>
      </c>
      <c r="X423" s="14" t="s">
        <v>69</v>
      </c>
      <c r="AE423" t="s">
        <v>243</v>
      </c>
      <c r="AF423" t="s">
        <v>52</v>
      </c>
      <c r="AG423" t="s">
        <v>3</v>
      </c>
    </row>
    <row r="424" spans="1:33" ht="28" x14ac:dyDescent="0.15">
      <c r="A424" s="5" t="s">
        <v>1105</v>
      </c>
      <c r="B424" s="5" t="s">
        <v>1098</v>
      </c>
      <c r="C424" s="5" t="s">
        <v>1099</v>
      </c>
      <c r="D424" s="5" t="s">
        <v>1773</v>
      </c>
      <c r="E424" s="5" t="s">
        <v>1763</v>
      </c>
      <c r="F424" s="5" t="s">
        <v>1711</v>
      </c>
      <c r="G424" s="5" t="s">
        <v>1618</v>
      </c>
      <c r="H424" s="5" t="b">
        <v>0</v>
      </c>
      <c r="I424" s="5" t="s">
        <v>1764</v>
      </c>
      <c r="J424" s="5" t="b">
        <v>0</v>
      </c>
      <c r="K424" s="5"/>
      <c r="L424" s="5">
        <v>50</v>
      </c>
      <c r="M424" s="5">
        <v>50</v>
      </c>
      <c r="N424" s="5"/>
      <c r="O424" s="5"/>
      <c r="P424" s="5"/>
      <c r="Q424" s="5">
        <v>1</v>
      </c>
      <c r="R424" s="5" t="s">
        <v>1765</v>
      </c>
      <c r="S424" s="5">
        <v>80</v>
      </c>
      <c r="T424" s="5"/>
      <c r="U424" s="5"/>
      <c r="V424" s="5" t="s">
        <v>1766</v>
      </c>
      <c r="W424" s="5" t="s">
        <v>1767</v>
      </c>
      <c r="X424" s="14" t="s">
        <v>69</v>
      </c>
      <c r="AE424" t="s">
        <v>243</v>
      </c>
      <c r="AF424" t="s">
        <v>52</v>
      </c>
      <c r="AG424" t="s">
        <v>3</v>
      </c>
    </row>
    <row r="425" spans="1:33" ht="28" x14ac:dyDescent="0.15">
      <c r="A425" s="5" t="s">
        <v>1106</v>
      </c>
      <c r="B425" s="5" t="s">
        <v>1098</v>
      </c>
      <c r="C425" s="5" t="s">
        <v>1099</v>
      </c>
      <c r="D425" s="5" t="s">
        <v>1636</v>
      </c>
      <c r="E425" s="5" t="s">
        <v>1763</v>
      </c>
      <c r="F425" s="5" t="s">
        <v>1711</v>
      </c>
      <c r="G425" s="5" t="s">
        <v>1618</v>
      </c>
      <c r="H425" s="5" t="b">
        <v>0</v>
      </c>
      <c r="I425" s="5" t="s">
        <v>1764</v>
      </c>
      <c r="J425" s="5" t="b">
        <v>0</v>
      </c>
      <c r="K425" s="5"/>
      <c r="L425" s="5">
        <v>65</v>
      </c>
      <c r="M425" s="5">
        <v>65</v>
      </c>
      <c r="N425" s="5"/>
      <c r="O425" s="5"/>
      <c r="P425" s="5"/>
      <c r="Q425" s="5">
        <v>1</v>
      </c>
      <c r="R425" s="5" t="s">
        <v>1765</v>
      </c>
      <c r="S425" s="5">
        <v>80</v>
      </c>
      <c r="T425" s="5"/>
      <c r="U425" s="5"/>
      <c r="V425" s="5" t="s">
        <v>1766</v>
      </c>
      <c r="W425" s="5" t="s">
        <v>1767</v>
      </c>
      <c r="X425" s="14" t="s">
        <v>69</v>
      </c>
      <c r="AE425" t="s">
        <v>243</v>
      </c>
      <c r="AF425" t="s">
        <v>52</v>
      </c>
      <c r="AG425" t="s">
        <v>3</v>
      </c>
    </row>
    <row r="426" spans="1:33" ht="28" x14ac:dyDescent="0.15">
      <c r="A426" s="5" t="s">
        <v>1107</v>
      </c>
      <c r="B426" s="5" t="s">
        <v>1098</v>
      </c>
      <c r="C426" s="5" t="s">
        <v>1099</v>
      </c>
      <c r="D426" s="5" t="s">
        <v>1774</v>
      </c>
      <c r="E426" s="5" t="s">
        <v>1763</v>
      </c>
      <c r="F426" s="5" t="s">
        <v>1711</v>
      </c>
      <c r="G426" s="5" t="s">
        <v>1618</v>
      </c>
      <c r="H426" s="5" t="b">
        <v>0</v>
      </c>
      <c r="I426" s="5" t="s">
        <v>1764</v>
      </c>
      <c r="J426" s="5" t="b">
        <v>0</v>
      </c>
      <c r="K426" s="5"/>
      <c r="L426" s="5">
        <v>85</v>
      </c>
      <c r="M426" s="5">
        <v>85</v>
      </c>
      <c r="N426" s="5"/>
      <c r="O426" s="5"/>
      <c r="P426" s="5"/>
      <c r="Q426" s="5">
        <v>1</v>
      </c>
      <c r="R426" s="5" t="s">
        <v>1765</v>
      </c>
      <c r="S426" s="5">
        <v>80</v>
      </c>
      <c r="T426" s="5"/>
      <c r="U426" s="5"/>
      <c r="V426" s="5" t="s">
        <v>1766</v>
      </c>
      <c r="W426" s="5" t="s">
        <v>1767</v>
      </c>
      <c r="X426" s="14" t="s">
        <v>69</v>
      </c>
      <c r="AE426" t="s">
        <v>243</v>
      </c>
      <c r="AF426" t="s">
        <v>52</v>
      </c>
      <c r="AG426" t="s">
        <v>3</v>
      </c>
    </row>
    <row r="427" spans="1:33" ht="28" x14ac:dyDescent="0.15">
      <c r="A427" s="5" t="s">
        <v>1108</v>
      </c>
      <c r="B427" s="5" t="s">
        <v>1098</v>
      </c>
      <c r="C427" s="5" t="s">
        <v>1099</v>
      </c>
      <c r="D427" s="5" t="s">
        <v>1775</v>
      </c>
      <c r="E427" s="5" t="s">
        <v>1763</v>
      </c>
      <c r="F427" s="5" t="s">
        <v>1711</v>
      </c>
      <c r="G427" s="5" t="s">
        <v>1618</v>
      </c>
      <c r="H427" s="5" t="b">
        <v>0</v>
      </c>
      <c r="I427" s="5" t="s">
        <v>1764</v>
      </c>
      <c r="J427" s="5" t="b">
        <v>0</v>
      </c>
      <c r="K427" s="5"/>
      <c r="L427" s="5">
        <v>100</v>
      </c>
      <c r="M427" s="5">
        <v>100</v>
      </c>
      <c r="N427" s="5"/>
      <c r="O427" s="5"/>
      <c r="P427" s="5"/>
      <c r="Q427" s="5">
        <v>1</v>
      </c>
      <c r="R427" s="5" t="s">
        <v>1765</v>
      </c>
      <c r="S427" s="5">
        <v>80</v>
      </c>
      <c r="T427" s="5"/>
      <c r="U427" s="5"/>
      <c r="V427" s="5" t="s">
        <v>1766</v>
      </c>
      <c r="W427" s="5" t="s">
        <v>1767</v>
      </c>
      <c r="X427" s="14" t="s">
        <v>69</v>
      </c>
      <c r="AE427" t="s">
        <v>243</v>
      </c>
      <c r="AF427" t="s">
        <v>52</v>
      </c>
      <c r="AG427" t="s">
        <v>3</v>
      </c>
    </row>
    <row r="428" spans="1:33" ht="28" x14ac:dyDescent="0.15">
      <c r="A428" s="5" t="s">
        <v>1109</v>
      </c>
      <c r="B428" s="5" t="s">
        <v>1098</v>
      </c>
      <c r="C428" s="5" t="s">
        <v>1110</v>
      </c>
      <c r="D428" s="5" t="s">
        <v>1776</v>
      </c>
      <c r="E428" s="5" t="s">
        <v>1777</v>
      </c>
      <c r="F428" s="5" t="s">
        <v>1711</v>
      </c>
      <c r="G428" s="5" t="s">
        <v>1778</v>
      </c>
      <c r="H428" s="5" t="b">
        <v>0</v>
      </c>
      <c r="I428" s="5" t="s">
        <v>1764</v>
      </c>
      <c r="J428" s="5" t="b">
        <v>0</v>
      </c>
      <c r="K428" s="5"/>
      <c r="L428" s="5">
        <v>18</v>
      </c>
      <c r="M428" s="5">
        <v>18</v>
      </c>
      <c r="N428" s="5"/>
      <c r="O428" s="5"/>
      <c r="P428" s="5"/>
      <c r="Q428" s="5">
        <v>1</v>
      </c>
      <c r="R428" s="5" t="s">
        <v>1765</v>
      </c>
      <c r="S428" s="5">
        <v>80</v>
      </c>
      <c r="T428" s="5"/>
      <c r="U428" s="5"/>
      <c r="V428" s="5" t="s">
        <v>1766</v>
      </c>
      <c r="W428" s="5" t="s">
        <v>1767</v>
      </c>
      <c r="X428" s="14" t="s">
        <v>69</v>
      </c>
      <c r="AE428" t="s">
        <v>243</v>
      </c>
      <c r="AF428" t="s">
        <v>52</v>
      </c>
      <c r="AG428" t="s">
        <v>3</v>
      </c>
    </row>
    <row r="429" spans="1:33" ht="28" x14ac:dyDescent="0.15">
      <c r="A429" s="5" t="s">
        <v>1111</v>
      </c>
      <c r="B429" s="5" t="s">
        <v>1098</v>
      </c>
      <c r="C429" s="5" t="s">
        <v>1110</v>
      </c>
      <c r="D429" s="5" t="s">
        <v>1779</v>
      </c>
      <c r="E429" s="5" t="s">
        <v>1777</v>
      </c>
      <c r="F429" s="5" t="s">
        <v>1711</v>
      </c>
      <c r="G429" s="5" t="s">
        <v>1778</v>
      </c>
      <c r="H429" s="5" t="b">
        <v>0</v>
      </c>
      <c r="I429" s="5" t="s">
        <v>1764</v>
      </c>
      <c r="J429" s="5" t="b">
        <v>0</v>
      </c>
      <c r="K429" s="5"/>
      <c r="L429" s="5">
        <v>25</v>
      </c>
      <c r="M429" s="5">
        <v>25</v>
      </c>
      <c r="N429" s="5"/>
      <c r="O429" s="5"/>
      <c r="P429" s="5"/>
      <c r="Q429" s="5">
        <v>1</v>
      </c>
      <c r="R429" s="5" t="s">
        <v>1765</v>
      </c>
      <c r="S429" s="5">
        <v>80</v>
      </c>
      <c r="T429" s="5"/>
      <c r="U429" s="5"/>
      <c r="V429" s="5" t="s">
        <v>1766</v>
      </c>
      <c r="W429" s="5" t="s">
        <v>1767</v>
      </c>
      <c r="X429" s="14" t="s">
        <v>69</v>
      </c>
      <c r="AE429" t="s">
        <v>243</v>
      </c>
      <c r="AF429" t="s">
        <v>52</v>
      </c>
      <c r="AG429" t="s">
        <v>3</v>
      </c>
    </row>
    <row r="430" spans="1:33" ht="28" x14ac:dyDescent="0.15">
      <c r="A430" s="5" t="s">
        <v>1112</v>
      </c>
      <c r="B430" s="5" t="s">
        <v>1098</v>
      </c>
      <c r="C430" s="5" t="s">
        <v>1110</v>
      </c>
      <c r="D430" s="5" t="s">
        <v>1780</v>
      </c>
      <c r="E430" s="5" t="s">
        <v>1777</v>
      </c>
      <c r="F430" s="5" t="s">
        <v>1711</v>
      </c>
      <c r="G430" s="5" t="s">
        <v>1778</v>
      </c>
      <c r="H430" s="5" t="b">
        <v>0</v>
      </c>
      <c r="I430" s="5" t="s">
        <v>1764</v>
      </c>
      <c r="J430" s="5" t="b">
        <v>0</v>
      </c>
      <c r="K430" s="5"/>
      <c r="L430" s="5">
        <v>35</v>
      </c>
      <c r="M430" s="5">
        <v>35</v>
      </c>
      <c r="N430" s="5"/>
      <c r="O430" s="5"/>
      <c r="P430" s="5"/>
      <c r="Q430" s="5">
        <v>1</v>
      </c>
      <c r="R430" s="5" t="s">
        <v>1765</v>
      </c>
      <c r="S430" s="5">
        <v>80</v>
      </c>
      <c r="T430" s="5"/>
      <c r="U430" s="5"/>
      <c r="V430" s="5" t="s">
        <v>1766</v>
      </c>
      <c r="W430" s="5" t="s">
        <v>1767</v>
      </c>
      <c r="X430" s="14" t="s">
        <v>69</v>
      </c>
      <c r="AE430" t="s">
        <v>243</v>
      </c>
      <c r="AF430" t="s">
        <v>52</v>
      </c>
      <c r="AG430" t="s">
        <v>3</v>
      </c>
    </row>
    <row r="431" spans="1:33" ht="28" x14ac:dyDescent="0.15">
      <c r="A431" s="5" t="s">
        <v>1113</v>
      </c>
      <c r="B431" s="5" t="s">
        <v>1098</v>
      </c>
      <c r="C431" s="5" t="s">
        <v>1110</v>
      </c>
      <c r="D431" s="5" t="s">
        <v>1773</v>
      </c>
      <c r="E431" s="5" t="s">
        <v>1777</v>
      </c>
      <c r="F431" s="5" t="s">
        <v>1711</v>
      </c>
      <c r="G431" s="5" t="s">
        <v>1778</v>
      </c>
      <c r="H431" s="5" t="b">
        <v>0</v>
      </c>
      <c r="I431" s="5" t="s">
        <v>1764</v>
      </c>
      <c r="J431" s="5" t="b">
        <v>0</v>
      </c>
      <c r="K431" s="5"/>
      <c r="L431" s="5">
        <v>50</v>
      </c>
      <c r="M431" s="5">
        <v>50</v>
      </c>
      <c r="N431" s="5"/>
      <c r="O431" s="5"/>
      <c r="P431" s="5"/>
      <c r="Q431" s="5">
        <v>1</v>
      </c>
      <c r="R431" s="5" t="s">
        <v>1765</v>
      </c>
      <c r="S431" s="5">
        <v>80</v>
      </c>
      <c r="T431" s="5"/>
      <c r="U431" s="5"/>
      <c r="V431" s="5" t="s">
        <v>1766</v>
      </c>
      <c r="W431" s="5" t="s">
        <v>1767</v>
      </c>
      <c r="X431" s="14" t="s">
        <v>69</v>
      </c>
      <c r="AE431" t="s">
        <v>243</v>
      </c>
      <c r="AF431" t="s">
        <v>52</v>
      </c>
      <c r="AG431" t="s">
        <v>3</v>
      </c>
    </row>
    <row r="432" spans="1:33" ht="28" x14ac:dyDescent="0.15">
      <c r="A432" s="5" t="s">
        <v>1114</v>
      </c>
      <c r="B432" s="5" t="s">
        <v>1098</v>
      </c>
      <c r="C432" s="5" t="s">
        <v>1110</v>
      </c>
      <c r="D432" s="5" t="s">
        <v>1774</v>
      </c>
      <c r="E432" s="5" t="s">
        <v>1777</v>
      </c>
      <c r="F432" s="5" t="s">
        <v>1711</v>
      </c>
      <c r="G432" s="5" t="s">
        <v>1778</v>
      </c>
      <c r="H432" s="5" t="b">
        <v>0</v>
      </c>
      <c r="I432" s="5" t="s">
        <v>1764</v>
      </c>
      <c r="J432" s="5" t="b">
        <v>0</v>
      </c>
      <c r="K432" s="5"/>
      <c r="L432" s="5">
        <v>85</v>
      </c>
      <c r="M432" s="5">
        <v>85</v>
      </c>
      <c r="N432" s="5"/>
      <c r="O432" s="5"/>
      <c r="P432" s="5"/>
      <c r="Q432" s="5">
        <v>1</v>
      </c>
      <c r="R432" s="5" t="s">
        <v>1765</v>
      </c>
      <c r="S432" s="5">
        <v>80</v>
      </c>
      <c r="T432" s="5"/>
      <c r="U432" s="5"/>
      <c r="V432" s="5" t="s">
        <v>1766</v>
      </c>
      <c r="W432" s="5" t="s">
        <v>1767</v>
      </c>
      <c r="X432" s="14" t="s">
        <v>69</v>
      </c>
      <c r="AE432" t="s">
        <v>243</v>
      </c>
      <c r="AF432" t="s">
        <v>52</v>
      </c>
      <c r="AG432" t="s">
        <v>3</v>
      </c>
    </row>
    <row r="433" spans="1:33" ht="28" x14ac:dyDescent="0.15">
      <c r="A433" s="5" t="s">
        <v>1115</v>
      </c>
      <c r="B433" s="5" t="s">
        <v>1098</v>
      </c>
      <c r="C433" s="5" t="s">
        <v>1116</v>
      </c>
      <c r="D433" s="5" t="s">
        <v>1776</v>
      </c>
      <c r="E433" s="5" t="s">
        <v>1781</v>
      </c>
      <c r="F433" s="5" t="s">
        <v>1711</v>
      </c>
      <c r="G433" s="5" t="s">
        <v>1618</v>
      </c>
      <c r="H433" s="5" t="b">
        <v>0</v>
      </c>
      <c r="I433" s="5" t="s">
        <v>1764</v>
      </c>
      <c r="J433" s="5" t="b">
        <v>0</v>
      </c>
      <c r="K433" s="5"/>
      <c r="L433" s="5">
        <v>18</v>
      </c>
      <c r="M433" s="5">
        <v>18</v>
      </c>
      <c r="N433" s="5">
        <v>32.5</v>
      </c>
      <c r="O433" s="5">
        <v>0.25</v>
      </c>
      <c r="P433" s="5"/>
      <c r="Q433" s="5">
        <v>1</v>
      </c>
      <c r="R433" s="5" t="s">
        <v>1765</v>
      </c>
      <c r="S433" s="5">
        <v>80</v>
      </c>
      <c r="T433" s="5">
        <v>125</v>
      </c>
      <c r="U433" s="5"/>
      <c r="V433" s="5" t="s">
        <v>1766</v>
      </c>
      <c r="W433" s="5" t="s">
        <v>1782</v>
      </c>
      <c r="X433" s="14" t="s">
        <v>69</v>
      </c>
      <c r="AE433" t="s">
        <v>243</v>
      </c>
      <c r="AF433" t="s">
        <v>52</v>
      </c>
      <c r="AG433" t="s">
        <v>3</v>
      </c>
    </row>
    <row r="434" spans="1:33" ht="28" x14ac:dyDescent="0.15">
      <c r="A434" s="5" t="s">
        <v>1117</v>
      </c>
      <c r="B434" s="5" t="s">
        <v>1098</v>
      </c>
      <c r="C434" s="5" t="s">
        <v>1116</v>
      </c>
      <c r="D434" s="5" t="s">
        <v>1779</v>
      </c>
      <c r="E434" s="5" t="s">
        <v>1781</v>
      </c>
      <c r="F434" s="5" t="s">
        <v>1711</v>
      </c>
      <c r="G434" s="5" t="s">
        <v>1618</v>
      </c>
      <c r="H434" s="5" t="b">
        <v>0</v>
      </c>
      <c r="I434" s="5" t="s">
        <v>1764</v>
      </c>
      <c r="J434" s="5" t="b">
        <v>0</v>
      </c>
      <c r="K434" s="5"/>
      <c r="L434" s="5">
        <v>25</v>
      </c>
      <c r="M434" s="5">
        <v>25</v>
      </c>
      <c r="N434" s="5">
        <v>36.5</v>
      </c>
      <c r="O434" s="5">
        <v>0.25</v>
      </c>
      <c r="P434" s="5"/>
      <c r="Q434" s="5">
        <v>1</v>
      </c>
      <c r="R434" s="5" t="s">
        <v>1765</v>
      </c>
      <c r="S434" s="5">
        <v>80</v>
      </c>
      <c r="T434" s="5">
        <v>100</v>
      </c>
      <c r="U434" s="5"/>
      <c r="V434" s="5" t="s">
        <v>1766</v>
      </c>
      <c r="W434" s="5" t="s">
        <v>1782</v>
      </c>
      <c r="X434" s="14" t="s">
        <v>69</v>
      </c>
      <c r="AE434" t="s">
        <v>243</v>
      </c>
      <c r="AF434" t="s">
        <v>52</v>
      </c>
      <c r="AG434" t="s">
        <v>3</v>
      </c>
    </row>
    <row r="435" spans="1:33" ht="28" x14ac:dyDescent="0.15">
      <c r="A435" s="5" t="s">
        <v>1118</v>
      </c>
      <c r="B435" s="5" t="s">
        <v>1098</v>
      </c>
      <c r="C435" s="5" t="s">
        <v>1116</v>
      </c>
      <c r="D435" s="5" t="s">
        <v>1780</v>
      </c>
      <c r="E435" s="5" t="s">
        <v>1781</v>
      </c>
      <c r="F435" s="5" t="s">
        <v>1711</v>
      </c>
      <c r="G435" s="5" t="s">
        <v>1618</v>
      </c>
      <c r="H435" s="5" t="b">
        <v>0</v>
      </c>
      <c r="I435" s="5" t="s">
        <v>1764</v>
      </c>
      <c r="J435" s="5" t="b">
        <v>0</v>
      </c>
      <c r="K435" s="5"/>
      <c r="L435" s="5">
        <v>35</v>
      </c>
      <c r="M435" s="5">
        <v>35</v>
      </c>
      <c r="N435" s="5">
        <v>37</v>
      </c>
      <c r="O435" s="5">
        <v>0.36</v>
      </c>
      <c r="P435" s="5"/>
      <c r="Q435" s="5">
        <v>1</v>
      </c>
      <c r="R435" s="5" t="s">
        <v>1765</v>
      </c>
      <c r="S435" s="5">
        <v>80</v>
      </c>
      <c r="T435" s="5">
        <v>100</v>
      </c>
      <c r="U435" s="5"/>
      <c r="V435" s="5" t="s">
        <v>1766</v>
      </c>
      <c r="W435" s="5" t="s">
        <v>1782</v>
      </c>
      <c r="X435" s="14" t="s">
        <v>69</v>
      </c>
      <c r="AE435" t="s">
        <v>243</v>
      </c>
      <c r="AF435" t="s">
        <v>52</v>
      </c>
      <c r="AG435" t="s">
        <v>3</v>
      </c>
    </row>
    <row r="436" spans="1:33" ht="28" x14ac:dyDescent="0.15">
      <c r="A436" s="5" t="s">
        <v>1119</v>
      </c>
      <c r="B436" s="5" t="s">
        <v>1098</v>
      </c>
      <c r="C436" s="5" t="s">
        <v>1116</v>
      </c>
      <c r="D436" s="5" t="s">
        <v>1773</v>
      </c>
      <c r="E436" s="5" t="s">
        <v>1781</v>
      </c>
      <c r="F436" s="5" t="s">
        <v>1711</v>
      </c>
      <c r="G436" s="5" t="s">
        <v>1618</v>
      </c>
      <c r="H436" s="5" t="b">
        <v>0</v>
      </c>
      <c r="I436" s="5" t="s">
        <v>1764</v>
      </c>
      <c r="J436" s="5" t="b">
        <v>0</v>
      </c>
      <c r="K436" s="5"/>
      <c r="L436" s="5">
        <v>50</v>
      </c>
      <c r="M436" s="5">
        <v>50</v>
      </c>
      <c r="N436" s="5">
        <v>41</v>
      </c>
      <c r="O436" s="5">
        <v>0.71</v>
      </c>
      <c r="P436" s="5"/>
      <c r="Q436" s="5">
        <v>1</v>
      </c>
      <c r="R436" s="5" t="s">
        <v>1765</v>
      </c>
      <c r="S436" s="5">
        <v>80</v>
      </c>
      <c r="T436" s="5">
        <v>100</v>
      </c>
      <c r="U436" s="5"/>
      <c r="V436" s="5" t="s">
        <v>1766</v>
      </c>
      <c r="W436" s="5" t="s">
        <v>1782</v>
      </c>
      <c r="X436" s="14" t="s">
        <v>69</v>
      </c>
      <c r="AE436" t="s">
        <v>243</v>
      </c>
      <c r="AF436" t="s">
        <v>52</v>
      </c>
      <c r="AG436" t="s">
        <v>3</v>
      </c>
    </row>
    <row r="437" spans="1:33" ht="28" x14ac:dyDescent="0.15">
      <c r="A437" s="5" t="s">
        <v>1120</v>
      </c>
      <c r="B437" s="5" t="s">
        <v>1098</v>
      </c>
      <c r="C437" s="5" t="s">
        <v>1116</v>
      </c>
      <c r="D437" s="5" t="s">
        <v>1636</v>
      </c>
      <c r="E437" s="5" t="s">
        <v>1781</v>
      </c>
      <c r="F437" s="5" t="s">
        <v>1711</v>
      </c>
      <c r="G437" s="5" t="s">
        <v>1618</v>
      </c>
      <c r="H437" s="5" t="b">
        <v>0</v>
      </c>
      <c r="I437" s="5" t="s">
        <v>1764</v>
      </c>
      <c r="J437" s="5" t="b">
        <v>0</v>
      </c>
      <c r="K437" s="5"/>
      <c r="L437" s="5">
        <v>65</v>
      </c>
      <c r="M437" s="5">
        <v>65</v>
      </c>
      <c r="N437" s="5">
        <v>43</v>
      </c>
      <c r="O437" s="5">
        <v>0.71</v>
      </c>
      <c r="P437" s="5"/>
      <c r="Q437" s="5">
        <v>1</v>
      </c>
      <c r="R437" s="5" t="s">
        <v>1765</v>
      </c>
      <c r="S437" s="5">
        <v>80</v>
      </c>
      <c r="T437" s="5"/>
      <c r="U437" s="5"/>
      <c r="V437" s="5" t="s">
        <v>1766</v>
      </c>
      <c r="W437" s="5" t="s">
        <v>1782</v>
      </c>
      <c r="X437" s="14" t="s">
        <v>69</v>
      </c>
      <c r="AE437" t="s">
        <v>243</v>
      </c>
      <c r="AF437" t="s">
        <v>52</v>
      </c>
      <c r="AG437" t="s">
        <v>3</v>
      </c>
    </row>
    <row r="438" spans="1:33" ht="28" x14ac:dyDescent="0.15">
      <c r="A438" s="5" t="s">
        <v>1121</v>
      </c>
      <c r="B438" s="5" t="s">
        <v>1098</v>
      </c>
      <c r="C438" s="5" t="s">
        <v>1116</v>
      </c>
      <c r="D438" s="5" t="s">
        <v>1774</v>
      </c>
      <c r="E438" s="5" t="s">
        <v>1781</v>
      </c>
      <c r="F438" s="5" t="s">
        <v>1711</v>
      </c>
      <c r="G438" s="5" t="s">
        <v>1618</v>
      </c>
      <c r="H438" s="5" t="b">
        <v>0</v>
      </c>
      <c r="I438" s="5" t="s">
        <v>1764</v>
      </c>
      <c r="J438" s="5" t="b">
        <v>0</v>
      </c>
      <c r="K438" s="5"/>
      <c r="L438" s="5">
        <v>85</v>
      </c>
      <c r="M438" s="5">
        <v>85</v>
      </c>
      <c r="N438" s="5">
        <v>43</v>
      </c>
      <c r="O438" s="5">
        <v>0.91</v>
      </c>
      <c r="P438" s="5"/>
      <c r="Q438" s="5">
        <v>1</v>
      </c>
      <c r="R438" s="5" t="s">
        <v>1765</v>
      </c>
      <c r="S438" s="5">
        <v>80</v>
      </c>
      <c r="T438" s="5">
        <v>95</v>
      </c>
      <c r="U438" s="5"/>
      <c r="V438" s="5" t="s">
        <v>1766</v>
      </c>
      <c r="W438" s="5" t="s">
        <v>1782</v>
      </c>
      <c r="X438" s="14" t="s">
        <v>69</v>
      </c>
      <c r="AE438" t="s">
        <v>243</v>
      </c>
      <c r="AF438" t="s">
        <v>52</v>
      </c>
      <c r="AG438" t="s">
        <v>3</v>
      </c>
    </row>
    <row r="439" spans="1:33" ht="28" x14ac:dyDescent="0.15">
      <c r="A439" s="5" t="s">
        <v>1122</v>
      </c>
      <c r="B439" s="5" t="s">
        <v>1123</v>
      </c>
      <c r="C439" s="5" t="s">
        <v>1124</v>
      </c>
      <c r="D439" s="5" t="s">
        <v>1783</v>
      </c>
      <c r="E439" s="5" t="s">
        <v>1781</v>
      </c>
      <c r="F439" s="5" t="s">
        <v>1784</v>
      </c>
      <c r="G439" s="5" t="s">
        <v>1785</v>
      </c>
      <c r="H439" s="5" t="b">
        <v>0</v>
      </c>
      <c r="I439" s="5" t="s">
        <v>1764</v>
      </c>
      <c r="J439" s="5" t="b">
        <v>0</v>
      </c>
      <c r="K439" s="5" t="s">
        <v>1786</v>
      </c>
      <c r="L439" s="5">
        <v>75</v>
      </c>
      <c r="M439" s="5">
        <v>75</v>
      </c>
      <c r="N439" s="5">
        <v>42</v>
      </c>
      <c r="O439" s="5">
        <v>0.84</v>
      </c>
      <c r="P439" s="5"/>
      <c r="Q439" s="5">
        <v>1</v>
      </c>
      <c r="R439" s="5" t="s">
        <v>1765</v>
      </c>
      <c r="S439" s="5">
        <v>114</v>
      </c>
      <c r="T439" s="5">
        <v>153</v>
      </c>
      <c r="U439" s="5"/>
      <c r="V439" s="5" t="s">
        <v>1766</v>
      </c>
      <c r="W439" s="5" t="s">
        <v>1782</v>
      </c>
      <c r="X439" s="14" t="s">
        <v>69</v>
      </c>
      <c r="AE439" t="s">
        <v>243</v>
      </c>
      <c r="AF439" t="s">
        <v>52</v>
      </c>
      <c r="AG439" t="s">
        <v>3</v>
      </c>
    </row>
    <row r="440" spans="1:33" ht="28" x14ac:dyDescent="0.15">
      <c r="A440" s="5" t="s">
        <v>1125</v>
      </c>
      <c r="B440" s="5" t="s">
        <v>1123</v>
      </c>
      <c r="C440" s="5" t="s">
        <v>1124</v>
      </c>
      <c r="D440" s="5" t="s">
        <v>1775</v>
      </c>
      <c r="E440" s="5" t="s">
        <v>1781</v>
      </c>
      <c r="F440" s="5" t="s">
        <v>1784</v>
      </c>
      <c r="G440" s="5" t="s">
        <v>1785</v>
      </c>
      <c r="H440" s="5" t="b">
        <v>0</v>
      </c>
      <c r="I440" s="5" t="s">
        <v>1764</v>
      </c>
      <c r="J440" s="5" t="b">
        <v>0</v>
      </c>
      <c r="K440" s="5" t="s">
        <v>1786</v>
      </c>
      <c r="L440" s="5">
        <v>100</v>
      </c>
      <c r="M440" s="5">
        <v>100</v>
      </c>
      <c r="N440" s="5">
        <v>42</v>
      </c>
      <c r="O440" s="5">
        <v>1.07</v>
      </c>
      <c r="P440" s="5"/>
      <c r="Q440" s="5">
        <v>1</v>
      </c>
      <c r="R440" s="5" t="s">
        <v>1765</v>
      </c>
      <c r="S440" s="5">
        <v>114</v>
      </c>
      <c r="T440" s="5">
        <v>153</v>
      </c>
      <c r="U440" s="5"/>
      <c r="V440" s="5" t="s">
        <v>1766</v>
      </c>
      <c r="W440" s="5" t="s">
        <v>1782</v>
      </c>
      <c r="X440" s="14" t="s">
        <v>69</v>
      </c>
      <c r="AE440" t="s">
        <v>243</v>
      </c>
      <c r="AF440" t="s">
        <v>52</v>
      </c>
      <c r="AG440" t="s">
        <v>3</v>
      </c>
    </row>
    <row r="441" spans="1:33" ht="28" x14ac:dyDescent="0.15">
      <c r="A441" s="5" t="s">
        <v>1126</v>
      </c>
      <c r="B441" s="5" t="s">
        <v>1123</v>
      </c>
      <c r="C441" s="5" t="s">
        <v>1124</v>
      </c>
      <c r="D441" s="5" t="s">
        <v>1787</v>
      </c>
      <c r="E441" s="5" t="s">
        <v>1781</v>
      </c>
      <c r="F441" s="5" t="s">
        <v>1784</v>
      </c>
      <c r="G441" s="5" t="s">
        <v>1785</v>
      </c>
      <c r="H441" s="5" t="b">
        <v>0</v>
      </c>
      <c r="I441" s="5" t="s">
        <v>1764</v>
      </c>
      <c r="J441" s="5" t="b">
        <v>0</v>
      </c>
      <c r="K441" s="5" t="s">
        <v>1786</v>
      </c>
      <c r="L441" s="5">
        <v>135</v>
      </c>
      <c r="M441" s="5">
        <v>135</v>
      </c>
      <c r="N441" s="5">
        <v>43</v>
      </c>
      <c r="O441" s="5">
        <v>0.99</v>
      </c>
      <c r="P441" s="5"/>
      <c r="Q441" s="5">
        <v>1</v>
      </c>
      <c r="R441" s="5" t="s">
        <v>1765</v>
      </c>
      <c r="S441" s="5">
        <v>114</v>
      </c>
      <c r="T441" s="5">
        <v>172</v>
      </c>
      <c r="U441" s="5"/>
      <c r="V441" s="5" t="s">
        <v>1766</v>
      </c>
      <c r="W441" s="5" t="s">
        <v>1782</v>
      </c>
      <c r="X441" s="14" t="s">
        <v>69</v>
      </c>
      <c r="AE441" t="s">
        <v>243</v>
      </c>
      <c r="AF441" t="s">
        <v>52</v>
      </c>
      <c r="AG441" t="s">
        <v>3</v>
      </c>
    </row>
    <row r="442" spans="1:33" ht="28" x14ac:dyDescent="0.15">
      <c r="A442" s="5" t="s">
        <v>1127</v>
      </c>
      <c r="B442" s="5" t="s">
        <v>1123</v>
      </c>
      <c r="C442" s="5" t="s">
        <v>1124</v>
      </c>
      <c r="D442" s="5" t="s">
        <v>1788</v>
      </c>
      <c r="E442" s="5" t="s">
        <v>1781</v>
      </c>
      <c r="F442" s="5" t="s">
        <v>1784</v>
      </c>
      <c r="G442" s="5" t="s">
        <v>1785</v>
      </c>
      <c r="H442" s="5" t="b">
        <v>0</v>
      </c>
      <c r="I442" s="5" t="s">
        <v>1764</v>
      </c>
      <c r="J442" s="5" t="b">
        <v>0</v>
      </c>
      <c r="K442" s="5" t="s">
        <v>1786</v>
      </c>
      <c r="L442" s="5">
        <v>150</v>
      </c>
      <c r="M442" s="5">
        <v>150</v>
      </c>
      <c r="N442" s="5">
        <v>43</v>
      </c>
      <c r="O442" s="5">
        <v>1.5</v>
      </c>
      <c r="P442" s="5"/>
      <c r="Q442" s="5">
        <v>1</v>
      </c>
      <c r="R442" s="5" t="s">
        <v>1765</v>
      </c>
      <c r="S442" s="5">
        <v>134</v>
      </c>
      <c r="T442" s="5">
        <v>210</v>
      </c>
      <c r="U442" s="5"/>
      <c r="V442" s="5" t="s">
        <v>1766</v>
      </c>
      <c r="W442" s="5" t="s">
        <v>1782</v>
      </c>
      <c r="X442" s="14" t="s">
        <v>69</v>
      </c>
      <c r="AE442" t="s">
        <v>243</v>
      </c>
      <c r="AF442" t="s">
        <v>52</v>
      </c>
      <c r="AG442" t="s">
        <v>3</v>
      </c>
    </row>
    <row r="443" spans="1:33" ht="28" x14ac:dyDescent="0.15">
      <c r="A443" s="5" t="s">
        <v>1128</v>
      </c>
      <c r="B443" s="5" t="s">
        <v>1123</v>
      </c>
      <c r="C443" s="5" t="s">
        <v>1129</v>
      </c>
      <c r="D443" s="5" t="s">
        <v>1789</v>
      </c>
      <c r="E443" s="5" t="s">
        <v>1790</v>
      </c>
      <c r="F443" s="5" t="s">
        <v>1711</v>
      </c>
      <c r="G443" s="5" t="s">
        <v>1618</v>
      </c>
      <c r="H443" s="5" t="b">
        <v>0</v>
      </c>
      <c r="I443" s="5" t="s">
        <v>1764</v>
      </c>
      <c r="J443" s="5" t="b">
        <v>0</v>
      </c>
      <c r="K443" s="5"/>
      <c r="L443" s="5">
        <v>8</v>
      </c>
      <c r="M443" s="5">
        <v>8</v>
      </c>
      <c r="N443" s="5">
        <v>32.5</v>
      </c>
      <c r="O443" s="5">
        <v>0.3</v>
      </c>
      <c r="P443" s="5"/>
      <c r="Q443" s="5">
        <v>1</v>
      </c>
      <c r="R443" s="5" t="s">
        <v>1765</v>
      </c>
      <c r="S443" s="5">
        <v>134</v>
      </c>
      <c r="T443" s="5">
        <v>130</v>
      </c>
      <c r="U443" s="5"/>
      <c r="V443" s="5" t="s">
        <v>1766</v>
      </c>
      <c r="W443" s="5" t="s">
        <v>1782</v>
      </c>
      <c r="X443" s="14" t="s">
        <v>69</v>
      </c>
      <c r="AE443" t="s">
        <v>243</v>
      </c>
      <c r="AF443" t="s">
        <v>52</v>
      </c>
      <c r="AG443" t="s">
        <v>3</v>
      </c>
    </row>
    <row r="444" spans="1:33" ht="28" x14ac:dyDescent="0.15">
      <c r="A444" s="5" t="s">
        <v>1130</v>
      </c>
      <c r="B444" s="5" t="s">
        <v>1098</v>
      </c>
      <c r="C444" s="5" t="s">
        <v>1131</v>
      </c>
      <c r="D444" s="5" t="s">
        <v>1791</v>
      </c>
      <c r="E444" s="5" t="s">
        <v>1792</v>
      </c>
      <c r="F444" s="5" t="s">
        <v>1626</v>
      </c>
      <c r="G444" s="5" t="s">
        <v>1793</v>
      </c>
      <c r="H444" s="5" t="b">
        <v>0</v>
      </c>
      <c r="I444" s="5" t="s">
        <v>1794</v>
      </c>
      <c r="J444" s="5" t="b">
        <v>0</v>
      </c>
      <c r="K444" s="5"/>
      <c r="L444" s="5">
        <v>15</v>
      </c>
      <c r="M444" s="5">
        <v>15</v>
      </c>
      <c r="N444" s="5">
        <v>46.3</v>
      </c>
      <c r="O444" s="5">
        <v>0.35</v>
      </c>
      <c r="P444" s="5"/>
      <c r="Q444" s="5">
        <v>1</v>
      </c>
      <c r="R444" s="5" t="s">
        <v>1765</v>
      </c>
      <c r="S444" s="5">
        <v>114</v>
      </c>
      <c r="T444" s="5">
        <v>149</v>
      </c>
      <c r="U444" s="5">
        <v>2240</v>
      </c>
      <c r="V444" s="5" t="s">
        <v>1766</v>
      </c>
      <c r="W444" s="5" t="s">
        <v>1782</v>
      </c>
      <c r="X444" s="14" t="s">
        <v>69</v>
      </c>
      <c r="AE444" t="s">
        <v>243</v>
      </c>
      <c r="AF444" t="s">
        <v>52</v>
      </c>
      <c r="AG444" t="s">
        <v>3</v>
      </c>
    </row>
    <row r="445" spans="1:33" ht="28" x14ac:dyDescent="0.15">
      <c r="A445" s="5" t="s">
        <v>1132</v>
      </c>
      <c r="B445" s="5" t="s">
        <v>1098</v>
      </c>
      <c r="C445" s="5" t="s">
        <v>1131</v>
      </c>
      <c r="D445" s="5" t="s">
        <v>1776</v>
      </c>
      <c r="E445" s="5" t="s">
        <v>1795</v>
      </c>
      <c r="F445" s="5" t="s">
        <v>1626</v>
      </c>
      <c r="G445" s="5" t="s">
        <v>1793</v>
      </c>
      <c r="H445" s="5" t="b">
        <v>0</v>
      </c>
      <c r="I445" s="5" t="s">
        <v>1794</v>
      </c>
      <c r="J445" s="5" t="b">
        <v>0</v>
      </c>
      <c r="K445" s="5"/>
      <c r="L445" s="5">
        <v>18</v>
      </c>
      <c r="M445" s="5">
        <v>18</v>
      </c>
      <c r="N445" s="5">
        <v>46.3</v>
      </c>
      <c r="O445" s="5">
        <v>0.35</v>
      </c>
      <c r="P445" s="5"/>
      <c r="Q445" s="5">
        <v>1</v>
      </c>
      <c r="R445" s="5" t="s">
        <v>1765</v>
      </c>
      <c r="S445" s="5">
        <v>114</v>
      </c>
      <c r="T445" s="5">
        <v>163</v>
      </c>
      <c r="U445" s="5">
        <v>2270</v>
      </c>
      <c r="V445" s="5" t="s">
        <v>1766</v>
      </c>
      <c r="W445" s="5" t="s">
        <v>1782</v>
      </c>
      <c r="X445" s="14" t="s">
        <v>69</v>
      </c>
      <c r="AE445" t="s">
        <v>243</v>
      </c>
      <c r="AF445" t="s">
        <v>52</v>
      </c>
      <c r="AG445" t="s">
        <v>3</v>
      </c>
    </row>
    <row r="446" spans="1:33" ht="28" x14ac:dyDescent="0.15">
      <c r="A446" s="5" t="s">
        <v>1133</v>
      </c>
      <c r="B446" s="5" t="s">
        <v>1098</v>
      </c>
      <c r="C446" s="5" t="s">
        <v>1131</v>
      </c>
      <c r="D446" s="5" t="s">
        <v>1796</v>
      </c>
      <c r="E446" s="5" t="s">
        <v>1795</v>
      </c>
      <c r="F446" s="5" t="s">
        <v>1626</v>
      </c>
      <c r="G446" s="5" t="s">
        <v>1793</v>
      </c>
      <c r="H446" s="5" t="b">
        <v>0</v>
      </c>
      <c r="I446" s="5" t="s">
        <v>1794</v>
      </c>
      <c r="J446" s="5" t="b">
        <v>0</v>
      </c>
      <c r="K446" s="5"/>
      <c r="L446" s="5">
        <v>21</v>
      </c>
      <c r="M446" s="5">
        <v>21</v>
      </c>
      <c r="N446" s="5">
        <v>46.3</v>
      </c>
      <c r="O446" s="5">
        <v>0.35</v>
      </c>
      <c r="P446" s="5"/>
      <c r="Q446" s="5">
        <v>1</v>
      </c>
      <c r="R446" s="5" t="s">
        <v>1765</v>
      </c>
      <c r="S446" s="5">
        <v>95</v>
      </c>
      <c r="T446" s="5">
        <v>120</v>
      </c>
      <c r="U446" s="5">
        <v>1610</v>
      </c>
      <c r="V446" s="5" t="s">
        <v>1766</v>
      </c>
      <c r="W446" s="5" t="s">
        <v>1782</v>
      </c>
      <c r="X446" s="14" t="s">
        <v>69</v>
      </c>
      <c r="AE446" t="s">
        <v>243</v>
      </c>
      <c r="AF446" t="s">
        <v>52</v>
      </c>
      <c r="AG446" t="s">
        <v>3</v>
      </c>
    </row>
    <row r="447" spans="1:33" ht="28" x14ac:dyDescent="0.15">
      <c r="A447" s="5" t="s">
        <v>1134</v>
      </c>
      <c r="B447" s="5" t="s">
        <v>1098</v>
      </c>
      <c r="C447" s="5" t="s">
        <v>1131</v>
      </c>
      <c r="D447" s="5" t="s">
        <v>1779</v>
      </c>
      <c r="E447" s="5" t="s">
        <v>1795</v>
      </c>
      <c r="F447" s="5" t="s">
        <v>1626</v>
      </c>
      <c r="G447" s="5" t="s">
        <v>1793</v>
      </c>
      <c r="H447" s="5" t="b">
        <v>0</v>
      </c>
      <c r="I447" s="5" t="s">
        <v>1794</v>
      </c>
      <c r="J447" s="5" t="b">
        <v>0</v>
      </c>
      <c r="K447" s="5"/>
      <c r="L447" s="5">
        <v>25</v>
      </c>
      <c r="M447" s="5">
        <v>25</v>
      </c>
      <c r="N447" s="5">
        <v>46.3</v>
      </c>
      <c r="O447" s="5">
        <v>0.26</v>
      </c>
      <c r="P447" s="5"/>
      <c r="Q447" s="5">
        <v>1</v>
      </c>
      <c r="R447" s="5" t="s">
        <v>1765</v>
      </c>
      <c r="S447" s="5">
        <v>95</v>
      </c>
      <c r="T447" s="5">
        <v>119</v>
      </c>
      <c r="U447" s="5">
        <v>1420</v>
      </c>
      <c r="V447" s="5" t="s">
        <v>1766</v>
      </c>
      <c r="W447" s="5" t="s">
        <v>1782</v>
      </c>
      <c r="X447" s="14" t="s">
        <v>69</v>
      </c>
      <c r="AE447" t="s">
        <v>243</v>
      </c>
      <c r="AF447" t="s">
        <v>52</v>
      </c>
      <c r="AG447" t="s">
        <v>3</v>
      </c>
    </row>
    <row r="448" spans="1:33" ht="28" x14ac:dyDescent="0.15">
      <c r="A448" s="5" t="s">
        <v>1135</v>
      </c>
      <c r="B448" s="5" t="s">
        <v>1098</v>
      </c>
      <c r="C448" s="5" t="s">
        <v>1131</v>
      </c>
      <c r="D448" s="5" t="s">
        <v>1780</v>
      </c>
      <c r="E448" s="5" t="s">
        <v>1795</v>
      </c>
      <c r="F448" s="5" t="s">
        <v>1626</v>
      </c>
      <c r="G448" s="5" t="s">
        <v>1793</v>
      </c>
      <c r="H448" s="5" t="b">
        <v>0</v>
      </c>
      <c r="I448" s="5" t="s">
        <v>1794</v>
      </c>
      <c r="J448" s="5" t="b">
        <v>0</v>
      </c>
      <c r="K448" s="5"/>
      <c r="L448" s="5">
        <v>35</v>
      </c>
      <c r="M448" s="5">
        <v>35</v>
      </c>
      <c r="N448" s="5">
        <v>46.3</v>
      </c>
      <c r="O448" s="5">
        <v>0.35</v>
      </c>
      <c r="P448" s="5"/>
      <c r="Q448" s="5">
        <v>1</v>
      </c>
      <c r="R448" s="5" t="s">
        <v>1765</v>
      </c>
      <c r="S448" s="5">
        <v>95</v>
      </c>
      <c r="T448" s="5">
        <v>119</v>
      </c>
      <c r="U448" s="5">
        <v>1420</v>
      </c>
      <c r="V448" s="5" t="s">
        <v>1766</v>
      </c>
      <c r="W448" s="5" t="s">
        <v>1782</v>
      </c>
      <c r="X448" s="14" t="s">
        <v>69</v>
      </c>
      <c r="AE448" t="s">
        <v>243</v>
      </c>
      <c r="AF448" t="s">
        <v>52</v>
      </c>
      <c r="AG448" t="s">
        <v>3</v>
      </c>
    </row>
    <row r="449" spans="1:33" ht="28" x14ac:dyDescent="0.15">
      <c r="A449" s="5" t="s">
        <v>1136</v>
      </c>
      <c r="B449" s="5" t="s">
        <v>1098</v>
      </c>
      <c r="C449" s="5" t="s">
        <v>1131</v>
      </c>
      <c r="D449" s="5" t="s">
        <v>1773</v>
      </c>
      <c r="E449" s="5" t="s">
        <v>1795</v>
      </c>
      <c r="F449" s="5" t="s">
        <v>1626</v>
      </c>
      <c r="G449" s="5" t="s">
        <v>1793</v>
      </c>
      <c r="H449" s="5" t="b">
        <v>0</v>
      </c>
      <c r="I449" s="5" t="s">
        <v>1794</v>
      </c>
      <c r="J449" s="5" t="b">
        <v>0</v>
      </c>
      <c r="K449" s="5"/>
      <c r="L449" s="5">
        <v>50</v>
      </c>
      <c r="M449" s="5">
        <v>50</v>
      </c>
      <c r="N449" s="5">
        <v>46.3</v>
      </c>
      <c r="O449" s="5">
        <v>0.45</v>
      </c>
      <c r="P449" s="5"/>
      <c r="Q449" s="5">
        <v>1</v>
      </c>
      <c r="R449" s="5" t="s">
        <v>1765</v>
      </c>
      <c r="S449" s="5">
        <v>95</v>
      </c>
      <c r="T449" s="5">
        <v>119</v>
      </c>
      <c r="U449" s="5">
        <v>1220</v>
      </c>
      <c r="V449" s="5" t="s">
        <v>1766</v>
      </c>
      <c r="W449" s="5" t="s">
        <v>1782</v>
      </c>
      <c r="X449" s="14" t="s">
        <v>69</v>
      </c>
      <c r="AE449" t="s">
        <v>243</v>
      </c>
      <c r="AF449" t="s">
        <v>52</v>
      </c>
      <c r="AG449" t="s">
        <v>3</v>
      </c>
    </row>
    <row r="450" spans="1:33" ht="28" x14ac:dyDescent="0.15">
      <c r="A450" s="5" t="s">
        <v>1137</v>
      </c>
      <c r="B450" s="5" t="s">
        <v>1098</v>
      </c>
      <c r="C450" s="5" t="s">
        <v>1131</v>
      </c>
      <c r="D450" s="5" t="s">
        <v>1774</v>
      </c>
      <c r="E450" s="5" t="s">
        <v>1795</v>
      </c>
      <c r="F450" s="5" t="s">
        <v>1626</v>
      </c>
      <c r="G450" s="5" t="s">
        <v>1793</v>
      </c>
      <c r="H450" s="5" t="b">
        <v>0</v>
      </c>
      <c r="I450" s="5" t="s">
        <v>1794</v>
      </c>
      <c r="J450" s="5" t="b">
        <v>0</v>
      </c>
      <c r="K450" s="5"/>
      <c r="L450" s="5">
        <v>85</v>
      </c>
      <c r="M450" s="5">
        <v>85</v>
      </c>
      <c r="N450" s="5">
        <v>46.3</v>
      </c>
      <c r="O450" s="5">
        <v>0.84</v>
      </c>
      <c r="P450" s="5"/>
      <c r="Q450" s="5">
        <v>1</v>
      </c>
      <c r="R450" s="5" t="s">
        <v>1765</v>
      </c>
      <c r="S450" s="5">
        <v>95</v>
      </c>
      <c r="T450" s="5">
        <v>119</v>
      </c>
      <c r="U450" s="5">
        <v>1420</v>
      </c>
      <c r="V450" s="5" t="s">
        <v>1766</v>
      </c>
      <c r="W450" s="5" t="s">
        <v>1782</v>
      </c>
      <c r="X450" s="14" t="s">
        <v>69</v>
      </c>
      <c r="AE450" t="s">
        <v>243</v>
      </c>
      <c r="AF450" t="s">
        <v>52</v>
      </c>
      <c r="AG450" t="s">
        <v>3</v>
      </c>
    </row>
    <row r="451" spans="1:33" ht="28" x14ac:dyDescent="0.15">
      <c r="A451" s="5" t="s">
        <v>1138</v>
      </c>
      <c r="B451" s="5" t="s">
        <v>1098</v>
      </c>
      <c r="C451" s="5" t="s">
        <v>1131</v>
      </c>
      <c r="D451" s="5" t="s">
        <v>1787</v>
      </c>
      <c r="E451" s="5" t="s">
        <v>1795</v>
      </c>
      <c r="F451" s="5" t="s">
        <v>1626</v>
      </c>
      <c r="G451" s="5" t="s">
        <v>1793</v>
      </c>
      <c r="H451" s="5" t="b">
        <v>0</v>
      </c>
      <c r="I451" s="5" t="s">
        <v>1794</v>
      </c>
      <c r="J451" s="5" t="b">
        <v>0</v>
      </c>
      <c r="K451" s="5"/>
      <c r="L451" s="5">
        <v>135</v>
      </c>
      <c r="M451" s="5">
        <v>135</v>
      </c>
      <c r="N451" s="5">
        <v>46.3</v>
      </c>
      <c r="O451" s="5">
        <v>1.4</v>
      </c>
      <c r="P451" s="5"/>
      <c r="Q451" s="5">
        <v>1</v>
      </c>
      <c r="R451" s="5" t="s">
        <v>1765</v>
      </c>
      <c r="S451" s="5">
        <v>114</v>
      </c>
      <c r="T451" s="5">
        <v>146</v>
      </c>
      <c r="U451" s="5">
        <v>2270</v>
      </c>
      <c r="V451" s="5" t="s">
        <v>1766</v>
      </c>
      <c r="W451" s="5" t="s">
        <v>1782</v>
      </c>
      <c r="X451" s="14" t="s">
        <v>69</v>
      </c>
      <c r="AE451" t="s">
        <v>243</v>
      </c>
      <c r="AF451" t="s">
        <v>52</v>
      </c>
      <c r="AG451" t="s">
        <v>3</v>
      </c>
    </row>
    <row r="452" spans="1:33" ht="28" x14ac:dyDescent="0.15">
      <c r="A452" s="5" t="s">
        <v>1139</v>
      </c>
      <c r="B452" s="5" t="s">
        <v>1098</v>
      </c>
      <c r="C452" s="5" t="s">
        <v>1140</v>
      </c>
      <c r="D452" s="5" t="s">
        <v>1762</v>
      </c>
      <c r="E452" s="5" t="s">
        <v>1763</v>
      </c>
      <c r="F452" s="5" t="s">
        <v>1711</v>
      </c>
      <c r="G452" s="5" t="s">
        <v>1618</v>
      </c>
      <c r="H452" s="5" t="b">
        <v>0</v>
      </c>
      <c r="I452" s="5" t="s">
        <v>1794</v>
      </c>
      <c r="J452" s="5" t="b">
        <v>0</v>
      </c>
      <c r="K452" s="5"/>
      <c r="L452" s="5">
        <v>16</v>
      </c>
      <c r="M452" s="5">
        <v>16</v>
      </c>
      <c r="N452" s="5">
        <v>28</v>
      </c>
      <c r="O452" s="5">
        <v>0.15240000000000001</v>
      </c>
      <c r="P452" s="5"/>
      <c r="Q452" s="5">
        <v>1</v>
      </c>
      <c r="R452" s="5" t="s">
        <v>1765</v>
      </c>
      <c r="S452" s="5">
        <v>95</v>
      </c>
      <c r="T452" s="5">
        <v>61</v>
      </c>
      <c r="U452" s="5">
        <v>1000</v>
      </c>
      <c r="V452" s="5" t="s">
        <v>1766</v>
      </c>
      <c r="W452" s="5" t="s">
        <v>1782</v>
      </c>
      <c r="X452" s="14" t="s">
        <v>69</v>
      </c>
      <c r="AE452" t="s">
        <v>243</v>
      </c>
      <c r="AF452" t="s">
        <v>52</v>
      </c>
      <c r="AG452" t="s">
        <v>3</v>
      </c>
    </row>
    <row r="453" spans="1:33" ht="28" x14ac:dyDescent="0.15">
      <c r="A453" s="5" t="s">
        <v>1141</v>
      </c>
      <c r="B453" s="5" t="s">
        <v>1098</v>
      </c>
      <c r="C453" s="5" t="s">
        <v>1140</v>
      </c>
      <c r="D453" s="5" t="s">
        <v>1768</v>
      </c>
      <c r="E453" s="5" t="s">
        <v>1763</v>
      </c>
      <c r="F453" s="5" t="s">
        <v>1711</v>
      </c>
      <c r="G453" s="5" t="s">
        <v>1618</v>
      </c>
      <c r="H453" s="5" t="b">
        <v>0</v>
      </c>
      <c r="I453" s="5" t="s">
        <v>1794</v>
      </c>
      <c r="J453" s="5" t="b">
        <v>0</v>
      </c>
      <c r="K453" s="5"/>
      <c r="L453" s="5">
        <v>20</v>
      </c>
      <c r="M453" s="5">
        <v>20</v>
      </c>
      <c r="N453" s="5">
        <v>32</v>
      </c>
      <c r="O453" s="5">
        <v>0.20319999999999999</v>
      </c>
      <c r="P453" s="5"/>
      <c r="Q453" s="5">
        <v>1</v>
      </c>
      <c r="R453" s="5" t="s">
        <v>1765</v>
      </c>
      <c r="S453" s="5">
        <v>95</v>
      </c>
      <c r="T453" s="5">
        <v>67</v>
      </c>
      <c r="U453" s="5">
        <v>926</v>
      </c>
      <c r="V453" s="5" t="s">
        <v>1766</v>
      </c>
      <c r="W453" s="5" t="s">
        <v>1782</v>
      </c>
      <c r="X453" s="14" t="s">
        <v>69</v>
      </c>
      <c r="AE453" t="s">
        <v>243</v>
      </c>
      <c r="AF453" t="s">
        <v>52</v>
      </c>
      <c r="AG453" t="s">
        <v>3</v>
      </c>
    </row>
    <row r="454" spans="1:33" ht="28" x14ac:dyDescent="0.15">
      <c r="A454" s="5" t="s">
        <v>1142</v>
      </c>
      <c r="B454" s="5" t="s">
        <v>1098</v>
      </c>
      <c r="C454" s="5" t="s">
        <v>1140</v>
      </c>
      <c r="D454" s="5" t="s">
        <v>1769</v>
      </c>
      <c r="E454" s="5" t="s">
        <v>1763</v>
      </c>
      <c r="F454" s="5" t="s">
        <v>1711</v>
      </c>
      <c r="G454" s="5" t="s">
        <v>1618</v>
      </c>
      <c r="H454" s="5" t="b">
        <v>0</v>
      </c>
      <c r="I454" s="5" t="s">
        <v>1794</v>
      </c>
      <c r="J454" s="5" t="b">
        <v>0</v>
      </c>
      <c r="K454" s="5"/>
      <c r="L454" s="5">
        <v>24</v>
      </c>
      <c r="M454" s="5">
        <v>24</v>
      </c>
      <c r="N454" s="5">
        <v>30</v>
      </c>
      <c r="O454" s="5">
        <v>0.17780000000000001</v>
      </c>
      <c r="P454" s="5"/>
      <c r="Q454" s="5">
        <v>1</v>
      </c>
      <c r="R454" s="5" t="s">
        <v>1765</v>
      </c>
      <c r="S454" s="5">
        <v>95</v>
      </c>
      <c r="T454" s="5">
        <v>62</v>
      </c>
      <c r="U454" s="5">
        <v>900</v>
      </c>
      <c r="V454" s="5" t="s">
        <v>1766</v>
      </c>
      <c r="W454" s="5" t="s">
        <v>1782</v>
      </c>
      <c r="X454" s="14" t="s">
        <v>69</v>
      </c>
      <c r="AE454" t="s">
        <v>243</v>
      </c>
      <c r="AF454" t="s">
        <v>52</v>
      </c>
      <c r="AG454" t="s">
        <v>3</v>
      </c>
    </row>
    <row r="455" spans="1:33" ht="28" x14ac:dyDescent="0.15">
      <c r="A455" s="5" t="s">
        <v>1143</v>
      </c>
      <c r="B455" s="5" t="s">
        <v>1098</v>
      </c>
      <c r="C455" s="5" t="s">
        <v>1140</v>
      </c>
      <c r="D455" s="5" t="s">
        <v>1770</v>
      </c>
      <c r="E455" s="5" t="s">
        <v>1763</v>
      </c>
      <c r="F455" s="5" t="s">
        <v>1711</v>
      </c>
      <c r="G455" s="5" t="s">
        <v>1618</v>
      </c>
      <c r="H455" s="5" t="b">
        <v>0</v>
      </c>
      <c r="I455" s="5" t="s">
        <v>1794</v>
      </c>
      <c r="J455" s="5" t="b">
        <v>0</v>
      </c>
      <c r="K455" s="5"/>
      <c r="L455" s="5">
        <v>28</v>
      </c>
      <c r="M455" s="5">
        <v>28</v>
      </c>
      <c r="N455" s="5">
        <v>36</v>
      </c>
      <c r="O455" s="5">
        <v>0.27939999999999998</v>
      </c>
      <c r="P455" s="5"/>
      <c r="Q455" s="5">
        <v>1</v>
      </c>
      <c r="R455" s="5" t="s">
        <v>1765</v>
      </c>
      <c r="S455" s="5">
        <v>95</v>
      </c>
      <c r="T455" s="5">
        <v>85</v>
      </c>
      <c r="U455" s="5">
        <v>1222</v>
      </c>
      <c r="V455" s="5" t="s">
        <v>1766</v>
      </c>
      <c r="W455" s="5" t="s">
        <v>1782</v>
      </c>
      <c r="X455" s="14" t="s">
        <v>69</v>
      </c>
      <c r="AE455" t="s">
        <v>243</v>
      </c>
      <c r="AF455" t="s">
        <v>52</v>
      </c>
      <c r="AG455" t="s">
        <v>3</v>
      </c>
    </row>
    <row r="456" spans="1:33" ht="28" x14ac:dyDescent="0.15">
      <c r="A456" s="5" t="s">
        <v>1144</v>
      </c>
      <c r="B456" s="5" t="s">
        <v>1098</v>
      </c>
      <c r="C456" s="5" t="s">
        <v>1140</v>
      </c>
      <c r="D456" s="5" t="s">
        <v>1771</v>
      </c>
      <c r="E456" s="5" t="s">
        <v>1763</v>
      </c>
      <c r="F456" s="5" t="s">
        <v>1711</v>
      </c>
      <c r="G456" s="5" t="s">
        <v>1618</v>
      </c>
      <c r="H456" s="5" t="b">
        <v>0</v>
      </c>
      <c r="I456" s="5" t="s">
        <v>1794</v>
      </c>
      <c r="J456" s="5" t="b">
        <v>0</v>
      </c>
      <c r="K456" s="5"/>
      <c r="L456" s="5">
        <v>32</v>
      </c>
      <c r="M456" s="5">
        <v>32</v>
      </c>
      <c r="N456" s="5">
        <v>33</v>
      </c>
      <c r="O456" s="5">
        <v>0.17780000000000001</v>
      </c>
      <c r="P456" s="5"/>
      <c r="Q456" s="5">
        <v>1</v>
      </c>
      <c r="R456" s="5" t="s">
        <v>1765</v>
      </c>
      <c r="S456" s="5">
        <v>95</v>
      </c>
      <c r="T456" s="5">
        <v>67</v>
      </c>
      <c r="U456" s="5">
        <v>734</v>
      </c>
      <c r="V456" s="5" t="s">
        <v>1766</v>
      </c>
      <c r="W456" s="5" t="s">
        <v>1782</v>
      </c>
      <c r="X456" s="14" t="s">
        <v>69</v>
      </c>
      <c r="AE456" t="s">
        <v>243</v>
      </c>
      <c r="AF456" t="s">
        <v>52</v>
      </c>
      <c r="AG456" t="s">
        <v>3</v>
      </c>
    </row>
    <row r="457" spans="1:33" ht="28" x14ac:dyDescent="0.15">
      <c r="A457" s="5" t="s">
        <v>1145</v>
      </c>
      <c r="B457" s="5" t="s">
        <v>1098</v>
      </c>
      <c r="C457" s="5" t="s">
        <v>1140</v>
      </c>
      <c r="D457" s="5" t="s">
        <v>1772</v>
      </c>
      <c r="E457" s="5" t="s">
        <v>1763</v>
      </c>
      <c r="F457" s="5" t="s">
        <v>1711</v>
      </c>
      <c r="G457" s="5" t="s">
        <v>1618</v>
      </c>
      <c r="H457" s="5" t="b">
        <v>0</v>
      </c>
      <c r="I457" s="5" t="s">
        <v>1794</v>
      </c>
      <c r="J457" s="5" t="b">
        <v>0</v>
      </c>
      <c r="K457" s="5"/>
      <c r="L457" s="5">
        <v>40</v>
      </c>
      <c r="M457" s="5">
        <v>40</v>
      </c>
      <c r="N457" s="5">
        <v>40</v>
      </c>
      <c r="O457" s="5">
        <v>0.254</v>
      </c>
      <c r="P457" s="5"/>
      <c r="Q457" s="5">
        <v>1</v>
      </c>
      <c r="R457" s="5" t="s">
        <v>1765</v>
      </c>
      <c r="S457" s="5">
        <v>95</v>
      </c>
      <c r="T457" s="5">
        <v>67</v>
      </c>
      <c r="U457" s="5">
        <v>846</v>
      </c>
      <c r="V457" s="5" t="s">
        <v>1766</v>
      </c>
      <c r="W457" s="5" t="s">
        <v>1782</v>
      </c>
      <c r="X457" s="14" t="s">
        <v>69</v>
      </c>
      <c r="AE457" t="s">
        <v>243</v>
      </c>
      <c r="AF457" t="s">
        <v>52</v>
      </c>
      <c r="AG457" t="s">
        <v>3</v>
      </c>
    </row>
    <row r="458" spans="1:33" ht="28" x14ac:dyDescent="0.15">
      <c r="A458" s="5" t="s">
        <v>1146</v>
      </c>
      <c r="B458" s="5" t="s">
        <v>1098</v>
      </c>
      <c r="C458" s="5" t="s">
        <v>1140</v>
      </c>
      <c r="D458" s="5" t="s">
        <v>1773</v>
      </c>
      <c r="E458" s="5" t="s">
        <v>1763</v>
      </c>
      <c r="F458" s="5" t="s">
        <v>1711</v>
      </c>
      <c r="G458" s="5" t="s">
        <v>1618</v>
      </c>
      <c r="H458" s="5" t="b">
        <v>0</v>
      </c>
      <c r="I458" s="5" t="s">
        <v>1794</v>
      </c>
      <c r="J458" s="5" t="b">
        <v>0</v>
      </c>
      <c r="K458" s="5"/>
      <c r="L458" s="5">
        <v>50</v>
      </c>
      <c r="M458" s="5">
        <v>50</v>
      </c>
      <c r="N458" s="5">
        <v>55</v>
      </c>
      <c r="O458" s="5">
        <v>0.27939999999999998</v>
      </c>
      <c r="P458" s="5"/>
      <c r="Q458" s="5">
        <v>1</v>
      </c>
      <c r="R458" s="5" t="s">
        <v>1765</v>
      </c>
      <c r="S458" s="5">
        <v>95</v>
      </c>
      <c r="T458" s="5">
        <v>73</v>
      </c>
      <c r="U458" s="5">
        <v>864</v>
      </c>
      <c r="V458" s="5" t="s">
        <v>1766</v>
      </c>
      <c r="W458" s="5" t="s">
        <v>1782</v>
      </c>
      <c r="X458" s="14" t="s">
        <v>69</v>
      </c>
      <c r="AE458" t="s">
        <v>243</v>
      </c>
      <c r="AF458" t="s">
        <v>52</v>
      </c>
      <c r="AG458" t="s">
        <v>3</v>
      </c>
    </row>
    <row r="459" spans="1:33" ht="28" x14ac:dyDescent="0.15">
      <c r="A459" s="5" t="s">
        <v>1147</v>
      </c>
      <c r="B459" s="5" t="s">
        <v>1098</v>
      </c>
      <c r="C459" s="5" t="s">
        <v>1140</v>
      </c>
      <c r="D459" s="5" t="s">
        <v>1774</v>
      </c>
      <c r="E459" s="5" t="s">
        <v>1763</v>
      </c>
      <c r="F459" s="5" t="s">
        <v>1711</v>
      </c>
      <c r="G459" s="5" t="s">
        <v>1618</v>
      </c>
      <c r="H459" s="5" t="b">
        <v>0</v>
      </c>
      <c r="I459" s="5" t="s">
        <v>1794</v>
      </c>
      <c r="J459" s="5" t="b">
        <v>0</v>
      </c>
      <c r="K459" s="5"/>
      <c r="L459" s="5">
        <v>85</v>
      </c>
      <c r="M459" s="5">
        <v>85</v>
      </c>
      <c r="N459" s="5">
        <v>57</v>
      </c>
      <c r="O459" s="5">
        <v>0.53339999999999999</v>
      </c>
      <c r="P459" s="5"/>
      <c r="Q459" s="5">
        <v>1</v>
      </c>
      <c r="R459" s="5" t="s">
        <v>1765</v>
      </c>
      <c r="S459" s="5">
        <v>95</v>
      </c>
      <c r="T459" s="5">
        <v>99</v>
      </c>
      <c r="U459" s="5">
        <v>1262</v>
      </c>
      <c r="V459" s="5" t="s">
        <v>1766</v>
      </c>
      <c r="W459" s="5" t="s">
        <v>1782</v>
      </c>
      <c r="X459" s="14" t="s">
        <v>69</v>
      </c>
      <c r="AE459" t="s">
        <v>243</v>
      </c>
      <c r="AF459" t="s">
        <v>52</v>
      </c>
      <c r="AG459" t="s">
        <v>3</v>
      </c>
    </row>
    <row r="460" spans="1:33" ht="28" x14ac:dyDescent="0.15">
      <c r="A460" s="5" t="s">
        <v>1148</v>
      </c>
      <c r="B460" s="5" t="s">
        <v>1149</v>
      </c>
      <c r="C460" s="5" t="s">
        <v>1150</v>
      </c>
      <c r="D460" s="5" t="s">
        <v>1780</v>
      </c>
      <c r="E460" s="5" t="s">
        <v>1797</v>
      </c>
      <c r="F460" s="5" t="s">
        <v>1626</v>
      </c>
      <c r="G460" s="5" t="s">
        <v>1599</v>
      </c>
      <c r="H460" s="5" t="b">
        <v>1</v>
      </c>
      <c r="I460" s="5" t="s">
        <v>1794</v>
      </c>
      <c r="J460" s="5" t="b">
        <v>0</v>
      </c>
      <c r="K460" s="5"/>
      <c r="L460" s="5">
        <v>35</v>
      </c>
      <c r="M460" s="5">
        <v>35</v>
      </c>
      <c r="N460" s="5">
        <v>43.3</v>
      </c>
      <c r="O460" s="5">
        <v>0.58399999999999996</v>
      </c>
      <c r="P460" s="5"/>
      <c r="Q460" s="5">
        <v>1.5</v>
      </c>
      <c r="R460" s="5" t="s">
        <v>1798</v>
      </c>
      <c r="S460" s="5">
        <v>143</v>
      </c>
      <c r="T460" s="5"/>
      <c r="U460" s="5">
        <v>3700</v>
      </c>
      <c r="V460" s="5" t="s">
        <v>1766</v>
      </c>
      <c r="W460" s="5" t="s">
        <v>1782</v>
      </c>
      <c r="X460" s="14" t="s">
        <v>69</v>
      </c>
      <c r="AE460" t="s">
        <v>243</v>
      </c>
      <c r="AF460" t="s">
        <v>52</v>
      </c>
      <c r="AG460" t="s">
        <v>3</v>
      </c>
    </row>
    <row r="461" spans="1:33" ht="28" x14ac:dyDescent="0.15">
      <c r="A461" s="5" t="s">
        <v>1151</v>
      </c>
      <c r="B461" s="5" t="s">
        <v>1149</v>
      </c>
      <c r="C461" s="5" t="s">
        <v>1150</v>
      </c>
      <c r="D461" s="5" t="s">
        <v>1773</v>
      </c>
      <c r="E461" s="5" t="s">
        <v>1799</v>
      </c>
      <c r="F461" s="5" t="s">
        <v>1626</v>
      </c>
      <c r="G461" s="5" t="s">
        <v>1800</v>
      </c>
      <c r="H461" s="5" t="b">
        <v>1</v>
      </c>
      <c r="I461" s="5" t="s">
        <v>1794</v>
      </c>
      <c r="J461" s="5" t="b">
        <v>0</v>
      </c>
      <c r="K461" s="5"/>
      <c r="L461" s="5">
        <v>50</v>
      </c>
      <c r="M461" s="5">
        <v>50</v>
      </c>
      <c r="N461" s="5">
        <v>46.3</v>
      </c>
      <c r="O461" s="5">
        <v>0.55899999999999994</v>
      </c>
      <c r="P461" s="5"/>
      <c r="Q461" s="5">
        <v>1.5</v>
      </c>
      <c r="R461" s="5" t="s">
        <v>1798</v>
      </c>
      <c r="S461" s="5">
        <v>125</v>
      </c>
      <c r="T461" s="5"/>
      <c r="U461" s="5">
        <v>2310</v>
      </c>
      <c r="V461" s="5" t="s">
        <v>1766</v>
      </c>
      <c r="W461" s="5" t="s">
        <v>1782</v>
      </c>
      <c r="X461" s="14" t="s">
        <v>69</v>
      </c>
      <c r="AE461" t="s">
        <v>243</v>
      </c>
      <c r="AF461" t="s">
        <v>52</v>
      </c>
      <c r="AG461" t="s">
        <v>3</v>
      </c>
    </row>
    <row r="462" spans="1:33" ht="28" x14ac:dyDescent="0.15">
      <c r="A462" s="5" t="s">
        <v>1152</v>
      </c>
      <c r="B462" s="5" t="s">
        <v>1149</v>
      </c>
      <c r="C462" s="5" t="s">
        <v>1150</v>
      </c>
      <c r="D462" s="5" t="s">
        <v>1783</v>
      </c>
      <c r="E462" s="5" t="s">
        <v>1799</v>
      </c>
      <c r="F462" s="5" t="s">
        <v>1626</v>
      </c>
      <c r="G462" s="5" t="s">
        <v>1800</v>
      </c>
      <c r="H462" s="5" t="b">
        <v>1</v>
      </c>
      <c r="I462" s="5" t="s">
        <v>1794</v>
      </c>
      <c r="J462" s="5" t="b">
        <v>0</v>
      </c>
      <c r="K462" s="5"/>
      <c r="L462" s="5">
        <v>75</v>
      </c>
      <c r="M462" s="5">
        <v>75</v>
      </c>
      <c r="N462" s="5">
        <v>46.3</v>
      </c>
      <c r="O462" s="5">
        <v>0.45700000000000002</v>
      </c>
      <c r="P462" s="5"/>
      <c r="Q462" s="5">
        <v>1.5</v>
      </c>
      <c r="R462" s="5" t="s">
        <v>1798</v>
      </c>
      <c r="S462" s="5">
        <v>125</v>
      </c>
      <c r="T462" s="5"/>
      <c r="U462" s="5">
        <v>2640</v>
      </c>
      <c r="V462" s="5" t="s">
        <v>1766</v>
      </c>
      <c r="W462" s="5" t="s">
        <v>1782</v>
      </c>
      <c r="X462" s="14" t="s">
        <v>69</v>
      </c>
      <c r="AE462" t="s">
        <v>243</v>
      </c>
      <c r="AF462" t="s">
        <v>52</v>
      </c>
      <c r="AG462" t="s">
        <v>3</v>
      </c>
    </row>
    <row r="463" spans="1:33" ht="28" x14ac:dyDescent="0.15">
      <c r="A463" s="5" t="s">
        <v>1153</v>
      </c>
      <c r="B463" s="5" t="s">
        <v>1149</v>
      </c>
      <c r="C463" s="5" t="s">
        <v>1150</v>
      </c>
      <c r="D463" s="5" t="s">
        <v>1775</v>
      </c>
      <c r="E463" s="5" t="s">
        <v>1799</v>
      </c>
      <c r="F463" s="5" t="s">
        <v>1626</v>
      </c>
      <c r="G463" s="5" t="s">
        <v>1800</v>
      </c>
      <c r="H463" s="5" t="b">
        <v>1</v>
      </c>
      <c r="I463" s="5" t="s">
        <v>1794</v>
      </c>
      <c r="J463" s="5" t="b">
        <v>0</v>
      </c>
      <c r="K463" s="5"/>
      <c r="L463" s="5">
        <v>100</v>
      </c>
      <c r="M463" s="5">
        <v>100</v>
      </c>
      <c r="N463" s="5">
        <v>46.3</v>
      </c>
      <c r="O463" s="5">
        <v>0.68599999999999994</v>
      </c>
      <c r="P463" s="5"/>
      <c r="Q463" s="5">
        <v>1.5</v>
      </c>
      <c r="R463" s="5" t="s">
        <v>1798</v>
      </c>
      <c r="S463" s="5">
        <v>125</v>
      </c>
      <c r="T463" s="5"/>
      <c r="U463" s="5">
        <v>4130</v>
      </c>
      <c r="V463" s="5" t="s">
        <v>1766</v>
      </c>
      <c r="W463" s="5" t="s">
        <v>1782</v>
      </c>
      <c r="X463" s="14" t="s">
        <v>69</v>
      </c>
      <c r="AE463" t="s">
        <v>243</v>
      </c>
      <c r="AF463" t="s">
        <v>52</v>
      </c>
      <c r="AG463" t="s">
        <v>3</v>
      </c>
    </row>
    <row r="464" spans="1:33" ht="28" x14ac:dyDescent="0.15">
      <c r="A464" s="5" t="s">
        <v>1154</v>
      </c>
      <c r="B464" s="5" t="s">
        <v>1149</v>
      </c>
      <c r="C464" s="5" t="s">
        <v>1150</v>
      </c>
      <c r="D464" s="5" t="s">
        <v>1787</v>
      </c>
      <c r="E464" s="5" t="s">
        <v>1801</v>
      </c>
      <c r="F464" s="5" t="s">
        <v>1626</v>
      </c>
      <c r="G464" s="5" t="s">
        <v>1800</v>
      </c>
      <c r="H464" s="5" t="b">
        <v>1</v>
      </c>
      <c r="I464" s="5" t="s">
        <v>1794</v>
      </c>
      <c r="J464" s="5" t="b">
        <v>0</v>
      </c>
      <c r="K464" s="5"/>
      <c r="L464" s="5">
        <v>135</v>
      </c>
      <c r="M464" s="5">
        <v>135</v>
      </c>
      <c r="N464" s="5">
        <v>46.3</v>
      </c>
      <c r="O464" s="5">
        <v>0.68599999999999994</v>
      </c>
      <c r="P464" s="5"/>
      <c r="Q464" s="5">
        <v>1.5</v>
      </c>
      <c r="R464" s="5" t="s">
        <v>1798</v>
      </c>
      <c r="S464" s="5">
        <v>125</v>
      </c>
      <c r="T464" s="5"/>
      <c r="U464" s="5">
        <v>4700</v>
      </c>
      <c r="V464" s="5" t="s">
        <v>1766</v>
      </c>
      <c r="W464" s="5" t="s">
        <v>1782</v>
      </c>
      <c r="X464" s="14" t="s">
        <v>69</v>
      </c>
      <c r="AE464" t="s">
        <v>243</v>
      </c>
      <c r="AF464" t="s">
        <v>52</v>
      </c>
      <c r="AG464" t="s">
        <v>3</v>
      </c>
    </row>
    <row r="465" spans="1:30" x14ac:dyDescent="0.15">
      <c r="A465" t="s">
        <v>1155</v>
      </c>
      <c r="B465" t="s">
        <v>49</v>
      </c>
      <c r="C465" t="s">
        <v>1156</v>
      </c>
      <c r="D465">
        <v>10.5</v>
      </c>
      <c r="E465">
        <v>2.8</v>
      </c>
      <c r="F465" t="s">
        <v>1802</v>
      </c>
      <c r="G465" t="s">
        <v>1599</v>
      </c>
      <c r="H465" t="b">
        <v>0</v>
      </c>
      <c r="I465" t="s">
        <v>1803</v>
      </c>
      <c r="J465" t="b">
        <v>0</v>
      </c>
      <c r="K465" t="s">
        <v>1675</v>
      </c>
      <c r="L465">
        <v>10.5</v>
      </c>
      <c r="M465">
        <v>10.5</v>
      </c>
      <c r="Q465">
        <v>1</v>
      </c>
      <c r="R465" t="s">
        <v>1804</v>
      </c>
      <c r="S465">
        <v>95</v>
      </c>
      <c r="V465" t="s">
        <v>1158</v>
      </c>
      <c r="W465" t="s">
        <v>1683</v>
      </c>
      <c r="X465" s="12" t="s">
        <v>53</v>
      </c>
      <c r="Y465" t="s">
        <v>1157</v>
      </c>
      <c r="Z465" t="s">
        <v>1158</v>
      </c>
      <c r="AA465" t="s">
        <v>1159</v>
      </c>
      <c r="AB465" t="s">
        <v>3</v>
      </c>
      <c r="AC465" t="s">
        <v>54</v>
      </c>
      <c r="AD465" t="s">
        <v>1805</v>
      </c>
    </row>
    <row r="466" spans="1:30" x14ac:dyDescent="0.15">
      <c r="A466" t="s">
        <v>1160</v>
      </c>
      <c r="B466" t="s">
        <v>49</v>
      </c>
      <c r="C466" t="s">
        <v>1161</v>
      </c>
      <c r="D466">
        <v>14</v>
      </c>
      <c r="E466">
        <v>2.5</v>
      </c>
      <c r="F466" t="s">
        <v>1802</v>
      </c>
      <c r="G466" t="s">
        <v>1599</v>
      </c>
      <c r="H466" t="b">
        <v>0</v>
      </c>
      <c r="I466" t="s">
        <v>1803</v>
      </c>
      <c r="J466" t="b">
        <v>0</v>
      </c>
      <c r="K466" t="s">
        <v>1675</v>
      </c>
      <c r="L466">
        <v>14</v>
      </c>
      <c r="M466">
        <v>14</v>
      </c>
      <c r="Q466">
        <v>1</v>
      </c>
      <c r="R466" t="s">
        <v>1804</v>
      </c>
      <c r="S466">
        <v>95</v>
      </c>
      <c r="V466" t="s">
        <v>1158</v>
      </c>
      <c r="W466" t="s">
        <v>1683</v>
      </c>
      <c r="X466" s="12" t="s">
        <v>53</v>
      </c>
      <c r="Y466" t="s">
        <v>1157</v>
      </c>
      <c r="Z466" t="s">
        <v>1158</v>
      </c>
      <c r="AA466" t="s">
        <v>1159</v>
      </c>
      <c r="AB466" t="s">
        <v>3</v>
      </c>
      <c r="AC466" t="s">
        <v>54</v>
      </c>
      <c r="AD466" t="s">
        <v>1805</v>
      </c>
    </row>
    <row r="467" spans="1:30" x14ac:dyDescent="0.15">
      <c r="A467" t="s">
        <v>1162</v>
      </c>
      <c r="B467" t="s">
        <v>49</v>
      </c>
      <c r="C467" t="s">
        <v>1163</v>
      </c>
      <c r="D467">
        <v>18</v>
      </c>
      <c r="E467">
        <v>2.1</v>
      </c>
      <c r="F467" t="s">
        <v>1802</v>
      </c>
      <c r="G467" t="s">
        <v>1599</v>
      </c>
      <c r="H467" t="b">
        <v>0</v>
      </c>
      <c r="I467" t="s">
        <v>1803</v>
      </c>
      <c r="J467" t="b">
        <v>0</v>
      </c>
      <c r="K467" t="s">
        <v>1675</v>
      </c>
      <c r="L467">
        <v>18</v>
      </c>
      <c r="M467">
        <v>18</v>
      </c>
      <c r="Q467">
        <v>1</v>
      </c>
      <c r="R467" t="s">
        <v>1804</v>
      </c>
      <c r="S467">
        <v>95</v>
      </c>
      <c r="V467" t="s">
        <v>1158</v>
      </c>
      <c r="W467" t="s">
        <v>1683</v>
      </c>
      <c r="X467" s="12" t="s">
        <v>53</v>
      </c>
      <c r="Y467" t="s">
        <v>1157</v>
      </c>
      <c r="Z467" t="s">
        <v>1158</v>
      </c>
      <c r="AA467" t="s">
        <v>1159</v>
      </c>
      <c r="AB467" t="s">
        <v>3</v>
      </c>
      <c r="AC467" t="s">
        <v>54</v>
      </c>
      <c r="AD467" t="s">
        <v>1805</v>
      </c>
    </row>
    <row r="468" spans="1:30" x14ac:dyDescent="0.15">
      <c r="A468" t="s">
        <v>1164</v>
      </c>
      <c r="B468" t="s">
        <v>49</v>
      </c>
      <c r="C468" t="s">
        <v>1165</v>
      </c>
      <c r="D468">
        <v>21</v>
      </c>
      <c r="E468">
        <v>2.1</v>
      </c>
      <c r="F468" t="s">
        <v>1802</v>
      </c>
      <c r="G468" t="s">
        <v>1599</v>
      </c>
      <c r="H468" t="b">
        <v>0</v>
      </c>
      <c r="I468" t="s">
        <v>1803</v>
      </c>
      <c r="J468" t="b">
        <v>0</v>
      </c>
      <c r="K468" t="s">
        <v>1675</v>
      </c>
      <c r="L468">
        <v>21</v>
      </c>
      <c r="M468">
        <v>21</v>
      </c>
      <c r="Q468">
        <v>1</v>
      </c>
      <c r="R468" t="s">
        <v>1804</v>
      </c>
      <c r="S468">
        <v>95</v>
      </c>
      <c r="V468" t="s">
        <v>1158</v>
      </c>
      <c r="W468" t="s">
        <v>1683</v>
      </c>
      <c r="X468" s="12" t="s">
        <v>53</v>
      </c>
      <c r="Y468" t="s">
        <v>1157</v>
      </c>
      <c r="Z468" t="s">
        <v>1158</v>
      </c>
      <c r="AA468" t="s">
        <v>1159</v>
      </c>
      <c r="AB468" t="s">
        <v>3</v>
      </c>
      <c r="AC468" t="s">
        <v>54</v>
      </c>
      <c r="AD468" t="s">
        <v>1805</v>
      </c>
    </row>
    <row r="469" spans="1:30" x14ac:dyDescent="0.15">
      <c r="A469" t="s">
        <v>1166</v>
      </c>
      <c r="B469" t="s">
        <v>49</v>
      </c>
      <c r="C469" t="s">
        <v>1167</v>
      </c>
      <c r="D469">
        <v>24</v>
      </c>
      <c r="E469">
        <v>2.1</v>
      </c>
      <c r="F469" t="s">
        <v>1802</v>
      </c>
      <c r="G469" t="s">
        <v>1599</v>
      </c>
      <c r="H469" t="b">
        <v>0</v>
      </c>
      <c r="I469" t="s">
        <v>1803</v>
      </c>
      <c r="J469" t="b">
        <v>0</v>
      </c>
      <c r="K469" t="s">
        <v>1675</v>
      </c>
      <c r="L469">
        <v>24</v>
      </c>
      <c r="M469">
        <v>24</v>
      </c>
      <c r="Q469">
        <v>1</v>
      </c>
      <c r="R469" t="s">
        <v>1804</v>
      </c>
      <c r="S469">
        <v>95</v>
      </c>
      <c r="V469" t="s">
        <v>1158</v>
      </c>
      <c r="W469" t="s">
        <v>1683</v>
      </c>
      <c r="X469" s="12" t="s">
        <v>53</v>
      </c>
      <c r="Y469" t="s">
        <v>1157</v>
      </c>
      <c r="Z469" t="s">
        <v>1158</v>
      </c>
      <c r="AA469" t="s">
        <v>1159</v>
      </c>
      <c r="AB469" t="s">
        <v>3</v>
      </c>
      <c r="AC469" t="s">
        <v>54</v>
      </c>
      <c r="AD469" t="s">
        <v>1805</v>
      </c>
    </row>
    <row r="470" spans="1:30" x14ac:dyDescent="0.15">
      <c r="A470" t="s">
        <v>1168</v>
      </c>
      <c r="B470" t="s">
        <v>49</v>
      </c>
      <c r="C470" t="s">
        <v>1169</v>
      </c>
      <c r="D470">
        <v>28</v>
      </c>
      <c r="E470">
        <v>2.1</v>
      </c>
      <c r="F470" t="s">
        <v>1802</v>
      </c>
      <c r="G470" t="s">
        <v>1599</v>
      </c>
      <c r="H470" t="b">
        <v>0</v>
      </c>
      <c r="I470" t="s">
        <v>1803</v>
      </c>
      <c r="J470" t="b">
        <v>0</v>
      </c>
      <c r="K470" t="s">
        <v>1675</v>
      </c>
      <c r="L470">
        <v>28</v>
      </c>
      <c r="M470">
        <v>28</v>
      </c>
      <c r="Q470">
        <v>1</v>
      </c>
      <c r="R470" t="s">
        <v>1804</v>
      </c>
      <c r="S470">
        <v>95</v>
      </c>
      <c r="V470" t="s">
        <v>1158</v>
      </c>
      <c r="W470" t="s">
        <v>1683</v>
      </c>
      <c r="X470" s="12" t="s">
        <v>53</v>
      </c>
      <c r="Y470" t="s">
        <v>1157</v>
      </c>
      <c r="Z470" t="s">
        <v>1158</v>
      </c>
      <c r="AA470" t="s">
        <v>1159</v>
      </c>
      <c r="AB470" t="s">
        <v>3</v>
      </c>
      <c r="AC470" t="s">
        <v>54</v>
      </c>
      <c r="AD470" t="s">
        <v>1805</v>
      </c>
    </row>
    <row r="471" spans="1:30" x14ac:dyDescent="0.15">
      <c r="A471" t="s">
        <v>1170</v>
      </c>
      <c r="B471" t="s">
        <v>49</v>
      </c>
      <c r="C471" t="s">
        <v>1171</v>
      </c>
      <c r="D471">
        <v>32</v>
      </c>
      <c r="E471">
        <v>2.1</v>
      </c>
      <c r="F471" t="s">
        <v>1802</v>
      </c>
      <c r="G471" t="s">
        <v>1599</v>
      </c>
      <c r="H471" t="b">
        <v>0</v>
      </c>
      <c r="I471" t="s">
        <v>1803</v>
      </c>
      <c r="J471" t="b">
        <v>0</v>
      </c>
      <c r="K471" t="s">
        <v>1675</v>
      </c>
      <c r="L471">
        <v>32</v>
      </c>
      <c r="M471">
        <v>32</v>
      </c>
      <c r="Q471">
        <v>1</v>
      </c>
      <c r="R471" t="s">
        <v>1804</v>
      </c>
      <c r="S471">
        <v>95</v>
      </c>
      <c r="V471" t="s">
        <v>1158</v>
      </c>
      <c r="W471" t="s">
        <v>1683</v>
      </c>
      <c r="X471" s="12" t="s">
        <v>53</v>
      </c>
      <c r="Y471" t="s">
        <v>1157</v>
      </c>
      <c r="Z471" t="s">
        <v>1158</v>
      </c>
      <c r="AA471" t="s">
        <v>1159</v>
      </c>
      <c r="AB471" t="s">
        <v>3</v>
      </c>
      <c r="AC471" t="s">
        <v>54</v>
      </c>
      <c r="AD471" t="s">
        <v>1805</v>
      </c>
    </row>
    <row r="472" spans="1:30" x14ac:dyDescent="0.15">
      <c r="A472" t="s">
        <v>1172</v>
      </c>
      <c r="B472" t="s">
        <v>49</v>
      </c>
      <c r="C472" t="s">
        <v>1173</v>
      </c>
      <c r="D472">
        <v>40</v>
      </c>
      <c r="E472">
        <v>2.1</v>
      </c>
      <c r="F472" t="s">
        <v>1802</v>
      </c>
      <c r="G472" t="s">
        <v>1599</v>
      </c>
      <c r="H472" t="b">
        <v>0</v>
      </c>
      <c r="I472" t="s">
        <v>1803</v>
      </c>
      <c r="J472" t="b">
        <v>0</v>
      </c>
      <c r="K472" t="s">
        <v>1675</v>
      </c>
      <c r="L472">
        <v>40</v>
      </c>
      <c r="M472">
        <v>40</v>
      </c>
      <c r="Q472">
        <v>1</v>
      </c>
      <c r="R472" t="s">
        <v>1804</v>
      </c>
      <c r="S472">
        <v>95</v>
      </c>
      <c r="V472" t="s">
        <v>1158</v>
      </c>
      <c r="W472" t="s">
        <v>1683</v>
      </c>
      <c r="X472" s="12" t="s">
        <v>53</v>
      </c>
      <c r="Y472" t="s">
        <v>1157</v>
      </c>
      <c r="Z472" t="s">
        <v>1158</v>
      </c>
      <c r="AA472" t="s">
        <v>1159</v>
      </c>
      <c r="AB472" t="s">
        <v>3</v>
      </c>
      <c r="AC472" t="s">
        <v>54</v>
      </c>
      <c r="AD472" t="s">
        <v>1805</v>
      </c>
    </row>
    <row r="473" spans="1:30" x14ac:dyDescent="0.15">
      <c r="A473" t="s">
        <v>1174</v>
      </c>
      <c r="B473" t="s">
        <v>49</v>
      </c>
      <c r="C473" t="s">
        <v>1175</v>
      </c>
      <c r="D473">
        <v>47</v>
      </c>
      <c r="E473">
        <v>2.1</v>
      </c>
      <c r="F473" t="s">
        <v>1802</v>
      </c>
      <c r="G473" t="s">
        <v>1599</v>
      </c>
      <c r="H473" t="b">
        <v>0</v>
      </c>
      <c r="I473" t="s">
        <v>1803</v>
      </c>
      <c r="J473" t="b">
        <v>0</v>
      </c>
      <c r="K473" t="s">
        <v>1675</v>
      </c>
      <c r="L473">
        <v>47</v>
      </c>
      <c r="M473">
        <v>47</v>
      </c>
      <c r="Q473">
        <v>1</v>
      </c>
      <c r="R473" t="s">
        <v>1804</v>
      </c>
      <c r="S473">
        <v>95</v>
      </c>
      <c r="V473" t="s">
        <v>1158</v>
      </c>
      <c r="W473" t="s">
        <v>1683</v>
      </c>
      <c r="X473" s="12" t="s">
        <v>53</v>
      </c>
      <c r="Y473" t="s">
        <v>1157</v>
      </c>
      <c r="Z473" t="s">
        <v>1158</v>
      </c>
      <c r="AA473" t="s">
        <v>1159</v>
      </c>
      <c r="AB473" t="s">
        <v>3</v>
      </c>
      <c r="AC473" t="s">
        <v>54</v>
      </c>
      <c r="AD473" t="s">
        <v>1805</v>
      </c>
    </row>
    <row r="474" spans="1:30" x14ac:dyDescent="0.15">
      <c r="A474" t="s">
        <v>1176</v>
      </c>
      <c r="B474" t="s">
        <v>49</v>
      </c>
      <c r="C474" t="s">
        <v>1177</v>
      </c>
      <c r="D474">
        <v>58</v>
      </c>
      <c r="E474">
        <v>2.1</v>
      </c>
      <c r="F474" t="s">
        <v>1802</v>
      </c>
      <c r="G474" t="s">
        <v>1599</v>
      </c>
      <c r="H474" t="b">
        <v>0</v>
      </c>
      <c r="I474" t="s">
        <v>1803</v>
      </c>
      <c r="J474" t="b">
        <v>0</v>
      </c>
      <c r="K474" t="s">
        <v>1675</v>
      </c>
      <c r="L474">
        <v>58</v>
      </c>
      <c r="M474">
        <v>58</v>
      </c>
      <c r="Q474">
        <v>1</v>
      </c>
      <c r="R474" t="s">
        <v>1804</v>
      </c>
      <c r="S474">
        <v>95</v>
      </c>
      <c r="V474" t="s">
        <v>1158</v>
      </c>
      <c r="W474" t="s">
        <v>1683</v>
      </c>
      <c r="X474" s="12" t="s">
        <v>53</v>
      </c>
      <c r="Y474" t="s">
        <v>1157</v>
      </c>
      <c r="Z474" t="s">
        <v>1158</v>
      </c>
      <c r="AA474" t="s">
        <v>1159</v>
      </c>
      <c r="AB474" t="s">
        <v>3</v>
      </c>
      <c r="AC474" t="s">
        <v>54</v>
      </c>
      <c r="AD474" t="s">
        <v>1805</v>
      </c>
    </row>
    <row r="475" spans="1:30" x14ac:dyDescent="0.15">
      <c r="A475" t="s">
        <v>1178</v>
      </c>
      <c r="B475" t="s">
        <v>49</v>
      </c>
      <c r="C475" t="s">
        <v>1179</v>
      </c>
      <c r="D475">
        <v>75</v>
      </c>
      <c r="E475">
        <v>2.1</v>
      </c>
      <c r="F475" t="s">
        <v>1802</v>
      </c>
      <c r="G475" t="s">
        <v>1599</v>
      </c>
      <c r="H475" t="b">
        <v>0</v>
      </c>
      <c r="I475" t="s">
        <v>1803</v>
      </c>
      <c r="J475" t="b">
        <v>0</v>
      </c>
      <c r="K475" t="s">
        <v>1675</v>
      </c>
      <c r="L475">
        <v>75</v>
      </c>
      <c r="M475">
        <v>75</v>
      </c>
      <c r="Q475">
        <v>1</v>
      </c>
      <c r="R475" t="s">
        <v>1804</v>
      </c>
      <c r="S475">
        <v>95</v>
      </c>
      <c r="V475" t="s">
        <v>1158</v>
      </c>
      <c r="W475" t="s">
        <v>1683</v>
      </c>
      <c r="X475" s="12" t="s">
        <v>53</v>
      </c>
      <c r="Y475" t="s">
        <v>1157</v>
      </c>
      <c r="Z475" t="s">
        <v>1158</v>
      </c>
      <c r="AA475" t="s">
        <v>1159</v>
      </c>
      <c r="AB475" t="s">
        <v>3</v>
      </c>
      <c r="AC475" t="s">
        <v>54</v>
      </c>
      <c r="AD475" t="s">
        <v>1805</v>
      </c>
    </row>
    <row r="476" spans="1:30" x14ac:dyDescent="0.15">
      <c r="A476" t="s">
        <v>1180</v>
      </c>
      <c r="B476" t="s">
        <v>49</v>
      </c>
      <c r="C476" t="s">
        <v>1181</v>
      </c>
      <c r="D476">
        <v>105</v>
      </c>
      <c r="E476">
        <v>2.1</v>
      </c>
      <c r="F476" t="s">
        <v>1802</v>
      </c>
      <c r="G476" t="s">
        <v>1599</v>
      </c>
      <c r="H476" t="b">
        <v>0</v>
      </c>
      <c r="I476" t="s">
        <v>1803</v>
      </c>
      <c r="J476" t="b">
        <v>0</v>
      </c>
      <c r="K476" t="s">
        <v>1675</v>
      </c>
      <c r="L476">
        <v>105</v>
      </c>
      <c r="M476">
        <v>105</v>
      </c>
      <c r="Q476">
        <v>1</v>
      </c>
      <c r="R476" t="s">
        <v>1804</v>
      </c>
      <c r="S476">
        <v>95</v>
      </c>
      <c r="V476" t="s">
        <v>1158</v>
      </c>
      <c r="W476" t="s">
        <v>1683</v>
      </c>
      <c r="X476" s="12" t="s">
        <v>53</v>
      </c>
      <c r="Y476" t="s">
        <v>1157</v>
      </c>
      <c r="Z476" t="s">
        <v>1158</v>
      </c>
      <c r="AA476" t="s">
        <v>1159</v>
      </c>
      <c r="AB476" t="s">
        <v>3</v>
      </c>
      <c r="AC476" t="s">
        <v>54</v>
      </c>
      <c r="AD476" t="s">
        <v>1805</v>
      </c>
    </row>
    <row r="477" spans="1:30" x14ac:dyDescent="0.15">
      <c r="A477" t="s">
        <v>1182</v>
      </c>
      <c r="B477" t="s">
        <v>49</v>
      </c>
      <c r="C477" t="s">
        <v>1183</v>
      </c>
      <c r="D477">
        <v>150</v>
      </c>
      <c r="E477">
        <v>2.5</v>
      </c>
      <c r="F477" t="s">
        <v>1802</v>
      </c>
      <c r="G477" t="s">
        <v>1599</v>
      </c>
      <c r="H477" t="b">
        <v>0</v>
      </c>
      <c r="I477" t="s">
        <v>1803</v>
      </c>
      <c r="J477" t="b">
        <v>0</v>
      </c>
      <c r="K477" t="s">
        <v>1675</v>
      </c>
      <c r="L477">
        <v>150</v>
      </c>
      <c r="M477">
        <v>150</v>
      </c>
      <c r="Q477">
        <v>1</v>
      </c>
      <c r="R477" t="s">
        <v>1804</v>
      </c>
      <c r="S477">
        <v>95</v>
      </c>
      <c r="V477" t="s">
        <v>1158</v>
      </c>
      <c r="W477" t="s">
        <v>1683</v>
      </c>
      <c r="X477" s="12" t="s">
        <v>53</v>
      </c>
      <c r="Y477" t="s">
        <v>1157</v>
      </c>
      <c r="Z477" t="s">
        <v>1158</v>
      </c>
      <c r="AA477" t="s">
        <v>1159</v>
      </c>
      <c r="AB477" t="s">
        <v>3</v>
      </c>
      <c r="AC477" t="s">
        <v>54</v>
      </c>
      <c r="AD477" t="s">
        <v>1805</v>
      </c>
    </row>
    <row r="478" spans="1:30" x14ac:dyDescent="0.15">
      <c r="A478" t="s">
        <v>1184</v>
      </c>
      <c r="B478" t="s">
        <v>49</v>
      </c>
      <c r="C478" t="s">
        <v>1185</v>
      </c>
      <c r="D478">
        <v>250</v>
      </c>
      <c r="E478">
        <v>2.8</v>
      </c>
      <c r="F478" t="s">
        <v>1802</v>
      </c>
      <c r="G478" t="s">
        <v>1599</v>
      </c>
      <c r="H478" t="b">
        <v>0</v>
      </c>
      <c r="I478" t="s">
        <v>1803</v>
      </c>
      <c r="J478" t="b">
        <v>0</v>
      </c>
      <c r="K478" t="s">
        <v>1675</v>
      </c>
      <c r="L478">
        <v>250</v>
      </c>
      <c r="M478">
        <v>250</v>
      </c>
      <c r="Q478">
        <v>1</v>
      </c>
      <c r="R478" t="s">
        <v>1804</v>
      </c>
      <c r="S478">
        <v>95</v>
      </c>
      <c r="V478" t="s">
        <v>1158</v>
      </c>
      <c r="W478" t="s">
        <v>1683</v>
      </c>
      <c r="X478" s="12" t="s">
        <v>53</v>
      </c>
      <c r="Y478" t="s">
        <v>1157</v>
      </c>
      <c r="Z478" t="s">
        <v>1158</v>
      </c>
      <c r="AA478" t="s">
        <v>1159</v>
      </c>
      <c r="AB478" t="s">
        <v>3</v>
      </c>
      <c r="AC478" t="s">
        <v>54</v>
      </c>
      <c r="AD478" t="s">
        <v>1805</v>
      </c>
    </row>
  </sheetData>
  <autoFilter ref="A1:AD46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5" customWidth="1"/>
    <col min="2" max="2" width="13" customWidth="1"/>
    <col min="3" max="3" width="21" customWidth="1"/>
    <col min="4" max="12" width="12" customWidth="1"/>
    <col min="13" max="13" width="14" customWidth="1"/>
    <col min="14" max="19" width="12" customWidth="1"/>
    <col min="20" max="20" width="14" customWidth="1"/>
    <col min="21" max="21" width="38" customWidth="1"/>
    <col min="22" max="25" width="35" customWidth="1"/>
    <col min="26" max="26" width="20" customWidth="1"/>
    <col min="27" max="27" width="17" customWidth="1"/>
    <col min="28" max="28" width="55" customWidth="1"/>
    <col min="29" max="29" width="35" customWidth="1"/>
  </cols>
  <sheetData>
    <row r="1" spans="1:31" ht="28" customHeight="1" x14ac:dyDescent="0.15">
      <c r="A1" s="1" t="s">
        <v>1565</v>
      </c>
      <c r="B1" s="1" t="s">
        <v>35</v>
      </c>
      <c r="C1" s="1" t="s">
        <v>36</v>
      </c>
      <c r="D1" s="1" t="s">
        <v>1806</v>
      </c>
      <c r="E1" s="1" t="s">
        <v>1807</v>
      </c>
      <c r="F1" s="1" t="s">
        <v>1808</v>
      </c>
      <c r="G1" s="1" t="s">
        <v>1809</v>
      </c>
      <c r="H1" s="1" t="s">
        <v>1568</v>
      </c>
      <c r="I1" s="1" t="s">
        <v>1574</v>
      </c>
      <c r="J1" s="1" t="s">
        <v>1575</v>
      </c>
      <c r="K1" s="1" t="s">
        <v>1810</v>
      </c>
      <c r="L1" s="1" t="s">
        <v>1811</v>
      </c>
      <c r="M1" s="1" t="s">
        <v>1812</v>
      </c>
      <c r="N1" s="1" t="s">
        <v>1813</v>
      </c>
      <c r="O1" s="1" t="s">
        <v>1814</v>
      </c>
      <c r="P1" s="1" t="s">
        <v>1815</v>
      </c>
      <c r="Q1" s="1" t="s">
        <v>1816</v>
      </c>
      <c r="R1" s="1" t="s">
        <v>1817</v>
      </c>
      <c r="S1" s="1" t="s">
        <v>1818</v>
      </c>
      <c r="T1" s="1" t="s">
        <v>1592</v>
      </c>
      <c r="U1" s="1" t="s">
        <v>1593</v>
      </c>
      <c r="V1" s="1" t="s">
        <v>39</v>
      </c>
      <c r="W1" s="1" t="s">
        <v>41</v>
      </c>
      <c r="X1" s="1" t="s">
        <v>1594</v>
      </c>
      <c r="Y1" s="1" t="s">
        <v>1595</v>
      </c>
      <c r="Z1" s="1" t="s">
        <v>1596</v>
      </c>
      <c r="AA1" s="1" t="s">
        <v>40</v>
      </c>
      <c r="AB1" s="1" t="s">
        <v>1597</v>
      </c>
      <c r="AC1" s="1" t="s">
        <v>37</v>
      </c>
      <c r="AD1" s="1" t="s">
        <v>1598</v>
      </c>
      <c r="AE1" s="1" t="s">
        <v>44</v>
      </c>
    </row>
    <row r="2" spans="1:31" ht="14" x14ac:dyDescent="0.15">
      <c r="A2" s="4" t="s">
        <v>1186</v>
      </c>
      <c r="B2" s="4" t="s">
        <v>49</v>
      </c>
      <c r="C2" s="4" t="s">
        <v>1188</v>
      </c>
      <c r="D2" s="4" t="s">
        <v>1819</v>
      </c>
      <c r="E2" s="7">
        <v>900</v>
      </c>
      <c r="F2" s="7">
        <v>2800</v>
      </c>
      <c r="G2" s="7">
        <v>10000</v>
      </c>
      <c r="H2" s="4"/>
      <c r="I2" s="4" t="b">
        <v>0</v>
      </c>
      <c r="J2" s="4" t="s">
        <v>1600</v>
      </c>
      <c r="K2" s="5"/>
      <c r="L2" s="5"/>
      <c r="M2" s="5" t="s">
        <v>1820</v>
      </c>
      <c r="N2" s="5"/>
      <c r="O2" s="5"/>
      <c r="P2" s="5"/>
      <c r="Q2" s="5"/>
      <c r="R2" s="5"/>
      <c r="S2" s="5"/>
      <c r="T2" s="5"/>
      <c r="U2" s="5" t="s">
        <v>1619</v>
      </c>
      <c r="V2" s="14" t="s">
        <v>69</v>
      </c>
      <c r="AC2" t="s">
        <v>1189</v>
      </c>
      <c r="AD2" t="s">
        <v>54</v>
      </c>
      <c r="AE2" t="s">
        <v>3</v>
      </c>
    </row>
    <row r="3" spans="1:31" ht="14" x14ac:dyDescent="0.15">
      <c r="A3" s="4" t="s">
        <v>1190</v>
      </c>
      <c r="B3" s="4" t="s">
        <v>49</v>
      </c>
      <c r="C3" s="4" t="s">
        <v>1191</v>
      </c>
      <c r="D3" s="4" t="s">
        <v>1819</v>
      </c>
      <c r="E3" s="7">
        <v>300</v>
      </c>
      <c r="F3" s="7">
        <v>2800</v>
      </c>
      <c r="G3" s="7">
        <v>10000</v>
      </c>
      <c r="H3" s="4"/>
      <c r="I3" s="4" t="b">
        <v>0</v>
      </c>
      <c r="J3" s="4" t="s">
        <v>1600</v>
      </c>
      <c r="K3" s="5"/>
      <c r="L3" s="5"/>
      <c r="M3" s="5" t="s">
        <v>1820</v>
      </c>
      <c r="N3" s="5"/>
      <c r="O3" s="5"/>
      <c r="P3" s="5"/>
      <c r="Q3" s="5"/>
      <c r="R3" s="5"/>
      <c r="S3" s="5"/>
      <c r="T3" s="5"/>
      <c r="U3" s="5" t="s">
        <v>1619</v>
      </c>
      <c r="V3" s="14" t="s">
        <v>69</v>
      </c>
      <c r="AC3" t="s">
        <v>1189</v>
      </c>
      <c r="AD3" t="s">
        <v>54</v>
      </c>
      <c r="AE3" t="s">
        <v>3</v>
      </c>
    </row>
    <row r="4" spans="1:31" ht="14" x14ac:dyDescent="0.15">
      <c r="A4" s="4" t="s">
        <v>1192</v>
      </c>
      <c r="B4" s="4" t="s">
        <v>49</v>
      </c>
      <c r="C4" s="4" t="s">
        <v>1193</v>
      </c>
      <c r="D4" s="4" t="s">
        <v>1819</v>
      </c>
      <c r="E4" s="7">
        <v>475</v>
      </c>
      <c r="F4" s="7">
        <v>2800</v>
      </c>
      <c r="G4" s="7">
        <v>10000</v>
      </c>
      <c r="H4" s="4"/>
      <c r="I4" s="4" t="b">
        <v>0</v>
      </c>
      <c r="J4" s="4" t="s">
        <v>1600</v>
      </c>
      <c r="K4" s="5"/>
      <c r="L4" s="5"/>
      <c r="M4" s="5" t="s">
        <v>1820</v>
      </c>
      <c r="N4" s="5"/>
      <c r="O4" s="5"/>
      <c r="P4" s="5"/>
      <c r="Q4" s="5"/>
      <c r="R4" s="5"/>
      <c r="S4" s="5"/>
      <c r="T4" s="5"/>
      <c r="U4" s="5" t="s">
        <v>1619</v>
      </c>
      <c r="V4" s="14" t="s">
        <v>69</v>
      </c>
      <c r="AC4" t="s">
        <v>1189</v>
      </c>
      <c r="AD4" t="s">
        <v>54</v>
      </c>
      <c r="AE4" t="s">
        <v>3</v>
      </c>
    </row>
    <row r="5" spans="1:31" ht="14" x14ac:dyDescent="0.15">
      <c r="A5" s="4" t="s">
        <v>1194</v>
      </c>
      <c r="B5" s="4" t="s">
        <v>49</v>
      </c>
      <c r="C5" s="4" t="s">
        <v>1195</v>
      </c>
      <c r="D5" s="4" t="s">
        <v>1819</v>
      </c>
      <c r="E5" s="7">
        <v>200</v>
      </c>
      <c r="F5" s="7">
        <v>2800</v>
      </c>
      <c r="G5" s="7">
        <v>10000</v>
      </c>
      <c r="H5" s="4"/>
      <c r="I5" s="4" t="b">
        <v>0</v>
      </c>
      <c r="J5" s="4" t="s">
        <v>1600</v>
      </c>
      <c r="K5" s="5"/>
      <c r="L5" s="5"/>
      <c r="M5" s="5" t="s">
        <v>1820</v>
      </c>
      <c r="N5" s="5"/>
      <c r="O5" s="5"/>
      <c r="P5" s="5"/>
      <c r="Q5" s="5"/>
      <c r="R5" s="5"/>
      <c r="S5" s="5"/>
      <c r="T5" s="5"/>
      <c r="U5" s="5" t="s">
        <v>1619</v>
      </c>
      <c r="V5" s="14" t="s">
        <v>69</v>
      </c>
      <c r="AC5" t="s">
        <v>1189</v>
      </c>
      <c r="AD5" t="s">
        <v>54</v>
      </c>
      <c r="AE5" t="s">
        <v>3</v>
      </c>
    </row>
    <row r="6" spans="1:31" ht="14" x14ac:dyDescent="0.15">
      <c r="A6" s="4" t="s">
        <v>1196</v>
      </c>
      <c r="B6" s="4" t="s">
        <v>49</v>
      </c>
      <c r="C6" s="4" t="s">
        <v>1197</v>
      </c>
      <c r="D6" s="4" t="s">
        <v>1821</v>
      </c>
      <c r="E6" s="7">
        <v>650</v>
      </c>
      <c r="F6" s="7">
        <v>2000</v>
      </c>
      <c r="G6" s="7">
        <v>6500</v>
      </c>
      <c r="H6" s="4"/>
      <c r="I6" s="4" t="b">
        <v>0</v>
      </c>
      <c r="J6" s="4" t="s">
        <v>1600</v>
      </c>
      <c r="K6" s="5"/>
      <c r="L6" s="5"/>
      <c r="M6" s="5" t="s">
        <v>1822</v>
      </c>
      <c r="N6" s="5"/>
      <c r="O6" s="5"/>
      <c r="P6" s="5"/>
      <c r="Q6" s="5"/>
      <c r="R6" s="5"/>
      <c r="S6" s="5"/>
      <c r="T6" s="5"/>
      <c r="U6" s="5" t="s">
        <v>1619</v>
      </c>
      <c r="V6" s="14" t="s">
        <v>69</v>
      </c>
      <c r="AC6" t="s">
        <v>1189</v>
      </c>
      <c r="AD6" t="s">
        <v>54</v>
      </c>
      <c r="AE6" t="s">
        <v>3</v>
      </c>
    </row>
    <row r="7" spans="1:31" ht="14" x14ac:dyDescent="0.15">
      <c r="A7" s="4" t="s">
        <v>1198</v>
      </c>
      <c r="B7" s="4" t="s">
        <v>49</v>
      </c>
      <c r="C7" s="4" t="s">
        <v>1199</v>
      </c>
      <c r="D7" s="4" t="s">
        <v>1823</v>
      </c>
      <c r="E7" s="7">
        <v>250</v>
      </c>
      <c r="F7" s="7">
        <v>2800</v>
      </c>
      <c r="G7" s="7">
        <v>10000</v>
      </c>
      <c r="H7" s="4"/>
      <c r="I7" s="4" t="b">
        <v>0</v>
      </c>
      <c r="J7" s="4" t="s">
        <v>1600</v>
      </c>
      <c r="K7" s="5"/>
      <c r="L7" s="5"/>
      <c r="M7" s="5" t="s">
        <v>1820</v>
      </c>
      <c r="N7" s="5"/>
      <c r="O7" s="5"/>
      <c r="P7" s="5"/>
      <c r="Q7" s="5"/>
      <c r="R7" s="5"/>
      <c r="S7" s="5"/>
      <c r="T7" s="5"/>
      <c r="U7" s="5" t="s">
        <v>1619</v>
      </c>
      <c r="V7" s="14" t="s">
        <v>69</v>
      </c>
      <c r="AC7" t="s">
        <v>1189</v>
      </c>
      <c r="AD7" t="s">
        <v>54</v>
      </c>
      <c r="AE7" t="s">
        <v>3</v>
      </c>
    </row>
    <row r="8" spans="1:31" ht="14" x14ac:dyDescent="0.15">
      <c r="A8" s="4" t="s">
        <v>1200</v>
      </c>
      <c r="B8" s="4" t="s">
        <v>49</v>
      </c>
      <c r="C8" s="4" t="s">
        <v>1201</v>
      </c>
      <c r="D8" s="4" t="s">
        <v>1823</v>
      </c>
      <c r="E8" s="7">
        <v>24000</v>
      </c>
      <c r="F8" s="7">
        <v>3200</v>
      </c>
      <c r="G8" s="7">
        <v>3200</v>
      </c>
      <c r="H8" s="4"/>
      <c r="I8" s="4" t="b">
        <v>0</v>
      </c>
      <c r="J8" s="4" t="s">
        <v>1600</v>
      </c>
      <c r="K8" s="5"/>
      <c r="L8" s="5"/>
      <c r="M8" s="5" t="s">
        <v>1824</v>
      </c>
      <c r="N8" s="5"/>
      <c r="O8" s="5"/>
      <c r="P8" s="5"/>
      <c r="Q8" s="5"/>
      <c r="R8" s="5"/>
      <c r="S8" s="5"/>
      <c r="T8" s="5"/>
      <c r="U8" s="5" t="s">
        <v>1619</v>
      </c>
      <c r="V8" s="14" t="s">
        <v>69</v>
      </c>
      <c r="AC8" t="s">
        <v>1189</v>
      </c>
      <c r="AD8" t="s">
        <v>54</v>
      </c>
      <c r="AE8" t="s">
        <v>3</v>
      </c>
    </row>
    <row r="9" spans="1:31" ht="14" x14ac:dyDescent="0.15">
      <c r="A9" s="4" t="s">
        <v>1202</v>
      </c>
      <c r="B9" s="4" t="s">
        <v>49</v>
      </c>
      <c r="C9" s="4" t="s">
        <v>1203</v>
      </c>
      <c r="D9" s="4" t="s">
        <v>1823</v>
      </c>
      <c r="E9" s="7">
        <v>12000</v>
      </c>
      <c r="F9" s="7">
        <v>3200</v>
      </c>
      <c r="G9" s="7">
        <v>3200</v>
      </c>
      <c r="H9" s="4"/>
      <c r="I9" s="4" t="b">
        <v>0</v>
      </c>
      <c r="J9" s="4" t="s">
        <v>1600</v>
      </c>
      <c r="K9" s="5"/>
      <c r="L9" s="5"/>
      <c r="M9" s="5" t="s">
        <v>1824</v>
      </c>
      <c r="N9" s="5"/>
      <c r="O9" s="5"/>
      <c r="P9" s="5"/>
      <c r="Q9" s="5"/>
      <c r="R9" s="5"/>
      <c r="S9" s="5"/>
      <c r="T9" s="5"/>
      <c r="U9" s="5" t="s">
        <v>1619</v>
      </c>
      <c r="V9" s="14" t="s">
        <v>69</v>
      </c>
      <c r="AC9" t="s">
        <v>1189</v>
      </c>
      <c r="AD9" t="s">
        <v>54</v>
      </c>
      <c r="AE9" t="s">
        <v>3</v>
      </c>
    </row>
    <row r="10" spans="1:31" ht="14" x14ac:dyDescent="0.15">
      <c r="A10" s="4" t="s">
        <v>1204</v>
      </c>
      <c r="B10" s="4" t="s">
        <v>49</v>
      </c>
      <c r="C10" s="4" t="s">
        <v>1205</v>
      </c>
      <c r="D10" s="4" t="s">
        <v>1823</v>
      </c>
      <c r="E10" s="7">
        <v>5000</v>
      </c>
      <c r="F10" s="7">
        <v>3200</v>
      </c>
      <c r="G10" s="7">
        <v>3200</v>
      </c>
      <c r="H10" s="4"/>
      <c r="I10" s="4" t="b">
        <v>0</v>
      </c>
      <c r="J10" s="4" t="s">
        <v>1600</v>
      </c>
      <c r="K10" s="5"/>
      <c r="L10" s="5"/>
      <c r="M10" s="5" t="s">
        <v>1824</v>
      </c>
      <c r="N10" s="5"/>
      <c r="O10" s="5"/>
      <c r="P10" s="5"/>
      <c r="Q10" s="5"/>
      <c r="R10" s="5"/>
      <c r="S10" s="5"/>
      <c r="T10" s="5"/>
      <c r="U10" s="5" t="s">
        <v>1619</v>
      </c>
      <c r="V10" s="14" t="s">
        <v>69</v>
      </c>
      <c r="AC10" t="s">
        <v>1189</v>
      </c>
      <c r="AD10" t="s">
        <v>54</v>
      </c>
      <c r="AE10" t="s">
        <v>3</v>
      </c>
    </row>
    <row r="11" spans="1:31" ht="14" x14ac:dyDescent="0.15">
      <c r="A11" s="4" t="s">
        <v>1206</v>
      </c>
      <c r="B11" s="4" t="s">
        <v>49</v>
      </c>
      <c r="C11" s="4" t="s">
        <v>1207</v>
      </c>
      <c r="D11" s="4" t="s">
        <v>1823</v>
      </c>
      <c r="E11" s="7">
        <v>2000</v>
      </c>
      <c r="F11" s="7">
        <v>3200</v>
      </c>
      <c r="G11" s="7">
        <v>3200</v>
      </c>
      <c r="H11" s="4"/>
      <c r="I11" s="4" t="b">
        <v>0</v>
      </c>
      <c r="J11" s="4" t="s">
        <v>1600</v>
      </c>
      <c r="K11" s="5"/>
      <c r="L11" s="5"/>
      <c r="M11" s="5" t="s">
        <v>1824</v>
      </c>
      <c r="N11" s="5"/>
      <c r="O11" s="5"/>
      <c r="P11" s="5"/>
      <c r="Q11" s="5"/>
      <c r="R11" s="5"/>
      <c r="S11" s="5"/>
      <c r="T11" s="5"/>
      <c r="U11" s="5" t="s">
        <v>1619</v>
      </c>
      <c r="V11" s="14" t="s">
        <v>69</v>
      </c>
      <c r="AC11" t="s">
        <v>1189</v>
      </c>
      <c r="AD11" t="s">
        <v>54</v>
      </c>
      <c r="AE11" t="s">
        <v>3</v>
      </c>
    </row>
    <row r="12" spans="1:31" ht="14" x14ac:dyDescent="0.15">
      <c r="A12" s="4" t="s">
        <v>1208</v>
      </c>
      <c r="B12" s="4" t="s">
        <v>49</v>
      </c>
      <c r="C12" s="4" t="s">
        <v>1209</v>
      </c>
      <c r="D12" s="4" t="s">
        <v>1825</v>
      </c>
      <c r="E12" s="7">
        <v>1800</v>
      </c>
      <c r="F12" s="7">
        <v>5600</v>
      </c>
      <c r="G12" s="7">
        <v>5600</v>
      </c>
      <c r="H12" s="4"/>
      <c r="I12" s="4" t="b">
        <v>0</v>
      </c>
      <c r="J12" s="4" t="s">
        <v>1600</v>
      </c>
      <c r="K12" s="5"/>
      <c r="L12" s="5"/>
      <c r="M12" s="5" t="s">
        <v>1826</v>
      </c>
      <c r="N12" s="5"/>
      <c r="O12" s="5"/>
      <c r="P12" s="5"/>
      <c r="Q12" s="5"/>
      <c r="R12" s="5"/>
      <c r="S12" s="5"/>
      <c r="T12" s="5"/>
      <c r="U12" s="5" t="s">
        <v>1619</v>
      </c>
      <c r="V12" s="14" t="s">
        <v>69</v>
      </c>
      <c r="AC12" t="s">
        <v>1189</v>
      </c>
      <c r="AD12" t="s">
        <v>54</v>
      </c>
      <c r="AE12" t="s">
        <v>3</v>
      </c>
    </row>
    <row r="13" spans="1:31" ht="14" x14ac:dyDescent="0.15">
      <c r="A13" s="4" t="s">
        <v>1210</v>
      </c>
      <c r="B13" s="4" t="s">
        <v>49</v>
      </c>
      <c r="C13" s="4" t="s">
        <v>1211</v>
      </c>
      <c r="D13" s="4" t="s">
        <v>1825</v>
      </c>
      <c r="E13" s="7">
        <v>4000</v>
      </c>
      <c r="F13" s="7">
        <v>5600</v>
      </c>
      <c r="G13" s="7">
        <v>5600</v>
      </c>
      <c r="H13" s="4"/>
      <c r="I13" s="4" t="b">
        <v>0</v>
      </c>
      <c r="J13" s="4" t="s">
        <v>1600</v>
      </c>
      <c r="K13" s="5"/>
      <c r="L13" s="5"/>
      <c r="M13" s="5" t="s">
        <v>1826</v>
      </c>
      <c r="N13" s="5"/>
      <c r="O13" s="5"/>
      <c r="P13" s="5"/>
      <c r="Q13" s="5"/>
      <c r="R13" s="5"/>
      <c r="S13" s="5"/>
      <c r="T13" s="5"/>
      <c r="U13" s="5" t="s">
        <v>1619</v>
      </c>
      <c r="V13" s="14" t="s">
        <v>69</v>
      </c>
      <c r="AC13" t="s">
        <v>1189</v>
      </c>
      <c r="AD13" t="s">
        <v>54</v>
      </c>
      <c r="AE13" t="s">
        <v>3</v>
      </c>
    </row>
    <row r="14" spans="1:31" ht="14" x14ac:dyDescent="0.15">
      <c r="A14" s="4" t="s">
        <v>1212</v>
      </c>
      <c r="B14" s="4" t="s">
        <v>49</v>
      </c>
      <c r="C14" s="4" t="s">
        <v>1213</v>
      </c>
      <c r="D14" s="4" t="s">
        <v>1827</v>
      </c>
      <c r="E14" s="7">
        <v>600</v>
      </c>
      <c r="F14" s="7">
        <v>2800</v>
      </c>
      <c r="G14" s="7">
        <v>10000</v>
      </c>
      <c r="H14" s="4"/>
      <c r="I14" s="4" t="b">
        <v>0</v>
      </c>
      <c r="J14" s="4" t="s">
        <v>1600</v>
      </c>
      <c r="K14" s="5"/>
      <c r="L14" s="5"/>
      <c r="M14" s="5" t="s">
        <v>1820</v>
      </c>
      <c r="N14" s="5"/>
      <c r="O14" s="5"/>
      <c r="P14" s="5"/>
      <c r="Q14" s="5"/>
      <c r="R14" s="5"/>
      <c r="S14" s="5"/>
      <c r="T14" s="5"/>
      <c r="U14" s="5" t="s">
        <v>1619</v>
      </c>
      <c r="V14" s="14" t="s">
        <v>69</v>
      </c>
      <c r="AC14" t="s">
        <v>1189</v>
      </c>
      <c r="AD14" t="s">
        <v>54</v>
      </c>
      <c r="AE14" t="s">
        <v>3</v>
      </c>
    </row>
    <row r="15" spans="1:31" ht="14" x14ac:dyDescent="0.15">
      <c r="A15" s="4" t="s">
        <v>1214</v>
      </c>
      <c r="B15" s="4" t="s">
        <v>49</v>
      </c>
      <c r="C15" s="4" t="s">
        <v>1215</v>
      </c>
      <c r="D15" s="4" t="s">
        <v>1825</v>
      </c>
      <c r="E15" s="7">
        <v>12000</v>
      </c>
      <c r="F15" s="7">
        <v>5600</v>
      </c>
      <c r="G15" s="7">
        <v>5600</v>
      </c>
      <c r="H15" s="4"/>
      <c r="I15" s="4" t="b">
        <v>0</v>
      </c>
      <c r="J15" s="4" t="s">
        <v>1600</v>
      </c>
      <c r="K15" s="5"/>
      <c r="L15" s="5"/>
      <c r="M15" s="5" t="s">
        <v>1826</v>
      </c>
      <c r="N15" s="5"/>
      <c r="O15" s="5"/>
      <c r="P15" s="5"/>
      <c r="Q15" s="5"/>
      <c r="R15" s="5"/>
      <c r="S15" s="5"/>
      <c r="T15" s="5"/>
      <c r="U15" s="5" t="s">
        <v>1619</v>
      </c>
      <c r="V15" s="14" t="s">
        <v>69</v>
      </c>
      <c r="AC15" t="s">
        <v>1189</v>
      </c>
      <c r="AD15" t="s">
        <v>54</v>
      </c>
      <c r="AE15" t="s">
        <v>3</v>
      </c>
    </row>
    <row r="16" spans="1:31" ht="14" x14ac:dyDescent="0.15">
      <c r="A16" s="4" t="s">
        <v>1216</v>
      </c>
      <c r="B16" s="4" t="s">
        <v>49</v>
      </c>
      <c r="C16" s="4" t="s">
        <v>1217</v>
      </c>
      <c r="D16" s="4" t="s">
        <v>1825</v>
      </c>
      <c r="E16" s="7">
        <v>8000</v>
      </c>
      <c r="F16" s="7">
        <v>5600</v>
      </c>
      <c r="G16" s="7">
        <v>5600</v>
      </c>
      <c r="H16" s="4"/>
      <c r="I16" s="4" t="b">
        <v>0</v>
      </c>
      <c r="J16" s="4" t="s">
        <v>1600</v>
      </c>
      <c r="K16" s="5"/>
      <c r="L16" s="5"/>
      <c r="M16" s="5" t="s">
        <v>1826</v>
      </c>
      <c r="N16" s="5"/>
      <c r="O16" s="5"/>
      <c r="P16" s="5"/>
      <c r="Q16" s="5"/>
      <c r="R16" s="5"/>
      <c r="S16" s="5"/>
      <c r="T16" s="5"/>
      <c r="U16" s="5" t="s">
        <v>1619</v>
      </c>
      <c r="V16" s="14" t="s">
        <v>69</v>
      </c>
      <c r="AC16" t="s">
        <v>1189</v>
      </c>
      <c r="AD16" t="s">
        <v>54</v>
      </c>
      <c r="AE16" t="s">
        <v>3</v>
      </c>
    </row>
    <row r="17" spans="1:31" ht="14" x14ac:dyDescent="0.15">
      <c r="A17" s="4" t="s">
        <v>1218</v>
      </c>
      <c r="B17" s="4" t="s">
        <v>49</v>
      </c>
      <c r="C17" s="4" t="s">
        <v>1219</v>
      </c>
      <c r="D17" s="4" t="s">
        <v>1823</v>
      </c>
      <c r="E17" s="7">
        <v>150</v>
      </c>
      <c r="F17" s="7">
        <v>2800</v>
      </c>
      <c r="G17" s="7">
        <v>10000</v>
      </c>
      <c r="H17" s="4"/>
      <c r="I17" s="4" t="b">
        <v>0</v>
      </c>
      <c r="J17" s="4" t="s">
        <v>1600</v>
      </c>
      <c r="K17" s="5"/>
      <c r="L17" s="5"/>
      <c r="M17" s="5" t="s">
        <v>1820</v>
      </c>
      <c r="N17" s="5"/>
      <c r="O17" s="5"/>
      <c r="P17" s="5"/>
      <c r="Q17" s="5"/>
      <c r="R17" s="5"/>
      <c r="S17" s="5"/>
      <c r="T17" s="5"/>
      <c r="U17" s="5" t="s">
        <v>1619</v>
      </c>
      <c r="V17" s="14" t="s">
        <v>69</v>
      </c>
      <c r="AC17" t="s">
        <v>1189</v>
      </c>
      <c r="AD17" t="s">
        <v>54</v>
      </c>
      <c r="AE17" t="s">
        <v>3</v>
      </c>
    </row>
    <row r="18" spans="1:31" ht="14" x14ac:dyDescent="0.15">
      <c r="A18" s="4" t="s">
        <v>1220</v>
      </c>
      <c r="B18" s="4" t="s">
        <v>49</v>
      </c>
      <c r="C18" s="4" t="s">
        <v>1221</v>
      </c>
      <c r="D18" s="4" t="s">
        <v>1819</v>
      </c>
      <c r="E18" s="7">
        <v>475</v>
      </c>
      <c r="F18" s="7">
        <v>2800</v>
      </c>
      <c r="G18" s="7">
        <v>10000</v>
      </c>
      <c r="H18" s="4"/>
      <c r="I18" s="4" t="b">
        <v>0</v>
      </c>
      <c r="J18" s="4" t="s">
        <v>1600</v>
      </c>
      <c r="K18" s="5"/>
      <c r="L18" s="5"/>
      <c r="M18" s="5" t="s">
        <v>1820</v>
      </c>
      <c r="N18" s="5"/>
      <c r="O18" s="5"/>
      <c r="P18" s="5"/>
      <c r="Q18" s="5"/>
      <c r="R18" s="5"/>
      <c r="S18" s="5"/>
      <c r="T18" s="5"/>
      <c r="U18" s="5" t="s">
        <v>1619</v>
      </c>
      <c r="V18" s="14" t="s">
        <v>69</v>
      </c>
      <c r="AC18" t="s">
        <v>1189</v>
      </c>
      <c r="AD18" t="s">
        <v>54</v>
      </c>
      <c r="AE18" t="s">
        <v>3</v>
      </c>
    </row>
    <row r="19" spans="1:31" ht="14" x14ac:dyDescent="0.15">
      <c r="A19" s="4" t="s">
        <v>1222</v>
      </c>
      <c r="B19" s="4" t="s">
        <v>1223</v>
      </c>
      <c r="C19" s="4" t="s">
        <v>1224</v>
      </c>
      <c r="D19" s="4" t="s">
        <v>1825</v>
      </c>
      <c r="E19" s="7">
        <v>1200</v>
      </c>
      <c r="F19" s="7">
        <v>5600</v>
      </c>
      <c r="G19" s="7">
        <v>5600</v>
      </c>
      <c r="H19" s="4"/>
      <c r="I19" s="4" t="b">
        <v>0</v>
      </c>
      <c r="J19" s="4" t="s">
        <v>1600</v>
      </c>
      <c r="K19" s="5"/>
      <c r="L19" s="5"/>
      <c r="M19" s="5" t="s">
        <v>1826</v>
      </c>
      <c r="N19" s="5"/>
      <c r="O19" s="5"/>
      <c r="P19" s="5"/>
      <c r="Q19" s="5"/>
      <c r="R19" s="5"/>
      <c r="S19" s="5"/>
      <c r="T19" s="5"/>
      <c r="U19" s="5" t="s">
        <v>1619</v>
      </c>
      <c r="V19" s="14" t="s">
        <v>69</v>
      </c>
      <c r="AC19" t="s">
        <v>1189</v>
      </c>
      <c r="AD19" t="s">
        <v>54</v>
      </c>
      <c r="AE19" t="s">
        <v>3</v>
      </c>
    </row>
    <row r="20" spans="1:31" ht="14" x14ac:dyDescent="0.15">
      <c r="A20" s="4" t="s">
        <v>1225</v>
      </c>
      <c r="B20" s="4" t="s">
        <v>1223</v>
      </c>
      <c r="C20" s="4" t="s">
        <v>1226</v>
      </c>
      <c r="D20" s="4" t="s">
        <v>1821</v>
      </c>
      <c r="E20" s="7">
        <v>600</v>
      </c>
      <c r="F20" s="7">
        <v>5600</v>
      </c>
      <c r="G20" s="7">
        <v>5600</v>
      </c>
      <c r="H20" s="4"/>
      <c r="I20" s="4" t="b">
        <v>0</v>
      </c>
      <c r="J20" s="4" t="s">
        <v>1600</v>
      </c>
      <c r="K20" s="5"/>
      <c r="L20" s="5"/>
      <c r="M20" s="5" t="s">
        <v>1826</v>
      </c>
      <c r="N20" s="5"/>
      <c r="O20" s="5"/>
      <c r="P20" s="5"/>
      <c r="Q20" s="5"/>
      <c r="R20" s="5"/>
      <c r="S20" s="5"/>
      <c r="T20" s="5"/>
      <c r="U20" s="5" t="s">
        <v>1619</v>
      </c>
      <c r="V20" s="14" t="s">
        <v>69</v>
      </c>
      <c r="AC20" t="s">
        <v>1189</v>
      </c>
      <c r="AD20" t="s">
        <v>54</v>
      </c>
      <c r="AE20" t="s">
        <v>3</v>
      </c>
    </row>
    <row r="21" spans="1:31" ht="14" x14ac:dyDescent="0.15">
      <c r="A21" s="4" t="s">
        <v>1227</v>
      </c>
      <c r="B21" s="4" t="s">
        <v>1223</v>
      </c>
      <c r="C21" s="4" t="s">
        <v>1228</v>
      </c>
      <c r="D21" s="4" t="s">
        <v>1821</v>
      </c>
      <c r="E21" s="7">
        <v>600</v>
      </c>
      <c r="F21" s="7">
        <v>2700</v>
      </c>
      <c r="G21" s="7">
        <v>6500</v>
      </c>
      <c r="H21" s="4"/>
      <c r="I21" s="4" t="b">
        <v>0</v>
      </c>
      <c r="J21" s="4" t="s">
        <v>1600</v>
      </c>
      <c r="K21" s="5"/>
      <c r="L21" s="5"/>
      <c r="M21" s="5" t="s">
        <v>1828</v>
      </c>
      <c r="N21" s="5"/>
      <c r="O21" s="5"/>
      <c r="P21" s="5"/>
      <c r="Q21" s="5"/>
      <c r="R21" s="5"/>
      <c r="S21" s="5"/>
      <c r="T21" s="5"/>
      <c r="U21" s="5" t="s">
        <v>1619</v>
      </c>
      <c r="V21" s="14" t="s">
        <v>69</v>
      </c>
      <c r="AC21" t="s">
        <v>1189</v>
      </c>
      <c r="AD21" t="s">
        <v>54</v>
      </c>
      <c r="AE21" t="s">
        <v>3</v>
      </c>
    </row>
    <row r="22" spans="1:31" ht="14" x14ac:dyDescent="0.15">
      <c r="A22" s="4" t="s">
        <v>1229</v>
      </c>
      <c r="B22" s="4" t="s">
        <v>1223</v>
      </c>
      <c r="C22" s="4" t="s">
        <v>1230</v>
      </c>
      <c r="D22" s="4" t="s">
        <v>1821</v>
      </c>
      <c r="E22" s="7">
        <v>350</v>
      </c>
      <c r="F22" s="7">
        <v>2700</v>
      </c>
      <c r="G22" s="7">
        <v>6500</v>
      </c>
      <c r="H22" s="4"/>
      <c r="I22" s="4" t="b">
        <v>0</v>
      </c>
      <c r="J22" s="4" t="s">
        <v>1600</v>
      </c>
      <c r="K22" s="5"/>
      <c r="L22" s="5"/>
      <c r="M22" s="5" t="s">
        <v>1828</v>
      </c>
      <c r="N22" s="5"/>
      <c r="O22" s="5"/>
      <c r="P22" s="5"/>
      <c r="Q22" s="5"/>
      <c r="R22" s="5"/>
      <c r="S22" s="5"/>
      <c r="T22" s="5"/>
      <c r="U22" s="5" t="s">
        <v>1619</v>
      </c>
      <c r="V22" s="14" t="s">
        <v>69</v>
      </c>
      <c r="AC22" t="s">
        <v>1189</v>
      </c>
      <c r="AD22" t="s">
        <v>54</v>
      </c>
      <c r="AE22" t="s">
        <v>3</v>
      </c>
    </row>
    <row r="23" spans="1:31" ht="14" x14ac:dyDescent="0.15">
      <c r="A23" s="4" t="s">
        <v>1231</v>
      </c>
      <c r="B23" s="4" t="s">
        <v>1223</v>
      </c>
      <c r="C23" s="4" t="s">
        <v>1232</v>
      </c>
      <c r="D23" s="4" t="s">
        <v>1821</v>
      </c>
      <c r="E23" s="7">
        <v>135</v>
      </c>
      <c r="F23" s="7">
        <v>5600</v>
      </c>
      <c r="G23" s="7">
        <v>5600</v>
      </c>
      <c r="H23" s="4"/>
      <c r="I23" s="4" t="b">
        <v>0</v>
      </c>
      <c r="J23" s="4" t="s">
        <v>1600</v>
      </c>
      <c r="K23" s="5"/>
      <c r="L23" s="5"/>
      <c r="M23" s="5" t="s">
        <v>1826</v>
      </c>
      <c r="N23" s="5"/>
      <c r="O23" s="5"/>
      <c r="P23" s="5"/>
      <c r="Q23" s="5"/>
      <c r="R23" s="5"/>
      <c r="S23" s="5"/>
      <c r="T23" s="5"/>
      <c r="U23" s="5" t="s">
        <v>1619</v>
      </c>
      <c r="V23" s="14" t="s">
        <v>69</v>
      </c>
      <c r="AC23" t="s">
        <v>1189</v>
      </c>
      <c r="AD23" t="s">
        <v>54</v>
      </c>
      <c r="AE23" t="s">
        <v>3</v>
      </c>
    </row>
    <row r="24" spans="1:31" ht="14" x14ac:dyDescent="0.15">
      <c r="A24" s="4" t="s">
        <v>1233</v>
      </c>
      <c r="B24" s="4" t="s">
        <v>1223</v>
      </c>
      <c r="C24" s="4" t="s">
        <v>1234</v>
      </c>
      <c r="D24" s="4" t="s">
        <v>1819</v>
      </c>
      <c r="E24" s="7">
        <v>12</v>
      </c>
      <c r="F24" s="7">
        <v>2000</v>
      </c>
      <c r="G24" s="7">
        <v>10000</v>
      </c>
      <c r="H24" s="4"/>
      <c r="I24" s="4" t="b">
        <v>0</v>
      </c>
      <c r="J24" s="4" t="s">
        <v>1600</v>
      </c>
      <c r="K24" s="5"/>
      <c r="L24" s="5"/>
      <c r="M24" s="5" t="s">
        <v>1829</v>
      </c>
      <c r="N24" s="5"/>
      <c r="O24" s="5"/>
      <c r="P24" s="5"/>
      <c r="Q24" s="5"/>
      <c r="R24" s="5"/>
      <c r="S24" s="5"/>
      <c r="T24" s="5"/>
      <c r="U24" s="5" t="s">
        <v>1619</v>
      </c>
      <c r="V24" s="14" t="s">
        <v>69</v>
      </c>
      <c r="AC24" t="s">
        <v>1189</v>
      </c>
      <c r="AD24" t="s">
        <v>54</v>
      </c>
      <c r="AE24" t="s">
        <v>3</v>
      </c>
    </row>
    <row r="25" spans="1:31" ht="14" x14ac:dyDescent="0.15">
      <c r="A25" s="4" t="s">
        <v>1235</v>
      </c>
      <c r="B25" s="4" t="s">
        <v>1223</v>
      </c>
      <c r="C25" s="4" t="s">
        <v>1236</v>
      </c>
      <c r="D25" s="4" t="s">
        <v>1830</v>
      </c>
      <c r="E25" s="7">
        <v>120</v>
      </c>
      <c r="F25" s="7">
        <v>2000</v>
      </c>
      <c r="G25" s="7">
        <v>10000</v>
      </c>
      <c r="H25" s="4"/>
      <c r="I25" s="4" t="b">
        <v>0</v>
      </c>
      <c r="J25" s="4" t="s">
        <v>1600</v>
      </c>
      <c r="K25" s="5"/>
      <c r="L25" s="5"/>
      <c r="M25" s="5" t="s">
        <v>1829</v>
      </c>
      <c r="N25" s="5"/>
      <c r="O25" s="5"/>
      <c r="P25" s="5"/>
      <c r="Q25" s="5"/>
      <c r="R25" s="5"/>
      <c r="S25" s="5"/>
      <c r="T25" s="5"/>
      <c r="U25" s="5" t="s">
        <v>1619</v>
      </c>
      <c r="V25" s="14" t="s">
        <v>69</v>
      </c>
      <c r="AC25" t="s">
        <v>1189</v>
      </c>
      <c r="AD25" t="s">
        <v>54</v>
      </c>
      <c r="AE25" t="s">
        <v>3</v>
      </c>
    </row>
    <row r="26" spans="1:31" ht="14" x14ac:dyDescent="0.15">
      <c r="A26" s="4" t="s">
        <v>1237</v>
      </c>
      <c r="B26" s="4" t="s">
        <v>1223</v>
      </c>
      <c r="C26" s="4" t="s">
        <v>1238</v>
      </c>
      <c r="D26" s="4" t="s">
        <v>1821</v>
      </c>
      <c r="E26" s="7">
        <v>200</v>
      </c>
      <c r="F26" s="7">
        <v>2700</v>
      </c>
      <c r="G26" s="7">
        <v>6500</v>
      </c>
      <c r="H26" s="4"/>
      <c r="I26" s="4" t="b">
        <v>0</v>
      </c>
      <c r="J26" s="4" t="s">
        <v>1600</v>
      </c>
      <c r="K26" s="5"/>
      <c r="L26" s="5"/>
      <c r="M26" s="5" t="s">
        <v>1828</v>
      </c>
      <c r="N26" s="5"/>
      <c r="O26" s="5"/>
      <c r="P26" s="5"/>
      <c r="Q26" s="5"/>
      <c r="R26" s="5"/>
      <c r="S26" s="5"/>
      <c r="T26" s="5"/>
      <c r="U26" s="5" t="s">
        <v>1619</v>
      </c>
      <c r="V26" s="14" t="s">
        <v>69</v>
      </c>
      <c r="AC26" t="s">
        <v>1189</v>
      </c>
      <c r="AD26" t="s">
        <v>54</v>
      </c>
      <c r="AE26" t="s">
        <v>3</v>
      </c>
    </row>
    <row r="27" spans="1:31" ht="14" x14ac:dyDescent="0.15">
      <c r="A27" s="4" t="s">
        <v>1239</v>
      </c>
      <c r="B27" s="4" t="s">
        <v>1223</v>
      </c>
      <c r="C27" s="4" t="s">
        <v>1240</v>
      </c>
      <c r="D27" s="4" t="s">
        <v>1830</v>
      </c>
      <c r="E27" s="7">
        <v>40</v>
      </c>
      <c r="F27" s="7">
        <v>2000</v>
      </c>
      <c r="G27" s="7">
        <v>10000</v>
      </c>
      <c r="H27" s="4"/>
      <c r="I27" s="4" t="b">
        <v>0</v>
      </c>
      <c r="J27" s="4" t="s">
        <v>1600</v>
      </c>
      <c r="K27" s="5"/>
      <c r="L27" s="5"/>
      <c r="M27" s="5" t="s">
        <v>1829</v>
      </c>
      <c r="N27" s="5"/>
      <c r="O27" s="5"/>
      <c r="P27" s="5"/>
      <c r="Q27" s="5"/>
      <c r="R27" s="5"/>
      <c r="S27" s="5"/>
      <c r="T27" s="5"/>
      <c r="U27" s="5" t="s">
        <v>1619</v>
      </c>
      <c r="V27" s="14" t="s">
        <v>69</v>
      </c>
      <c r="AC27" t="s">
        <v>1189</v>
      </c>
      <c r="AD27" t="s">
        <v>54</v>
      </c>
      <c r="AE27" t="s">
        <v>3</v>
      </c>
    </row>
    <row r="28" spans="1:31" ht="14" x14ac:dyDescent="0.15">
      <c r="A28" s="4" t="s">
        <v>1241</v>
      </c>
      <c r="B28" s="4" t="s">
        <v>1223</v>
      </c>
      <c r="C28" s="4" t="s">
        <v>1242</v>
      </c>
      <c r="D28" s="4" t="s">
        <v>1821</v>
      </c>
      <c r="E28" s="7">
        <v>600</v>
      </c>
      <c r="F28" s="7">
        <v>2700</v>
      </c>
      <c r="G28" s="7">
        <v>6500</v>
      </c>
      <c r="H28" s="4"/>
      <c r="I28" s="4" t="b">
        <v>0</v>
      </c>
      <c r="J28" s="4" t="s">
        <v>1600</v>
      </c>
      <c r="K28" s="5"/>
      <c r="L28" s="5"/>
      <c r="M28" s="5" t="s">
        <v>1828</v>
      </c>
      <c r="N28" s="5"/>
      <c r="O28" s="5"/>
      <c r="P28" s="5"/>
      <c r="Q28" s="5"/>
      <c r="R28" s="5"/>
      <c r="S28" s="5"/>
      <c r="T28" s="5"/>
      <c r="U28" s="5" t="s">
        <v>1619</v>
      </c>
      <c r="V28" s="14" t="s">
        <v>69</v>
      </c>
      <c r="AC28" t="s">
        <v>1189</v>
      </c>
      <c r="AD28" t="s">
        <v>54</v>
      </c>
      <c r="AE28" t="s">
        <v>3</v>
      </c>
    </row>
    <row r="29" spans="1:31" ht="14" x14ac:dyDescent="0.15">
      <c r="A29" s="4" t="s">
        <v>1243</v>
      </c>
      <c r="B29" s="4" t="s">
        <v>1223</v>
      </c>
      <c r="C29" s="4" t="s">
        <v>1244</v>
      </c>
      <c r="D29" s="4" t="s">
        <v>1821</v>
      </c>
      <c r="E29" s="7">
        <v>1200</v>
      </c>
      <c r="F29" s="7">
        <v>5600</v>
      </c>
      <c r="G29" s="7">
        <v>5600</v>
      </c>
      <c r="H29" s="4"/>
      <c r="I29" s="4" t="b">
        <v>0</v>
      </c>
      <c r="J29" s="4" t="s">
        <v>1600</v>
      </c>
      <c r="K29" s="5"/>
      <c r="L29" s="5"/>
      <c r="M29" s="5" t="s">
        <v>1826</v>
      </c>
      <c r="N29" s="5"/>
      <c r="O29" s="5"/>
      <c r="P29" s="5"/>
      <c r="Q29" s="5"/>
      <c r="R29" s="5"/>
      <c r="S29" s="5"/>
      <c r="T29" s="5"/>
      <c r="U29" s="5" t="s">
        <v>1619</v>
      </c>
      <c r="V29" s="14" t="s">
        <v>69</v>
      </c>
      <c r="AC29" t="s">
        <v>1189</v>
      </c>
      <c r="AD29" t="s">
        <v>54</v>
      </c>
      <c r="AE29" t="s">
        <v>3</v>
      </c>
    </row>
    <row r="30" spans="1:31" ht="14" x14ac:dyDescent="0.15">
      <c r="A30" s="4" t="s">
        <v>1245</v>
      </c>
      <c r="B30" s="4" t="s">
        <v>1223</v>
      </c>
      <c r="C30" s="4" t="s">
        <v>1246</v>
      </c>
      <c r="D30" s="4" t="s">
        <v>1819</v>
      </c>
      <c r="E30" s="7">
        <v>300</v>
      </c>
      <c r="F30" s="7">
        <v>2000</v>
      </c>
      <c r="G30" s="7">
        <v>10000</v>
      </c>
      <c r="H30" s="4"/>
      <c r="I30" s="4" t="b">
        <v>0</v>
      </c>
      <c r="J30" s="4" t="s">
        <v>1600</v>
      </c>
      <c r="K30" s="5"/>
      <c r="L30" s="5"/>
      <c r="M30" s="5" t="s">
        <v>1829</v>
      </c>
      <c r="N30" s="5"/>
      <c r="O30" s="5"/>
      <c r="P30" s="5"/>
      <c r="Q30" s="5"/>
      <c r="R30" s="5"/>
      <c r="S30" s="5"/>
      <c r="T30" s="5"/>
      <c r="U30" s="5" t="s">
        <v>1619</v>
      </c>
      <c r="V30" s="14" t="s">
        <v>69</v>
      </c>
      <c r="AC30" t="s">
        <v>1189</v>
      </c>
      <c r="AD30" t="s">
        <v>54</v>
      </c>
      <c r="AE30" t="s">
        <v>3</v>
      </c>
    </row>
    <row r="31" spans="1:31" ht="14" x14ac:dyDescent="0.15">
      <c r="A31" s="4" t="s">
        <v>1247</v>
      </c>
      <c r="B31" s="4" t="s">
        <v>1223</v>
      </c>
      <c r="C31" s="4" t="s">
        <v>1248</v>
      </c>
      <c r="D31" s="4" t="s">
        <v>1819</v>
      </c>
      <c r="E31" s="7">
        <v>48</v>
      </c>
      <c r="F31" s="7">
        <v>2000</v>
      </c>
      <c r="G31" s="7">
        <v>10000</v>
      </c>
      <c r="H31" s="4"/>
      <c r="I31" s="4" t="b">
        <v>0</v>
      </c>
      <c r="J31" s="4" t="s">
        <v>1600</v>
      </c>
      <c r="K31" s="5"/>
      <c r="L31" s="5"/>
      <c r="M31" s="5" t="s">
        <v>1829</v>
      </c>
      <c r="N31" s="5"/>
      <c r="O31" s="5"/>
      <c r="P31" s="5"/>
      <c r="Q31" s="5"/>
      <c r="R31" s="5"/>
      <c r="S31" s="5"/>
      <c r="T31" s="5"/>
      <c r="U31" s="5" t="s">
        <v>1619</v>
      </c>
      <c r="V31" s="14" t="s">
        <v>69</v>
      </c>
      <c r="AC31" t="s">
        <v>1189</v>
      </c>
      <c r="AD31" t="s">
        <v>54</v>
      </c>
      <c r="AE31" t="s">
        <v>3</v>
      </c>
    </row>
    <row r="32" spans="1:31" ht="14" x14ac:dyDescent="0.15">
      <c r="A32" s="4" t="s">
        <v>1249</v>
      </c>
      <c r="B32" s="4" t="s">
        <v>1223</v>
      </c>
      <c r="C32" s="4" t="s">
        <v>1250</v>
      </c>
      <c r="D32" s="4" t="s">
        <v>1821</v>
      </c>
      <c r="E32" s="7">
        <v>800</v>
      </c>
      <c r="F32" s="7">
        <v>5600</v>
      </c>
      <c r="G32" s="7">
        <v>5600</v>
      </c>
      <c r="H32" s="4"/>
      <c r="I32" s="4" t="b">
        <v>0</v>
      </c>
      <c r="J32" s="4" t="s">
        <v>1600</v>
      </c>
      <c r="K32" s="5"/>
      <c r="L32" s="5"/>
      <c r="M32" s="5" t="s">
        <v>1826</v>
      </c>
      <c r="N32" s="5"/>
      <c r="O32" s="5"/>
      <c r="P32" s="5"/>
      <c r="Q32" s="5"/>
      <c r="R32" s="5"/>
      <c r="S32" s="5"/>
      <c r="T32" s="5"/>
      <c r="U32" s="5" t="s">
        <v>1619</v>
      </c>
      <c r="V32" s="14" t="s">
        <v>69</v>
      </c>
      <c r="AC32" t="s">
        <v>1189</v>
      </c>
      <c r="AD32" t="s">
        <v>54</v>
      </c>
      <c r="AE32" t="s">
        <v>3</v>
      </c>
    </row>
    <row r="33" spans="1:31" ht="14" x14ac:dyDescent="0.15">
      <c r="A33" s="4" t="s">
        <v>1251</v>
      </c>
      <c r="B33" s="4" t="s">
        <v>1223</v>
      </c>
      <c r="C33" s="4" t="s">
        <v>1252</v>
      </c>
      <c r="D33" s="4" t="s">
        <v>1830</v>
      </c>
      <c r="E33" s="7">
        <v>80</v>
      </c>
      <c r="F33" s="7">
        <v>2000</v>
      </c>
      <c r="G33" s="7">
        <v>10000</v>
      </c>
      <c r="H33" s="4"/>
      <c r="I33" s="4" t="b">
        <v>0</v>
      </c>
      <c r="J33" s="4" t="s">
        <v>1600</v>
      </c>
      <c r="K33" s="5"/>
      <c r="L33" s="5"/>
      <c r="M33" s="5" t="s">
        <v>1829</v>
      </c>
      <c r="N33" s="5"/>
      <c r="O33" s="5"/>
      <c r="P33" s="5"/>
      <c r="Q33" s="5"/>
      <c r="R33" s="5"/>
      <c r="S33" s="5"/>
      <c r="T33" s="5"/>
      <c r="U33" s="5" t="s">
        <v>1619</v>
      </c>
      <c r="V33" s="14" t="s">
        <v>69</v>
      </c>
      <c r="AC33" t="s">
        <v>1189</v>
      </c>
      <c r="AD33" t="s">
        <v>54</v>
      </c>
      <c r="AE33" t="s">
        <v>3</v>
      </c>
    </row>
    <row r="34" spans="1:31" ht="14" x14ac:dyDescent="0.15">
      <c r="A34" s="4" t="s">
        <v>1253</v>
      </c>
      <c r="B34" s="4" t="s">
        <v>1254</v>
      </c>
      <c r="C34" s="4" t="s">
        <v>1255</v>
      </c>
      <c r="D34" s="4" t="s">
        <v>1830</v>
      </c>
      <c r="E34" s="7">
        <v>40</v>
      </c>
      <c r="F34" s="7">
        <v>1800</v>
      </c>
      <c r="G34" s="7">
        <v>20000</v>
      </c>
      <c r="H34" s="4"/>
      <c r="I34" s="4" t="b">
        <v>0</v>
      </c>
      <c r="J34" s="4" t="s">
        <v>1600</v>
      </c>
      <c r="K34" s="5"/>
      <c r="L34" s="5"/>
      <c r="M34" s="5" t="s">
        <v>1831</v>
      </c>
      <c r="N34" s="5"/>
      <c r="O34" s="5"/>
      <c r="P34" s="5"/>
      <c r="Q34" s="5"/>
      <c r="R34" s="5"/>
      <c r="S34" s="5"/>
      <c r="T34" s="5"/>
      <c r="U34" s="5" t="s">
        <v>1619</v>
      </c>
      <c r="V34" s="14" t="s">
        <v>69</v>
      </c>
      <c r="AC34" t="s">
        <v>1189</v>
      </c>
      <c r="AD34" t="s">
        <v>54</v>
      </c>
      <c r="AE34" t="s">
        <v>3</v>
      </c>
    </row>
    <row r="35" spans="1:31" ht="14" x14ac:dyDescent="0.15">
      <c r="A35" s="4" t="s">
        <v>1256</v>
      </c>
      <c r="B35" s="4" t="s">
        <v>1254</v>
      </c>
      <c r="C35" s="4" t="s">
        <v>1257</v>
      </c>
      <c r="D35" s="4" t="s">
        <v>1830</v>
      </c>
      <c r="E35" s="7">
        <v>25</v>
      </c>
      <c r="F35" s="7">
        <v>1800</v>
      </c>
      <c r="G35" s="7">
        <v>20000</v>
      </c>
      <c r="H35" s="4"/>
      <c r="I35" s="4" t="b">
        <v>0</v>
      </c>
      <c r="J35" s="4" t="s">
        <v>1600</v>
      </c>
      <c r="K35" s="5"/>
      <c r="L35" s="5"/>
      <c r="M35" s="5" t="s">
        <v>1831</v>
      </c>
      <c r="N35" s="5"/>
      <c r="O35" s="5"/>
      <c r="P35" s="5"/>
      <c r="Q35" s="5"/>
      <c r="R35" s="5"/>
      <c r="S35" s="5"/>
      <c r="T35" s="5"/>
      <c r="U35" s="5" t="s">
        <v>1619</v>
      </c>
      <c r="V35" s="14" t="s">
        <v>69</v>
      </c>
      <c r="AC35" t="s">
        <v>1189</v>
      </c>
      <c r="AD35" t="s">
        <v>54</v>
      </c>
      <c r="AE35" t="s">
        <v>3</v>
      </c>
    </row>
    <row r="36" spans="1:31" ht="14" x14ac:dyDescent="0.15">
      <c r="A36" s="4" t="s">
        <v>1258</v>
      </c>
      <c r="B36" s="4" t="s">
        <v>1254</v>
      </c>
      <c r="C36" s="4" t="s">
        <v>1259</v>
      </c>
      <c r="D36" s="4" t="s">
        <v>1830</v>
      </c>
      <c r="E36" s="7">
        <v>60</v>
      </c>
      <c r="F36" s="7">
        <v>1800</v>
      </c>
      <c r="G36" s="7">
        <v>20000</v>
      </c>
      <c r="H36" s="4"/>
      <c r="I36" s="4" t="b">
        <v>0</v>
      </c>
      <c r="J36" s="4" t="s">
        <v>1600</v>
      </c>
      <c r="K36" s="5"/>
      <c r="L36" s="5"/>
      <c r="M36" s="5" t="s">
        <v>1831</v>
      </c>
      <c r="N36" s="5"/>
      <c r="O36" s="5"/>
      <c r="P36" s="5"/>
      <c r="Q36" s="5"/>
      <c r="R36" s="5"/>
      <c r="S36" s="5"/>
      <c r="T36" s="5"/>
      <c r="U36" s="5" t="s">
        <v>1619</v>
      </c>
      <c r="V36" s="14" t="s">
        <v>69</v>
      </c>
      <c r="AC36" t="s">
        <v>1189</v>
      </c>
      <c r="AD36" t="s">
        <v>54</v>
      </c>
      <c r="AE36" t="s">
        <v>3</v>
      </c>
    </row>
    <row r="37" spans="1:31" ht="14" x14ac:dyDescent="0.15">
      <c r="A37" s="4" t="s">
        <v>1260</v>
      </c>
      <c r="B37" s="4" t="s">
        <v>1254</v>
      </c>
      <c r="C37" s="4" t="s">
        <v>1261</v>
      </c>
      <c r="D37" s="4" t="s">
        <v>1821</v>
      </c>
      <c r="E37" s="7">
        <v>8</v>
      </c>
      <c r="F37" s="7">
        <v>1800</v>
      </c>
      <c r="G37" s="7">
        <v>20000</v>
      </c>
      <c r="H37" s="4"/>
      <c r="I37" s="4" t="b">
        <v>0</v>
      </c>
      <c r="J37" s="4" t="s">
        <v>1600</v>
      </c>
      <c r="K37" s="5"/>
      <c r="L37" s="5"/>
      <c r="M37" s="5" t="s">
        <v>1831</v>
      </c>
      <c r="N37" s="5"/>
      <c r="O37" s="5"/>
      <c r="P37" s="5"/>
      <c r="Q37" s="5"/>
      <c r="R37" s="5"/>
      <c r="S37" s="5"/>
      <c r="T37" s="5"/>
      <c r="U37" s="5" t="s">
        <v>1619</v>
      </c>
      <c r="V37" s="14" t="s">
        <v>69</v>
      </c>
      <c r="AC37" t="s">
        <v>1189</v>
      </c>
      <c r="AD37" t="s">
        <v>54</v>
      </c>
      <c r="AE37" t="s">
        <v>3</v>
      </c>
    </row>
    <row r="38" spans="1:31" ht="14" x14ac:dyDescent="0.15">
      <c r="A38" s="4" t="s">
        <v>1262</v>
      </c>
      <c r="B38" s="4" t="s">
        <v>1254</v>
      </c>
      <c r="C38" s="4" t="s">
        <v>1263</v>
      </c>
      <c r="D38" s="4" t="s">
        <v>1830</v>
      </c>
      <c r="E38" s="7">
        <v>60</v>
      </c>
      <c r="F38" s="7">
        <v>1800</v>
      </c>
      <c r="G38" s="7">
        <v>20000</v>
      </c>
      <c r="H38" s="4"/>
      <c r="I38" s="4" t="b">
        <v>0</v>
      </c>
      <c r="J38" s="4" t="s">
        <v>1600</v>
      </c>
      <c r="K38" s="5"/>
      <c r="L38" s="5"/>
      <c r="M38" s="5" t="s">
        <v>1831</v>
      </c>
      <c r="N38" s="5"/>
      <c r="O38" s="5"/>
      <c r="P38" s="5"/>
      <c r="Q38" s="5"/>
      <c r="R38" s="5"/>
      <c r="S38" s="5"/>
      <c r="T38" s="5"/>
      <c r="U38" s="5" t="s">
        <v>1619</v>
      </c>
      <c r="V38" s="14" t="s">
        <v>69</v>
      </c>
      <c r="AC38" t="s">
        <v>1189</v>
      </c>
      <c r="AD38" t="s">
        <v>54</v>
      </c>
      <c r="AE38" t="s">
        <v>3</v>
      </c>
    </row>
    <row r="39" spans="1:31" ht="14" x14ac:dyDescent="0.15">
      <c r="A39" s="4" t="s">
        <v>1264</v>
      </c>
      <c r="B39" s="4" t="s">
        <v>1254</v>
      </c>
      <c r="C39" s="4" t="s">
        <v>1265</v>
      </c>
      <c r="D39" s="4" t="s">
        <v>1830</v>
      </c>
      <c r="E39" s="7">
        <v>45</v>
      </c>
      <c r="F39" s="7">
        <v>1800</v>
      </c>
      <c r="G39" s="7">
        <v>20000</v>
      </c>
      <c r="H39" s="4"/>
      <c r="I39" s="4" t="b">
        <v>0</v>
      </c>
      <c r="J39" s="4" t="s">
        <v>1600</v>
      </c>
      <c r="K39" s="5"/>
      <c r="L39" s="5"/>
      <c r="M39" s="5" t="s">
        <v>1831</v>
      </c>
      <c r="N39" s="5"/>
      <c r="O39" s="5"/>
      <c r="P39" s="5"/>
      <c r="Q39" s="5"/>
      <c r="R39" s="5"/>
      <c r="S39" s="5"/>
      <c r="T39" s="5"/>
      <c r="U39" s="5" t="s">
        <v>1619</v>
      </c>
      <c r="V39" s="14" t="s">
        <v>69</v>
      </c>
      <c r="AC39" t="s">
        <v>1189</v>
      </c>
      <c r="AD39" t="s">
        <v>54</v>
      </c>
      <c r="AE39" t="s">
        <v>3</v>
      </c>
    </row>
    <row r="40" spans="1:31" ht="14" x14ac:dyDescent="0.15">
      <c r="A40" s="4" t="s">
        <v>1266</v>
      </c>
      <c r="B40" s="4" t="s">
        <v>1267</v>
      </c>
      <c r="C40" s="4" t="s">
        <v>1268</v>
      </c>
      <c r="D40" s="4" t="s">
        <v>1819</v>
      </c>
      <c r="E40" s="7">
        <v>400</v>
      </c>
      <c r="F40" s="7">
        <v>2700</v>
      </c>
      <c r="G40" s="7">
        <v>6500</v>
      </c>
      <c r="H40" s="4"/>
      <c r="I40" s="4" t="b">
        <v>0</v>
      </c>
      <c r="J40" s="4" t="s">
        <v>1600</v>
      </c>
      <c r="K40" s="5"/>
      <c r="L40" s="5"/>
      <c r="M40" s="5" t="s">
        <v>1828</v>
      </c>
      <c r="N40" s="5"/>
      <c r="O40" s="5"/>
      <c r="P40" s="5"/>
      <c r="Q40" s="5"/>
      <c r="R40" s="5"/>
      <c r="S40" s="5"/>
      <c r="T40" s="5"/>
      <c r="U40" s="5" t="s">
        <v>1619</v>
      </c>
      <c r="V40" s="14" t="s">
        <v>69</v>
      </c>
      <c r="AC40" t="s">
        <v>1189</v>
      </c>
      <c r="AD40" t="s">
        <v>54</v>
      </c>
      <c r="AE40" t="s">
        <v>3</v>
      </c>
    </row>
    <row r="41" spans="1:31" ht="14" x14ac:dyDescent="0.15">
      <c r="A41" s="4" t="s">
        <v>1269</v>
      </c>
      <c r="B41" s="4" t="s">
        <v>1267</v>
      </c>
      <c r="C41" s="4" t="s">
        <v>1270</v>
      </c>
      <c r="D41" s="4" t="s">
        <v>1821</v>
      </c>
      <c r="E41" s="7">
        <v>500</v>
      </c>
      <c r="F41" s="7">
        <v>5600</v>
      </c>
      <c r="G41" s="7">
        <v>5600</v>
      </c>
      <c r="H41" s="4"/>
      <c r="I41" s="4" t="b">
        <v>0</v>
      </c>
      <c r="J41" s="4" t="s">
        <v>1600</v>
      </c>
      <c r="K41" s="5"/>
      <c r="L41" s="5"/>
      <c r="M41" s="5" t="s">
        <v>1826</v>
      </c>
      <c r="N41" s="5"/>
      <c r="O41" s="5"/>
      <c r="P41" s="5"/>
      <c r="Q41" s="5"/>
      <c r="R41" s="5"/>
      <c r="S41" s="5"/>
      <c r="T41" s="5"/>
      <c r="U41" s="5" t="s">
        <v>1619</v>
      </c>
      <c r="V41" s="14" t="s">
        <v>69</v>
      </c>
      <c r="AC41" t="s">
        <v>1189</v>
      </c>
      <c r="AD41" t="s">
        <v>54</v>
      </c>
      <c r="AE41" t="s">
        <v>3</v>
      </c>
    </row>
    <row r="42" spans="1:31" ht="14" x14ac:dyDescent="0.15">
      <c r="A42" s="4" t="s">
        <v>1271</v>
      </c>
      <c r="B42" s="4" t="s">
        <v>1267</v>
      </c>
      <c r="C42" s="4" t="s">
        <v>1272</v>
      </c>
      <c r="D42" s="4" t="s">
        <v>1819</v>
      </c>
      <c r="E42" s="7">
        <v>1200</v>
      </c>
      <c r="F42" s="7">
        <v>2700</v>
      </c>
      <c r="G42" s="7">
        <v>6500</v>
      </c>
      <c r="H42" s="4"/>
      <c r="I42" s="4" t="b">
        <v>0</v>
      </c>
      <c r="J42" s="4" t="s">
        <v>1600</v>
      </c>
      <c r="K42" s="5"/>
      <c r="L42" s="5"/>
      <c r="M42" s="5" t="s">
        <v>1828</v>
      </c>
      <c r="N42" s="5"/>
      <c r="O42" s="5"/>
      <c r="P42" s="5"/>
      <c r="Q42" s="5"/>
      <c r="R42" s="5"/>
      <c r="S42" s="5"/>
      <c r="T42" s="5"/>
      <c r="U42" s="5" t="s">
        <v>1619</v>
      </c>
      <c r="V42" s="14" t="s">
        <v>69</v>
      </c>
      <c r="AC42" t="s">
        <v>1189</v>
      </c>
      <c r="AD42" t="s">
        <v>54</v>
      </c>
      <c r="AE42" t="s">
        <v>3</v>
      </c>
    </row>
    <row r="43" spans="1:31" ht="14" x14ac:dyDescent="0.15">
      <c r="A43" s="4" t="s">
        <v>1273</v>
      </c>
      <c r="B43" s="4" t="s">
        <v>1267</v>
      </c>
      <c r="C43" s="4" t="s">
        <v>1274</v>
      </c>
      <c r="D43" s="4" t="s">
        <v>1821</v>
      </c>
      <c r="E43" s="7">
        <v>1200</v>
      </c>
      <c r="F43" s="7">
        <v>5600</v>
      </c>
      <c r="G43" s="7">
        <v>5600</v>
      </c>
      <c r="H43" s="4"/>
      <c r="I43" s="4" t="b">
        <v>0</v>
      </c>
      <c r="J43" s="4" t="s">
        <v>1600</v>
      </c>
      <c r="K43" s="5"/>
      <c r="L43" s="5"/>
      <c r="M43" s="5" t="s">
        <v>1826</v>
      </c>
      <c r="N43" s="5"/>
      <c r="O43" s="5"/>
      <c r="P43" s="5"/>
      <c r="Q43" s="5"/>
      <c r="R43" s="5"/>
      <c r="S43" s="5"/>
      <c r="T43" s="5"/>
      <c r="U43" s="5" t="s">
        <v>1619</v>
      </c>
      <c r="V43" s="14" t="s">
        <v>69</v>
      </c>
      <c r="AC43" t="s">
        <v>1189</v>
      </c>
      <c r="AD43" t="s">
        <v>54</v>
      </c>
      <c r="AE43" t="s">
        <v>3</v>
      </c>
    </row>
    <row r="44" spans="1:31" ht="14" x14ac:dyDescent="0.15">
      <c r="A44" s="4" t="s">
        <v>1275</v>
      </c>
      <c r="B44" s="4" t="s">
        <v>1276</v>
      </c>
      <c r="C44" s="4" t="s">
        <v>1277</v>
      </c>
      <c r="D44" s="4" t="s">
        <v>1830</v>
      </c>
      <c r="E44" s="7">
        <v>25</v>
      </c>
      <c r="F44" s="7">
        <v>2700</v>
      </c>
      <c r="G44" s="7">
        <v>6500</v>
      </c>
      <c r="H44" s="4"/>
      <c r="I44" s="4" t="b">
        <v>0</v>
      </c>
      <c r="J44" s="4" t="s">
        <v>1600</v>
      </c>
      <c r="K44" s="5"/>
      <c r="L44" s="5"/>
      <c r="M44" s="5" t="s">
        <v>1828</v>
      </c>
      <c r="N44" s="5"/>
      <c r="O44" s="5"/>
      <c r="P44" s="5"/>
      <c r="Q44" s="5"/>
      <c r="R44" s="5"/>
      <c r="S44" s="5"/>
      <c r="T44" s="5"/>
      <c r="U44" s="5" t="s">
        <v>1619</v>
      </c>
      <c r="V44" s="14" t="s">
        <v>69</v>
      </c>
      <c r="AC44" t="s">
        <v>1189</v>
      </c>
      <c r="AD44" t="s">
        <v>54</v>
      </c>
      <c r="AE44" t="s">
        <v>3</v>
      </c>
    </row>
    <row r="45" spans="1:31" ht="14" x14ac:dyDescent="0.15">
      <c r="A45" s="4" t="s">
        <v>1278</v>
      </c>
      <c r="B45" s="4" t="s">
        <v>1279</v>
      </c>
      <c r="C45" s="4" t="s">
        <v>1280</v>
      </c>
      <c r="D45" s="4" t="s">
        <v>1821</v>
      </c>
      <c r="E45" s="7">
        <v>650</v>
      </c>
      <c r="F45" s="7">
        <v>2700</v>
      </c>
      <c r="G45" s="7">
        <v>6500</v>
      </c>
      <c r="H45" s="4"/>
      <c r="I45" s="4" t="b">
        <v>0</v>
      </c>
      <c r="J45" s="4" t="s">
        <v>1600</v>
      </c>
      <c r="K45" s="5"/>
      <c r="L45" s="5"/>
      <c r="M45" s="5" t="s">
        <v>1828</v>
      </c>
      <c r="N45" s="5"/>
      <c r="O45" s="5"/>
      <c r="P45" s="5"/>
      <c r="Q45" s="5"/>
      <c r="R45" s="5"/>
      <c r="S45" s="5"/>
      <c r="T45" s="5"/>
      <c r="U45" s="5" t="s">
        <v>1619</v>
      </c>
      <c r="V45" s="14" t="s">
        <v>69</v>
      </c>
      <c r="AC45" t="s">
        <v>1189</v>
      </c>
      <c r="AD45" t="s">
        <v>54</v>
      </c>
      <c r="AE45" t="s">
        <v>3</v>
      </c>
    </row>
    <row r="46" spans="1:31" ht="14" x14ac:dyDescent="0.15">
      <c r="A46" s="4" t="s">
        <v>1281</v>
      </c>
      <c r="B46" s="4" t="s">
        <v>1279</v>
      </c>
      <c r="C46" s="4" t="s">
        <v>1282</v>
      </c>
      <c r="D46" s="4" t="s">
        <v>1819</v>
      </c>
      <c r="E46" s="7">
        <v>400</v>
      </c>
      <c r="F46" s="7">
        <v>2700</v>
      </c>
      <c r="G46" s="7">
        <v>6500</v>
      </c>
      <c r="H46" s="4"/>
      <c r="I46" s="4" t="b">
        <v>0</v>
      </c>
      <c r="J46" s="4" t="s">
        <v>1600</v>
      </c>
      <c r="K46" s="5"/>
      <c r="L46" s="5"/>
      <c r="M46" s="5" t="s">
        <v>1828</v>
      </c>
      <c r="N46" s="5"/>
      <c r="O46" s="5"/>
      <c r="P46" s="5"/>
      <c r="Q46" s="5"/>
      <c r="R46" s="5"/>
      <c r="S46" s="5"/>
      <c r="T46" s="5"/>
      <c r="U46" s="5" t="s">
        <v>1619</v>
      </c>
      <c r="V46" s="14" t="s">
        <v>69</v>
      </c>
      <c r="AC46" t="s">
        <v>1189</v>
      </c>
      <c r="AD46" t="s">
        <v>54</v>
      </c>
      <c r="AE46" t="s">
        <v>3</v>
      </c>
    </row>
    <row r="47" spans="1:31" ht="14" x14ac:dyDescent="0.15">
      <c r="A47" s="4" t="s">
        <v>1283</v>
      </c>
      <c r="B47" s="4" t="s">
        <v>1279</v>
      </c>
      <c r="C47" s="4" t="s">
        <v>1284</v>
      </c>
      <c r="D47" s="4" t="s">
        <v>1819</v>
      </c>
      <c r="E47" s="7">
        <v>400</v>
      </c>
      <c r="F47" s="7">
        <v>2700</v>
      </c>
      <c r="G47" s="7">
        <v>6500</v>
      </c>
      <c r="H47" s="4"/>
      <c r="I47" s="4" t="b">
        <v>0</v>
      </c>
      <c r="J47" s="4" t="s">
        <v>1600</v>
      </c>
      <c r="K47" s="5"/>
      <c r="L47" s="5"/>
      <c r="M47" s="5" t="s">
        <v>1828</v>
      </c>
      <c r="N47" s="5"/>
      <c r="O47" s="5"/>
      <c r="P47" s="5"/>
      <c r="Q47" s="5"/>
      <c r="R47" s="5"/>
      <c r="S47" s="5"/>
      <c r="T47" s="5"/>
      <c r="U47" s="5" t="s">
        <v>1619</v>
      </c>
      <c r="V47" s="14" t="s">
        <v>69</v>
      </c>
      <c r="AC47" t="s">
        <v>1189</v>
      </c>
      <c r="AD47" t="s">
        <v>54</v>
      </c>
      <c r="AE47" t="s">
        <v>3</v>
      </c>
    </row>
    <row r="48" spans="1:31" ht="14" x14ac:dyDescent="0.15">
      <c r="A48" s="4" t="s">
        <v>1285</v>
      </c>
      <c r="B48" s="4" t="s">
        <v>1279</v>
      </c>
      <c r="C48" s="4" t="s">
        <v>1286</v>
      </c>
      <c r="D48" s="4" t="s">
        <v>1821</v>
      </c>
      <c r="E48" s="7">
        <v>400</v>
      </c>
      <c r="F48" s="7">
        <v>2700</v>
      </c>
      <c r="G48" s="7">
        <v>6500</v>
      </c>
      <c r="H48" s="4"/>
      <c r="I48" s="4" t="b">
        <v>0</v>
      </c>
      <c r="J48" s="4" t="s">
        <v>1600</v>
      </c>
      <c r="K48" s="5"/>
      <c r="L48" s="5"/>
      <c r="M48" s="5" t="s">
        <v>1828</v>
      </c>
      <c r="N48" s="5"/>
      <c r="O48" s="5"/>
      <c r="P48" s="5"/>
      <c r="Q48" s="5"/>
      <c r="R48" s="5"/>
      <c r="S48" s="5"/>
      <c r="T48" s="5"/>
      <c r="U48" s="5" t="s">
        <v>1619</v>
      </c>
      <c r="V48" s="14" t="s">
        <v>69</v>
      </c>
      <c r="AC48" t="s">
        <v>1189</v>
      </c>
      <c r="AD48" t="s">
        <v>54</v>
      </c>
      <c r="AE48" t="s">
        <v>3</v>
      </c>
    </row>
    <row r="49" spans="1:31" ht="14" x14ac:dyDescent="0.15">
      <c r="A49" s="4" t="s">
        <v>1287</v>
      </c>
      <c r="B49" s="4" t="s">
        <v>1288</v>
      </c>
      <c r="C49" s="4" t="s">
        <v>1289</v>
      </c>
      <c r="D49" s="4" t="s">
        <v>1821</v>
      </c>
      <c r="E49" s="7">
        <v>90</v>
      </c>
      <c r="F49" s="7">
        <v>2700</v>
      </c>
      <c r="G49" s="7">
        <v>6500</v>
      </c>
      <c r="H49" s="4"/>
      <c r="I49" s="4" t="b">
        <v>0</v>
      </c>
      <c r="J49" s="4" t="s">
        <v>1600</v>
      </c>
      <c r="K49" s="5"/>
      <c r="L49" s="5"/>
      <c r="M49" s="5" t="s">
        <v>1828</v>
      </c>
      <c r="N49" s="5"/>
      <c r="O49" s="5"/>
      <c r="P49" s="5"/>
      <c r="Q49" s="5"/>
      <c r="R49" s="5"/>
      <c r="S49" s="5"/>
      <c r="T49" s="5"/>
      <c r="U49" s="5" t="s">
        <v>1619</v>
      </c>
      <c r="V49" s="14" t="s">
        <v>69</v>
      </c>
      <c r="AC49" t="s">
        <v>1189</v>
      </c>
      <c r="AD49" t="s">
        <v>54</v>
      </c>
      <c r="AE49" t="s">
        <v>3</v>
      </c>
    </row>
    <row r="50" spans="1:31" ht="14" x14ac:dyDescent="0.15">
      <c r="A50" s="4" t="s">
        <v>1290</v>
      </c>
      <c r="B50" s="4" t="s">
        <v>1288</v>
      </c>
      <c r="C50" s="4" t="s">
        <v>1291</v>
      </c>
      <c r="D50" s="4" t="s">
        <v>1821</v>
      </c>
      <c r="E50" s="7">
        <v>40</v>
      </c>
      <c r="F50" s="7">
        <v>2700</v>
      </c>
      <c r="G50" s="7">
        <v>6500</v>
      </c>
      <c r="H50" s="4"/>
      <c r="I50" s="4" t="b">
        <v>0</v>
      </c>
      <c r="J50" s="4" t="s">
        <v>1600</v>
      </c>
      <c r="K50" s="5"/>
      <c r="L50" s="5"/>
      <c r="M50" s="5" t="s">
        <v>1828</v>
      </c>
      <c r="N50" s="5"/>
      <c r="O50" s="5"/>
      <c r="P50" s="5"/>
      <c r="Q50" s="5"/>
      <c r="R50" s="5"/>
      <c r="S50" s="5"/>
      <c r="T50" s="5"/>
      <c r="U50" s="5" t="s">
        <v>1619</v>
      </c>
      <c r="V50" s="14" t="s">
        <v>69</v>
      </c>
      <c r="AC50" t="s">
        <v>1189</v>
      </c>
      <c r="AD50" t="s">
        <v>54</v>
      </c>
      <c r="AE50" t="s">
        <v>3</v>
      </c>
    </row>
    <row r="51" spans="1:31" ht="14" x14ac:dyDescent="0.15">
      <c r="A51" s="4" t="s">
        <v>1292</v>
      </c>
      <c r="B51" s="4" t="s">
        <v>1288</v>
      </c>
      <c r="C51" s="4" t="s">
        <v>1293</v>
      </c>
      <c r="D51" s="4" t="s">
        <v>1821</v>
      </c>
      <c r="E51" s="7">
        <v>150</v>
      </c>
      <c r="F51" s="7">
        <v>2700</v>
      </c>
      <c r="G51" s="7">
        <v>6500</v>
      </c>
      <c r="H51" s="4"/>
      <c r="I51" s="4" t="b">
        <v>0</v>
      </c>
      <c r="J51" s="4" t="s">
        <v>1600</v>
      </c>
      <c r="K51" s="5"/>
      <c r="L51" s="5"/>
      <c r="M51" s="5" t="s">
        <v>1828</v>
      </c>
      <c r="N51" s="5"/>
      <c r="O51" s="5"/>
      <c r="P51" s="5"/>
      <c r="Q51" s="5"/>
      <c r="R51" s="5"/>
      <c r="S51" s="5"/>
      <c r="T51" s="5"/>
      <c r="U51" s="5" t="s">
        <v>1619</v>
      </c>
      <c r="V51" s="14" t="s">
        <v>69</v>
      </c>
      <c r="AC51" t="s">
        <v>1189</v>
      </c>
      <c r="AD51" t="s">
        <v>54</v>
      </c>
      <c r="AE51" t="s">
        <v>3</v>
      </c>
    </row>
    <row r="52" spans="1:31" ht="14" x14ac:dyDescent="0.15">
      <c r="A52" s="4" t="s">
        <v>1294</v>
      </c>
      <c r="B52" s="4" t="s">
        <v>1288</v>
      </c>
      <c r="C52" s="4" t="s">
        <v>1295</v>
      </c>
      <c r="D52" s="4" t="s">
        <v>1823</v>
      </c>
      <c r="E52" s="7">
        <v>150</v>
      </c>
      <c r="F52" s="7">
        <v>3200</v>
      </c>
      <c r="G52" s="7">
        <v>3200</v>
      </c>
      <c r="H52" s="4"/>
      <c r="I52" s="4" t="b">
        <v>0</v>
      </c>
      <c r="J52" s="4" t="s">
        <v>1600</v>
      </c>
      <c r="K52" s="5"/>
      <c r="L52" s="5"/>
      <c r="M52" s="5" t="s">
        <v>1824</v>
      </c>
      <c r="N52" s="5"/>
      <c r="O52" s="5"/>
      <c r="P52" s="5"/>
      <c r="Q52" s="5"/>
      <c r="R52" s="5"/>
      <c r="S52" s="5"/>
      <c r="T52" s="5"/>
      <c r="U52" s="5" t="s">
        <v>1619</v>
      </c>
      <c r="V52" s="14" t="s">
        <v>69</v>
      </c>
      <c r="AC52" t="s">
        <v>1189</v>
      </c>
      <c r="AD52" t="s">
        <v>54</v>
      </c>
      <c r="AE52" t="s">
        <v>3</v>
      </c>
    </row>
    <row r="53" spans="1:31" ht="14" x14ac:dyDescent="0.15">
      <c r="A53" s="4" t="s">
        <v>1296</v>
      </c>
      <c r="B53" s="4" t="s">
        <v>1297</v>
      </c>
      <c r="C53" s="4" t="s">
        <v>1298</v>
      </c>
      <c r="D53" s="4" t="s">
        <v>1821</v>
      </c>
      <c r="E53" s="7">
        <v>300</v>
      </c>
      <c r="F53" s="7">
        <v>5600</v>
      </c>
      <c r="G53" s="7">
        <v>5600</v>
      </c>
      <c r="H53" s="4"/>
      <c r="I53" s="4" t="b">
        <v>0</v>
      </c>
      <c r="J53" s="4" t="s">
        <v>1600</v>
      </c>
      <c r="K53" s="5"/>
      <c r="L53" s="5"/>
      <c r="M53" s="5" t="s">
        <v>1826</v>
      </c>
      <c r="N53" s="5"/>
      <c r="O53" s="5"/>
      <c r="P53" s="5"/>
      <c r="Q53" s="5"/>
      <c r="R53" s="5"/>
      <c r="S53" s="5"/>
      <c r="T53" s="5"/>
      <c r="U53" s="5" t="s">
        <v>1619</v>
      </c>
      <c r="V53" s="14" t="s">
        <v>69</v>
      </c>
      <c r="AC53" t="s">
        <v>1189</v>
      </c>
      <c r="AD53" t="s">
        <v>54</v>
      </c>
      <c r="AE53" t="s">
        <v>3</v>
      </c>
    </row>
    <row r="54" spans="1:31" ht="14" x14ac:dyDescent="0.15">
      <c r="A54" s="4" t="s">
        <v>1299</v>
      </c>
      <c r="B54" s="4" t="s">
        <v>1297</v>
      </c>
      <c r="C54" s="4" t="s">
        <v>1300</v>
      </c>
      <c r="D54" s="4" t="s">
        <v>1821</v>
      </c>
      <c r="E54" s="7">
        <v>150</v>
      </c>
      <c r="F54" s="7">
        <v>5600</v>
      </c>
      <c r="G54" s="7">
        <v>5600</v>
      </c>
      <c r="H54" s="4"/>
      <c r="I54" s="4" t="b">
        <v>0</v>
      </c>
      <c r="J54" s="4" t="s">
        <v>1600</v>
      </c>
      <c r="K54" s="5"/>
      <c r="L54" s="5"/>
      <c r="M54" s="5" t="s">
        <v>1826</v>
      </c>
      <c r="N54" s="5"/>
      <c r="O54" s="5"/>
      <c r="P54" s="5"/>
      <c r="Q54" s="5"/>
      <c r="R54" s="5"/>
      <c r="S54" s="5"/>
      <c r="T54" s="5"/>
      <c r="U54" s="5" t="s">
        <v>1619</v>
      </c>
      <c r="V54" s="14" t="s">
        <v>69</v>
      </c>
      <c r="AC54" t="s">
        <v>1189</v>
      </c>
      <c r="AD54" t="s">
        <v>54</v>
      </c>
      <c r="AE54" t="s">
        <v>3</v>
      </c>
    </row>
    <row r="55" spans="1:31" ht="14" x14ac:dyDescent="0.15">
      <c r="A55" s="4" t="s">
        <v>1301</v>
      </c>
      <c r="B55" s="4" t="s">
        <v>1297</v>
      </c>
      <c r="C55" s="4" t="s">
        <v>1302</v>
      </c>
      <c r="D55" s="4" t="s">
        <v>1821</v>
      </c>
      <c r="E55" s="7">
        <v>500</v>
      </c>
      <c r="F55" s="7">
        <v>5600</v>
      </c>
      <c r="G55" s="7">
        <v>5600</v>
      </c>
      <c r="H55" s="4"/>
      <c r="I55" s="4" t="b">
        <v>0</v>
      </c>
      <c r="J55" s="4" t="s">
        <v>1600</v>
      </c>
      <c r="K55" s="5"/>
      <c r="L55" s="5"/>
      <c r="M55" s="5" t="s">
        <v>1826</v>
      </c>
      <c r="N55" s="5"/>
      <c r="O55" s="5"/>
      <c r="P55" s="5"/>
      <c r="Q55" s="5"/>
      <c r="R55" s="5"/>
      <c r="S55" s="5"/>
      <c r="T55" s="5"/>
      <c r="U55" s="5" t="s">
        <v>1619</v>
      </c>
      <c r="V55" s="14" t="s">
        <v>69</v>
      </c>
      <c r="AC55" t="s">
        <v>1189</v>
      </c>
      <c r="AD55" t="s">
        <v>54</v>
      </c>
      <c r="AE55" t="s">
        <v>3</v>
      </c>
    </row>
    <row r="56" spans="1:31" ht="14" x14ac:dyDescent="0.15">
      <c r="A56" s="4" t="s">
        <v>1303</v>
      </c>
      <c r="B56" s="4" t="s">
        <v>1297</v>
      </c>
      <c r="C56" s="4" t="s">
        <v>1304</v>
      </c>
      <c r="D56" s="4" t="s">
        <v>1821</v>
      </c>
      <c r="E56" s="7">
        <v>500</v>
      </c>
      <c r="F56" s="7">
        <v>5600</v>
      </c>
      <c r="G56" s="7">
        <v>5600</v>
      </c>
      <c r="H56" s="4"/>
      <c r="I56" s="4" t="b">
        <v>0</v>
      </c>
      <c r="J56" s="4" t="s">
        <v>1600</v>
      </c>
      <c r="K56" s="5"/>
      <c r="L56" s="5"/>
      <c r="M56" s="5" t="s">
        <v>1826</v>
      </c>
      <c r="N56" s="5"/>
      <c r="O56" s="5"/>
      <c r="P56" s="5"/>
      <c r="Q56" s="5"/>
      <c r="R56" s="5"/>
      <c r="S56" s="5"/>
      <c r="T56" s="5"/>
      <c r="U56" s="5" t="s">
        <v>1619</v>
      </c>
      <c r="V56" s="14" t="s">
        <v>69</v>
      </c>
      <c r="AC56" t="s">
        <v>1189</v>
      </c>
      <c r="AD56" t="s">
        <v>54</v>
      </c>
      <c r="AE56" t="s">
        <v>3</v>
      </c>
    </row>
    <row r="57" spans="1:31" ht="14" x14ac:dyDescent="0.15">
      <c r="A57" s="4" t="s">
        <v>1305</v>
      </c>
      <c r="B57" s="4" t="s">
        <v>1306</v>
      </c>
      <c r="C57" s="4" t="s">
        <v>1307</v>
      </c>
      <c r="D57" s="4" t="s">
        <v>1819</v>
      </c>
      <c r="E57" s="7">
        <v>85</v>
      </c>
      <c r="F57" s="7">
        <v>2700</v>
      </c>
      <c r="G57" s="7">
        <v>6500</v>
      </c>
      <c r="H57" s="4"/>
      <c r="I57" s="4" t="b">
        <v>0</v>
      </c>
      <c r="J57" s="4" t="s">
        <v>1600</v>
      </c>
      <c r="K57" s="5"/>
      <c r="L57" s="5"/>
      <c r="M57" s="5" t="s">
        <v>1828</v>
      </c>
      <c r="N57" s="5"/>
      <c r="O57" s="5"/>
      <c r="P57" s="5"/>
      <c r="Q57" s="5"/>
      <c r="R57" s="5"/>
      <c r="S57" s="5"/>
      <c r="T57" s="5"/>
      <c r="U57" s="5" t="s">
        <v>1619</v>
      </c>
      <c r="V57" s="14" t="s">
        <v>69</v>
      </c>
      <c r="AC57" t="s">
        <v>1189</v>
      </c>
      <c r="AD57" t="s">
        <v>54</v>
      </c>
      <c r="AE57" t="s">
        <v>3</v>
      </c>
    </row>
    <row r="58" spans="1:31" ht="14" x14ac:dyDescent="0.15">
      <c r="A58" s="4" t="s">
        <v>1308</v>
      </c>
      <c r="B58" s="4" t="s">
        <v>1306</v>
      </c>
      <c r="C58" s="4" t="s">
        <v>1309</v>
      </c>
      <c r="D58" s="4" t="s">
        <v>1830</v>
      </c>
      <c r="E58" s="7">
        <v>90</v>
      </c>
      <c r="F58" s="7">
        <v>2700</v>
      </c>
      <c r="G58" s="7">
        <v>6500</v>
      </c>
      <c r="H58" s="4"/>
      <c r="I58" s="4" t="b">
        <v>0</v>
      </c>
      <c r="J58" s="4" t="s">
        <v>1600</v>
      </c>
      <c r="K58" s="5"/>
      <c r="L58" s="5"/>
      <c r="M58" s="5" t="s">
        <v>1828</v>
      </c>
      <c r="N58" s="5"/>
      <c r="O58" s="5"/>
      <c r="P58" s="5"/>
      <c r="Q58" s="5"/>
      <c r="R58" s="5"/>
      <c r="S58" s="5"/>
      <c r="T58" s="5"/>
      <c r="U58" s="5" t="s">
        <v>1619</v>
      </c>
      <c r="V58" s="14" t="s">
        <v>69</v>
      </c>
      <c r="AC58" t="s">
        <v>1189</v>
      </c>
      <c r="AD58" t="s">
        <v>54</v>
      </c>
      <c r="AE58" t="s">
        <v>3</v>
      </c>
    </row>
    <row r="59" spans="1:31" ht="14" x14ac:dyDescent="0.15">
      <c r="A59" s="4" t="s">
        <v>1310</v>
      </c>
      <c r="B59" s="4" t="s">
        <v>1306</v>
      </c>
      <c r="C59" s="4" t="s">
        <v>1311</v>
      </c>
      <c r="D59" s="4" t="s">
        <v>1819</v>
      </c>
      <c r="E59" s="7">
        <v>200</v>
      </c>
      <c r="F59" s="7">
        <v>2700</v>
      </c>
      <c r="G59" s="7">
        <v>6500</v>
      </c>
      <c r="H59" s="4"/>
      <c r="I59" s="4" t="b">
        <v>0</v>
      </c>
      <c r="J59" s="4" t="s">
        <v>1600</v>
      </c>
      <c r="K59" s="5"/>
      <c r="L59" s="5"/>
      <c r="M59" s="5" t="s">
        <v>1828</v>
      </c>
      <c r="N59" s="5"/>
      <c r="O59" s="5"/>
      <c r="P59" s="5"/>
      <c r="Q59" s="5"/>
      <c r="R59" s="5"/>
      <c r="S59" s="5"/>
      <c r="T59" s="5"/>
      <c r="U59" s="5" t="s">
        <v>1619</v>
      </c>
      <c r="V59" s="14" t="s">
        <v>69</v>
      </c>
      <c r="AC59" t="s">
        <v>1189</v>
      </c>
      <c r="AD59" t="s">
        <v>54</v>
      </c>
      <c r="AE59" t="s">
        <v>3</v>
      </c>
    </row>
    <row r="60" spans="1:31" ht="14" x14ac:dyDescent="0.15">
      <c r="A60" s="4" t="s">
        <v>1312</v>
      </c>
      <c r="B60" s="4" t="s">
        <v>1306</v>
      </c>
      <c r="C60" s="4" t="s">
        <v>1313</v>
      </c>
      <c r="D60" s="4" t="s">
        <v>1819</v>
      </c>
      <c r="E60" s="7">
        <v>30</v>
      </c>
      <c r="F60" s="7">
        <v>2700</v>
      </c>
      <c r="G60" s="7">
        <v>6500</v>
      </c>
      <c r="H60" s="4"/>
      <c r="I60" s="4" t="b">
        <v>0</v>
      </c>
      <c r="J60" s="4" t="s">
        <v>1600</v>
      </c>
      <c r="K60" s="5"/>
      <c r="L60" s="5"/>
      <c r="M60" s="5" t="s">
        <v>1828</v>
      </c>
      <c r="N60" s="5"/>
      <c r="O60" s="5"/>
      <c r="P60" s="5"/>
      <c r="Q60" s="5"/>
      <c r="R60" s="5"/>
      <c r="S60" s="5"/>
      <c r="T60" s="5"/>
      <c r="U60" s="5" t="s">
        <v>1619</v>
      </c>
      <c r="V60" s="14" t="s">
        <v>69</v>
      </c>
      <c r="AC60" t="s">
        <v>1189</v>
      </c>
      <c r="AD60" t="s">
        <v>54</v>
      </c>
      <c r="AE60" t="s">
        <v>3</v>
      </c>
    </row>
    <row r="61" spans="1:31" ht="14" x14ac:dyDescent="0.15">
      <c r="A61" s="4" t="s">
        <v>1314</v>
      </c>
      <c r="B61" s="4" t="s">
        <v>1315</v>
      </c>
      <c r="C61" s="4" t="s">
        <v>1316</v>
      </c>
      <c r="D61" s="4" t="s">
        <v>1819</v>
      </c>
      <c r="E61" s="7">
        <v>400</v>
      </c>
      <c r="F61" s="7">
        <v>2700</v>
      </c>
      <c r="G61" s="7">
        <v>6500</v>
      </c>
      <c r="H61" s="4"/>
      <c r="I61" s="4" t="b">
        <v>0</v>
      </c>
      <c r="J61" s="4" t="s">
        <v>1600</v>
      </c>
      <c r="K61" s="5"/>
      <c r="L61" s="5"/>
      <c r="M61" s="5" t="s">
        <v>1828</v>
      </c>
      <c r="N61" s="5"/>
      <c r="O61" s="5"/>
      <c r="P61" s="5"/>
      <c r="Q61" s="5"/>
      <c r="R61" s="5"/>
      <c r="S61" s="5"/>
      <c r="T61" s="5"/>
      <c r="U61" s="5" t="s">
        <v>1619</v>
      </c>
      <c r="V61" s="14" t="s">
        <v>69</v>
      </c>
      <c r="AC61" t="s">
        <v>1189</v>
      </c>
      <c r="AD61" t="s">
        <v>54</v>
      </c>
      <c r="AE61" t="s">
        <v>3</v>
      </c>
    </row>
    <row r="62" spans="1:31" ht="14" x14ac:dyDescent="0.15">
      <c r="A62" s="4" t="s">
        <v>1317</v>
      </c>
      <c r="B62" s="4" t="s">
        <v>1318</v>
      </c>
      <c r="C62" s="4" t="s">
        <v>1319</v>
      </c>
      <c r="D62" s="4" t="s">
        <v>1819</v>
      </c>
      <c r="E62" s="7">
        <v>200</v>
      </c>
      <c r="F62" s="7">
        <v>2700</v>
      </c>
      <c r="G62" s="7">
        <v>6500</v>
      </c>
      <c r="H62" s="4"/>
      <c r="I62" s="4" t="b">
        <v>0</v>
      </c>
      <c r="J62" s="4" t="s">
        <v>1600</v>
      </c>
      <c r="K62" s="5"/>
      <c r="L62" s="5"/>
      <c r="M62" s="5" t="s">
        <v>1828</v>
      </c>
      <c r="N62" s="5"/>
      <c r="O62" s="5"/>
      <c r="P62" s="5"/>
      <c r="Q62" s="5"/>
      <c r="R62" s="5"/>
      <c r="S62" s="5"/>
      <c r="T62" s="5"/>
      <c r="U62" s="5" t="s">
        <v>1619</v>
      </c>
      <c r="V62" s="14" t="s">
        <v>69</v>
      </c>
      <c r="AC62" t="s">
        <v>1189</v>
      </c>
      <c r="AD62" t="s">
        <v>54</v>
      </c>
      <c r="AE62" t="s">
        <v>3</v>
      </c>
    </row>
    <row r="63" spans="1:31" ht="14" x14ac:dyDescent="0.15">
      <c r="A63" s="4" t="s">
        <v>1320</v>
      </c>
      <c r="B63" s="4" t="s">
        <v>1318</v>
      </c>
      <c r="C63" s="4" t="s">
        <v>1321</v>
      </c>
      <c r="D63" s="4" t="s">
        <v>1819</v>
      </c>
      <c r="E63" s="7">
        <v>100</v>
      </c>
      <c r="F63" s="7">
        <v>2700</v>
      </c>
      <c r="G63" s="7">
        <v>6500</v>
      </c>
      <c r="H63" s="4"/>
      <c r="I63" s="4" t="b">
        <v>0</v>
      </c>
      <c r="J63" s="4" t="s">
        <v>1600</v>
      </c>
      <c r="K63" s="5"/>
      <c r="L63" s="5"/>
      <c r="M63" s="5" t="s">
        <v>1828</v>
      </c>
      <c r="N63" s="5"/>
      <c r="O63" s="5"/>
      <c r="P63" s="5"/>
      <c r="Q63" s="5"/>
      <c r="R63" s="5"/>
      <c r="S63" s="5"/>
      <c r="T63" s="5"/>
      <c r="U63" s="5" t="s">
        <v>1619</v>
      </c>
      <c r="V63" s="14" t="s">
        <v>69</v>
      </c>
      <c r="AC63" t="s">
        <v>1189</v>
      </c>
      <c r="AD63" t="s">
        <v>54</v>
      </c>
      <c r="AE63" t="s">
        <v>3</v>
      </c>
    </row>
    <row r="64" spans="1:31" ht="14" x14ac:dyDescent="0.15">
      <c r="A64" s="4" t="s">
        <v>1322</v>
      </c>
      <c r="B64" s="4" t="s">
        <v>1318</v>
      </c>
      <c r="C64" s="4" t="s">
        <v>1323</v>
      </c>
      <c r="D64" s="4" t="s">
        <v>1819</v>
      </c>
      <c r="E64" s="7">
        <v>90</v>
      </c>
      <c r="F64" s="7">
        <v>3200</v>
      </c>
      <c r="G64" s="7">
        <v>5600</v>
      </c>
      <c r="H64" s="4"/>
      <c r="I64" s="4" t="b">
        <v>0</v>
      </c>
      <c r="J64" s="4" t="s">
        <v>1600</v>
      </c>
      <c r="K64" s="5"/>
      <c r="L64" s="5"/>
      <c r="M64" s="5" t="s">
        <v>1832</v>
      </c>
      <c r="N64" s="5"/>
      <c r="O64" s="5"/>
      <c r="P64" s="5"/>
      <c r="Q64" s="5"/>
      <c r="R64" s="5"/>
      <c r="S64" s="5"/>
      <c r="T64" s="5"/>
      <c r="U64" s="5" t="s">
        <v>1619</v>
      </c>
      <c r="V64" s="14" t="s">
        <v>69</v>
      </c>
      <c r="AC64" t="s">
        <v>1189</v>
      </c>
      <c r="AD64" t="s">
        <v>54</v>
      </c>
      <c r="AE64" t="s">
        <v>3</v>
      </c>
    </row>
    <row r="65" spans="1:31" ht="14" x14ac:dyDescent="0.15">
      <c r="A65" s="4" t="s">
        <v>1324</v>
      </c>
      <c r="B65" s="4" t="s">
        <v>1318</v>
      </c>
      <c r="C65" s="4" t="s">
        <v>1325</v>
      </c>
      <c r="D65" s="4" t="s">
        <v>1819</v>
      </c>
      <c r="E65" s="7">
        <v>200</v>
      </c>
      <c r="F65" s="7">
        <v>2700</v>
      </c>
      <c r="G65" s="7">
        <v>6500</v>
      </c>
      <c r="H65" s="4"/>
      <c r="I65" s="4" t="b">
        <v>0</v>
      </c>
      <c r="J65" s="4" t="s">
        <v>1600</v>
      </c>
      <c r="K65" s="5"/>
      <c r="L65" s="5"/>
      <c r="M65" s="5" t="s">
        <v>1828</v>
      </c>
      <c r="N65" s="5"/>
      <c r="O65" s="5"/>
      <c r="P65" s="5"/>
      <c r="Q65" s="5"/>
      <c r="R65" s="5"/>
      <c r="S65" s="5"/>
      <c r="T65" s="5"/>
      <c r="U65" s="5" t="s">
        <v>1619</v>
      </c>
      <c r="V65" s="14" t="s">
        <v>69</v>
      </c>
      <c r="AC65" t="s">
        <v>1189</v>
      </c>
      <c r="AD65" t="s">
        <v>54</v>
      </c>
      <c r="AE65" t="s">
        <v>3</v>
      </c>
    </row>
    <row r="66" spans="1:31" ht="14" x14ac:dyDescent="0.15">
      <c r="A66" s="4" t="s">
        <v>1326</v>
      </c>
      <c r="B66" s="4" t="s">
        <v>1318</v>
      </c>
      <c r="C66" s="4" t="s">
        <v>1327</v>
      </c>
      <c r="D66" s="4" t="s">
        <v>1819</v>
      </c>
      <c r="E66" s="7">
        <v>200</v>
      </c>
      <c r="F66" s="7">
        <v>2700</v>
      </c>
      <c r="G66" s="7">
        <v>10000</v>
      </c>
      <c r="H66" s="4"/>
      <c r="I66" s="4" t="b">
        <v>0</v>
      </c>
      <c r="J66" s="4" t="s">
        <v>1600</v>
      </c>
      <c r="K66" s="5"/>
      <c r="L66" s="5"/>
      <c r="M66" s="5" t="s">
        <v>1833</v>
      </c>
      <c r="N66" s="5"/>
      <c r="O66" s="5"/>
      <c r="P66" s="5"/>
      <c r="Q66" s="5"/>
      <c r="R66" s="5"/>
      <c r="S66" s="5"/>
      <c r="T66" s="5"/>
      <c r="U66" s="5" t="s">
        <v>1619</v>
      </c>
      <c r="V66" s="14" t="s">
        <v>69</v>
      </c>
      <c r="AC66" t="s">
        <v>1189</v>
      </c>
      <c r="AD66" t="s">
        <v>54</v>
      </c>
      <c r="AE66" t="s">
        <v>3</v>
      </c>
    </row>
    <row r="67" spans="1:31" ht="14" x14ac:dyDescent="0.15">
      <c r="A67" s="4" t="s">
        <v>1328</v>
      </c>
      <c r="B67" s="4" t="s">
        <v>1318</v>
      </c>
      <c r="C67" s="4" t="s">
        <v>1329</v>
      </c>
      <c r="D67" s="4" t="s">
        <v>1819</v>
      </c>
      <c r="E67" s="7">
        <v>90</v>
      </c>
      <c r="F67" s="7">
        <v>3200</v>
      </c>
      <c r="G67" s="7">
        <v>5600</v>
      </c>
      <c r="H67" s="4"/>
      <c r="I67" s="4" t="b">
        <v>0</v>
      </c>
      <c r="J67" s="4" t="s">
        <v>1600</v>
      </c>
      <c r="K67" s="5"/>
      <c r="L67" s="5"/>
      <c r="M67" s="5" t="s">
        <v>1832</v>
      </c>
      <c r="N67" s="5"/>
      <c r="O67" s="5"/>
      <c r="P67" s="5"/>
      <c r="Q67" s="5"/>
      <c r="R67" s="5"/>
      <c r="S67" s="5"/>
      <c r="T67" s="5"/>
      <c r="U67" s="5" t="s">
        <v>1619</v>
      </c>
      <c r="V67" s="14" t="s">
        <v>69</v>
      </c>
      <c r="AC67" t="s">
        <v>1189</v>
      </c>
      <c r="AD67" t="s">
        <v>54</v>
      </c>
      <c r="AE67" t="s">
        <v>3</v>
      </c>
    </row>
    <row r="68" spans="1:31" ht="14" x14ac:dyDescent="0.15">
      <c r="A68" s="4" t="s">
        <v>1330</v>
      </c>
      <c r="B68" s="4" t="s">
        <v>1318</v>
      </c>
      <c r="C68" s="4" t="s">
        <v>1331</v>
      </c>
      <c r="D68" s="4" t="s">
        <v>1819</v>
      </c>
      <c r="E68" s="7">
        <v>200</v>
      </c>
      <c r="F68" s="7">
        <v>2700</v>
      </c>
      <c r="G68" s="7">
        <v>6500</v>
      </c>
      <c r="H68" s="4"/>
      <c r="I68" s="4" t="b">
        <v>0</v>
      </c>
      <c r="J68" s="4" t="s">
        <v>1600</v>
      </c>
      <c r="K68" s="5"/>
      <c r="L68" s="5"/>
      <c r="M68" s="5" t="s">
        <v>1828</v>
      </c>
      <c r="N68" s="5"/>
      <c r="O68" s="5"/>
      <c r="P68" s="5"/>
      <c r="Q68" s="5"/>
      <c r="R68" s="5"/>
      <c r="S68" s="5"/>
      <c r="T68" s="5"/>
      <c r="U68" s="5" t="s">
        <v>1619</v>
      </c>
      <c r="V68" s="14" t="s">
        <v>69</v>
      </c>
      <c r="AC68" t="s">
        <v>1189</v>
      </c>
      <c r="AD68" t="s">
        <v>54</v>
      </c>
      <c r="AE68" t="s">
        <v>3</v>
      </c>
    </row>
    <row r="69" spans="1:31" ht="28" x14ac:dyDescent="0.15">
      <c r="A69" s="4" t="s">
        <v>1332</v>
      </c>
      <c r="B69" s="4" t="s">
        <v>1333</v>
      </c>
      <c r="C69" s="4" t="s">
        <v>1334</v>
      </c>
      <c r="D69" s="4" t="s">
        <v>1823</v>
      </c>
      <c r="E69" s="7">
        <v>20000</v>
      </c>
      <c r="F69" s="7">
        <v>3200</v>
      </c>
      <c r="G69" s="7">
        <v>3200</v>
      </c>
      <c r="H69" s="4"/>
      <c r="I69" s="4" t="b">
        <v>0</v>
      </c>
      <c r="J69" s="4" t="s">
        <v>1600</v>
      </c>
      <c r="K69" s="5"/>
      <c r="L69" s="5"/>
      <c r="M69" s="5" t="s">
        <v>1824</v>
      </c>
      <c r="N69" s="5"/>
      <c r="O69" s="5"/>
      <c r="P69" s="5"/>
      <c r="Q69" s="5"/>
      <c r="R69" s="5"/>
      <c r="S69" s="5"/>
      <c r="T69" s="5"/>
      <c r="U69" s="5" t="s">
        <v>1619</v>
      </c>
      <c r="V69" s="14" t="s">
        <v>69</v>
      </c>
      <c r="AC69" t="s">
        <v>1189</v>
      </c>
      <c r="AD69" t="s">
        <v>54</v>
      </c>
      <c r="AE69" t="s">
        <v>3</v>
      </c>
    </row>
    <row r="70" spans="1:31" ht="28" x14ac:dyDescent="0.15">
      <c r="A70" s="4" t="s">
        <v>1335</v>
      </c>
      <c r="B70" s="4" t="s">
        <v>1333</v>
      </c>
      <c r="C70" s="4" t="s">
        <v>1336</v>
      </c>
      <c r="D70" s="4" t="s">
        <v>1823</v>
      </c>
      <c r="E70" s="7">
        <v>10000</v>
      </c>
      <c r="F70" s="7">
        <v>3200</v>
      </c>
      <c r="G70" s="7">
        <v>3200</v>
      </c>
      <c r="H70" s="4"/>
      <c r="I70" s="4" t="b">
        <v>0</v>
      </c>
      <c r="J70" s="4" t="s">
        <v>1600</v>
      </c>
      <c r="K70" s="5"/>
      <c r="L70" s="5"/>
      <c r="M70" s="5" t="s">
        <v>1824</v>
      </c>
      <c r="N70" s="5"/>
      <c r="O70" s="5"/>
      <c r="P70" s="5"/>
      <c r="Q70" s="5"/>
      <c r="R70" s="5"/>
      <c r="S70" s="5"/>
      <c r="T70" s="5"/>
      <c r="U70" s="5" t="s">
        <v>1619</v>
      </c>
      <c r="V70" s="14" t="s">
        <v>69</v>
      </c>
      <c r="AC70" t="s">
        <v>1189</v>
      </c>
      <c r="AD70" t="s">
        <v>54</v>
      </c>
      <c r="AE70" t="s">
        <v>3</v>
      </c>
    </row>
    <row r="71" spans="1:31" ht="28" x14ac:dyDescent="0.15">
      <c r="A71" s="4" t="s">
        <v>1337</v>
      </c>
      <c r="B71" s="4" t="s">
        <v>1333</v>
      </c>
      <c r="C71" s="4" t="s">
        <v>1338</v>
      </c>
      <c r="D71" s="4" t="s">
        <v>1823</v>
      </c>
      <c r="E71" s="7">
        <v>5000</v>
      </c>
      <c r="F71" s="7">
        <v>3200</v>
      </c>
      <c r="G71" s="7">
        <v>3200</v>
      </c>
      <c r="H71" s="4"/>
      <c r="I71" s="4" t="b">
        <v>0</v>
      </c>
      <c r="J71" s="4" t="s">
        <v>1600</v>
      </c>
      <c r="K71" s="5"/>
      <c r="L71" s="5"/>
      <c r="M71" s="5" t="s">
        <v>1824</v>
      </c>
      <c r="N71" s="5"/>
      <c r="O71" s="5"/>
      <c r="P71" s="5"/>
      <c r="Q71" s="5"/>
      <c r="R71" s="5"/>
      <c r="S71" s="5"/>
      <c r="T71" s="5"/>
      <c r="U71" s="5" t="s">
        <v>1619</v>
      </c>
      <c r="V71" s="14" t="s">
        <v>69</v>
      </c>
      <c r="AC71" t="s">
        <v>1189</v>
      </c>
      <c r="AD71" t="s">
        <v>54</v>
      </c>
      <c r="AE71" t="s">
        <v>3</v>
      </c>
    </row>
    <row r="72" spans="1:31" ht="28" x14ac:dyDescent="0.15">
      <c r="A72" s="4" t="s">
        <v>1339</v>
      </c>
      <c r="B72" s="4" t="s">
        <v>1333</v>
      </c>
      <c r="C72" s="4" t="s">
        <v>1340</v>
      </c>
      <c r="D72" s="4" t="s">
        <v>1823</v>
      </c>
      <c r="E72" s="7">
        <v>2000</v>
      </c>
      <c r="F72" s="7">
        <v>3200</v>
      </c>
      <c r="G72" s="7">
        <v>3200</v>
      </c>
      <c r="H72" s="4"/>
      <c r="I72" s="4" t="b">
        <v>0</v>
      </c>
      <c r="J72" s="4" t="s">
        <v>1600</v>
      </c>
      <c r="K72" s="5"/>
      <c r="L72" s="5"/>
      <c r="M72" s="5" t="s">
        <v>1824</v>
      </c>
      <c r="N72" s="5"/>
      <c r="O72" s="5"/>
      <c r="P72" s="5"/>
      <c r="Q72" s="5"/>
      <c r="R72" s="5"/>
      <c r="S72" s="5"/>
      <c r="T72" s="5"/>
      <c r="U72" s="5" t="s">
        <v>1619</v>
      </c>
      <c r="V72" s="14" t="s">
        <v>69</v>
      </c>
      <c r="AC72" t="s">
        <v>1189</v>
      </c>
      <c r="AD72" t="s">
        <v>54</v>
      </c>
      <c r="AE72" t="s">
        <v>3</v>
      </c>
    </row>
    <row r="73" spans="1:31" ht="28" x14ac:dyDescent="0.15">
      <c r="A73" s="4" t="s">
        <v>1341</v>
      </c>
      <c r="B73" s="4" t="s">
        <v>1333</v>
      </c>
      <c r="C73" s="4" t="s">
        <v>1342</v>
      </c>
      <c r="D73" s="4" t="s">
        <v>1823</v>
      </c>
      <c r="E73" s="7">
        <v>1000</v>
      </c>
      <c r="F73" s="7">
        <v>3200</v>
      </c>
      <c r="G73" s="7">
        <v>3200</v>
      </c>
      <c r="H73" s="4"/>
      <c r="I73" s="4" t="b">
        <v>0</v>
      </c>
      <c r="J73" s="4" t="s">
        <v>1600</v>
      </c>
      <c r="K73" s="5"/>
      <c r="L73" s="5"/>
      <c r="M73" s="5" t="s">
        <v>1824</v>
      </c>
      <c r="N73" s="5"/>
      <c r="O73" s="5"/>
      <c r="P73" s="5"/>
      <c r="Q73" s="5"/>
      <c r="R73" s="5"/>
      <c r="S73" s="5"/>
      <c r="T73" s="5"/>
      <c r="U73" s="5" t="s">
        <v>1619</v>
      </c>
      <c r="V73" s="14" t="s">
        <v>69</v>
      </c>
      <c r="AC73" t="s">
        <v>1189</v>
      </c>
      <c r="AD73" t="s">
        <v>54</v>
      </c>
      <c r="AE73" t="s">
        <v>3</v>
      </c>
    </row>
    <row r="74" spans="1:31" ht="28" x14ac:dyDescent="0.15">
      <c r="A74" s="4" t="s">
        <v>1343</v>
      </c>
      <c r="B74" s="4" t="s">
        <v>1333</v>
      </c>
      <c r="C74" s="4" t="s">
        <v>1344</v>
      </c>
      <c r="D74" s="4" t="s">
        <v>1823</v>
      </c>
      <c r="E74" s="7">
        <v>650</v>
      </c>
      <c r="F74" s="7">
        <v>3200</v>
      </c>
      <c r="G74" s="7">
        <v>3200</v>
      </c>
      <c r="H74" s="4"/>
      <c r="I74" s="4" t="b">
        <v>0</v>
      </c>
      <c r="J74" s="4" t="s">
        <v>1600</v>
      </c>
      <c r="K74" s="5"/>
      <c r="L74" s="5"/>
      <c r="M74" s="5" t="s">
        <v>1824</v>
      </c>
      <c r="N74" s="5"/>
      <c r="O74" s="5"/>
      <c r="P74" s="5"/>
      <c r="Q74" s="5"/>
      <c r="R74" s="5"/>
      <c r="S74" s="5"/>
      <c r="T74" s="5"/>
      <c r="U74" s="5" t="s">
        <v>1619</v>
      </c>
      <c r="V74" s="14" t="s">
        <v>69</v>
      </c>
      <c r="AC74" t="s">
        <v>1189</v>
      </c>
      <c r="AD74" t="s">
        <v>54</v>
      </c>
      <c r="AE74" t="s">
        <v>3</v>
      </c>
    </row>
    <row r="75" spans="1:31" ht="28" x14ac:dyDescent="0.15">
      <c r="A75" s="4" t="s">
        <v>1345</v>
      </c>
      <c r="B75" s="4" t="s">
        <v>1333</v>
      </c>
      <c r="C75" s="4" t="s">
        <v>1346</v>
      </c>
      <c r="D75" s="4" t="s">
        <v>1823</v>
      </c>
      <c r="E75" s="7">
        <v>20000</v>
      </c>
      <c r="F75" s="7">
        <v>3200</v>
      </c>
      <c r="G75" s="7">
        <v>5600</v>
      </c>
      <c r="H75" s="4"/>
      <c r="I75" s="4" t="b">
        <v>0</v>
      </c>
      <c r="J75" s="4" t="s">
        <v>1600</v>
      </c>
      <c r="K75" s="5"/>
      <c r="L75" s="5"/>
      <c r="M75" s="5" t="s">
        <v>1832</v>
      </c>
      <c r="N75" s="5"/>
      <c r="O75" s="5"/>
      <c r="P75" s="5"/>
      <c r="Q75" s="5"/>
      <c r="R75" s="5"/>
      <c r="S75" s="5"/>
      <c r="T75" s="5"/>
      <c r="U75" s="5" t="s">
        <v>1619</v>
      </c>
      <c r="V75" s="14" t="s">
        <v>69</v>
      </c>
      <c r="AC75" t="s">
        <v>1189</v>
      </c>
      <c r="AD75" t="s">
        <v>54</v>
      </c>
      <c r="AE75" t="s">
        <v>3</v>
      </c>
    </row>
    <row r="76" spans="1:31" ht="28" x14ac:dyDescent="0.15">
      <c r="A76" s="4" t="s">
        <v>1347</v>
      </c>
      <c r="B76" s="4" t="s">
        <v>1333</v>
      </c>
      <c r="C76" s="4" t="s">
        <v>1348</v>
      </c>
      <c r="D76" s="4" t="s">
        <v>1823</v>
      </c>
      <c r="E76" s="7">
        <v>750</v>
      </c>
      <c r="F76" s="7">
        <v>3200</v>
      </c>
      <c r="G76" s="7">
        <v>3200</v>
      </c>
      <c r="H76" s="4"/>
      <c r="I76" s="4" t="b">
        <v>0</v>
      </c>
      <c r="J76" s="4" t="s">
        <v>1600</v>
      </c>
      <c r="K76" s="5"/>
      <c r="L76" s="5"/>
      <c r="M76" s="5" t="s">
        <v>1824</v>
      </c>
      <c r="N76" s="5"/>
      <c r="O76" s="5"/>
      <c r="P76" s="5"/>
      <c r="Q76" s="5"/>
      <c r="R76" s="5"/>
      <c r="S76" s="5"/>
      <c r="T76" s="5"/>
      <c r="U76" s="5" t="s">
        <v>1619</v>
      </c>
      <c r="V76" s="14" t="s">
        <v>69</v>
      </c>
      <c r="AC76" t="s">
        <v>1189</v>
      </c>
      <c r="AD76" t="s">
        <v>54</v>
      </c>
      <c r="AE76" t="s">
        <v>3</v>
      </c>
    </row>
    <row r="77" spans="1:31" ht="28" x14ac:dyDescent="0.15">
      <c r="A77" s="4" t="s">
        <v>1349</v>
      </c>
      <c r="B77" s="4" t="s">
        <v>1333</v>
      </c>
      <c r="C77" s="4" t="s">
        <v>1350</v>
      </c>
      <c r="D77" s="4" t="s">
        <v>1823</v>
      </c>
      <c r="E77" s="7">
        <v>650</v>
      </c>
      <c r="F77" s="7">
        <v>3200</v>
      </c>
      <c r="G77" s="7">
        <v>3200</v>
      </c>
      <c r="H77" s="4"/>
      <c r="I77" s="4" t="b">
        <v>0</v>
      </c>
      <c r="J77" s="4" t="s">
        <v>1600</v>
      </c>
      <c r="K77" s="5"/>
      <c r="L77" s="5"/>
      <c r="M77" s="5" t="s">
        <v>1824</v>
      </c>
      <c r="N77" s="5"/>
      <c r="O77" s="5"/>
      <c r="P77" s="5"/>
      <c r="Q77" s="5"/>
      <c r="R77" s="5"/>
      <c r="S77" s="5"/>
      <c r="T77" s="5"/>
      <c r="U77" s="5" t="s">
        <v>1619</v>
      </c>
      <c r="V77" s="14" t="s">
        <v>69</v>
      </c>
      <c r="AC77" t="s">
        <v>1189</v>
      </c>
      <c r="AD77" t="s">
        <v>54</v>
      </c>
      <c r="AE77" t="s">
        <v>3</v>
      </c>
    </row>
    <row r="78" spans="1:31" ht="14" x14ac:dyDescent="0.15">
      <c r="A78" s="4" t="s">
        <v>1351</v>
      </c>
      <c r="B78" s="4" t="s">
        <v>1352</v>
      </c>
      <c r="C78" s="4" t="s">
        <v>1353</v>
      </c>
      <c r="D78" s="4" t="s">
        <v>1821</v>
      </c>
      <c r="E78" s="7">
        <v>500</v>
      </c>
      <c r="F78" s="7">
        <v>5600</v>
      </c>
      <c r="G78" s="7">
        <v>5600</v>
      </c>
      <c r="H78" s="4"/>
      <c r="I78" s="4" t="b">
        <v>0</v>
      </c>
      <c r="J78" s="4" t="s">
        <v>1600</v>
      </c>
      <c r="K78" s="5"/>
      <c r="L78" s="5"/>
      <c r="M78" s="5" t="s">
        <v>1826</v>
      </c>
      <c r="N78" s="5"/>
      <c r="O78" s="5"/>
      <c r="P78" s="5"/>
      <c r="Q78" s="5"/>
      <c r="R78" s="5"/>
      <c r="S78" s="5"/>
      <c r="T78" s="5"/>
      <c r="U78" s="5" t="s">
        <v>1619</v>
      </c>
      <c r="V78" s="14" t="s">
        <v>69</v>
      </c>
      <c r="AC78" t="s">
        <v>1189</v>
      </c>
      <c r="AD78" t="s">
        <v>54</v>
      </c>
      <c r="AE78" t="s">
        <v>3</v>
      </c>
    </row>
    <row r="79" spans="1:31" ht="14" x14ac:dyDescent="0.15">
      <c r="A79" s="4" t="s">
        <v>1354</v>
      </c>
      <c r="B79" s="4" t="s">
        <v>1352</v>
      </c>
      <c r="C79" s="4" t="s">
        <v>1355</v>
      </c>
      <c r="D79" s="4" t="s">
        <v>1830</v>
      </c>
      <c r="E79" s="7">
        <v>30</v>
      </c>
      <c r="F79" s="7">
        <v>2700</v>
      </c>
      <c r="G79" s="7">
        <v>6500</v>
      </c>
      <c r="H79" s="4"/>
      <c r="I79" s="4" t="b">
        <v>0</v>
      </c>
      <c r="J79" s="4" t="s">
        <v>1600</v>
      </c>
      <c r="K79" s="5"/>
      <c r="L79" s="5"/>
      <c r="M79" s="5" t="s">
        <v>1828</v>
      </c>
      <c r="N79" s="5"/>
      <c r="O79" s="5"/>
      <c r="P79" s="5"/>
      <c r="Q79" s="5"/>
      <c r="R79" s="5"/>
      <c r="S79" s="5"/>
      <c r="T79" s="5"/>
      <c r="U79" s="5" t="s">
        <v>1619</v>
      </c>
      <c r="V79" s="14" t="s">
        <v>69</v>
      </c>
      <c r="AC79" t="s">
        <v>1189</v>
      </c>
      <c r="AD79" t="s">
        <v>54</v>
      </c>
      <c r="AE79" t="s">
        <v>3</v>
      </c>
    </row>
    <row r="80" spans="1:31" ht="14" x14ac:dyDescent="0.15">
      <c r="A80" s="4" t="s">
        <v>1356</v>
      </c>
      <c r="B80" s="4" t="s">
        <v>1352</v>
      </c>
      <c r="C80" s="4" t="s">
        <v>1357</v>
      </c>
      <c r="D80" s="4" t="s">
        <v>1821</v>
      </c>
      <c r="E80" s="7">
        <v>720</v>
      </c>
      <c r="F80" s="7">
        <v>2700</v>
      </c>
      <c r="G80" s="7">
        <v>6500</v>
      </c>
      <c r="H80" s="4"/>
      <c r="I80" s="4" t="b">
        <v>0</v>
      </c>
      <c r="J80" s="4" t="s">
        <v>1600</v>
      </c>
      <c r="K80" s="5"/>
      <c r="L80" s="5"/>
      <c r="M80" s="5" t="s">
        <v>1828</v>
      </c>
      <c r="N80" s="5"/>
      <c r="O80" s="5"/>
      <c r="P80" s="5"/>
      <c r="Q80" s="5"/>
      <c r="R80" s="5"/>
      <c r="S80" s="5"/>
      <c r="T80" s="5"/>
      <c r="U80" s="5" t="s">
        <v>1619</v>
      </c>
      <c r="V80" s="14" t="s">
        <v>69</v>
      </c>
      <c r="AC80" t="s">
        <v>1189</v>
      </c>
      <c r="AD80" t="s">
        <v>54</v>
      </c>
      <c r="AE80" t="s">
        <v>3</v>
      </c>
    </row>
    <row r="81" spans="1:31" ht="14" x14ac:dyDescent="0.15">
      <c r="A81" s="4" t="s">
        <v>1358</v>
      </c>
      <c r="B81" s="4" t="s">
        <v>1352</v>
      </c>
      <c r="C81" s="4" t="s">
        <v>1359</v>
      </c>
      <c r="D81" s="4" t="s">
        <v>1830</v>
      </c>
      <c r="E81" s="7">
        <v>6</v>
      </c>
      <c r="F81" s="7">
        <v>2700</v>
      </c>
      <c r="G81" s="7">
        <v>6500</v>
      </c>
      <c r="H81" s="4"/>
      <c r="I81" s="4" t="b">
        <v>0</v>
      </c>
      <c r="J81" s="4" t="s">
        <v>1600</v>
      </c>
      <c r="K81" s="5"/>
      <c r="L81" s="5"/>
      <c r="M81" s="5" t="s">
        <v>1828</v>
      </c>
      <c r="N81" s="5"/>
      <c r="O81" s="5"/>
      <c r="P81" s="5"/>
      <c r="Q81" s="5"/>
      <c r="R81" s="5"/>
      <c r="S81" s="5"/>
      <c r="T81" s="5"/>
      <c r="U81" s="5" t="s">
        <v>1619</v>
      </c>
      <c r="V81" s="14" t="s">
        <v>69</v>
      </c>
      <c r="AC81" t="s">
        <v>1189</v>
      </c>
      <c r="AD81" t="s">
        <v>54</v>
      </c>
      <c r="AE81" t="s">
        <v>3</v>
      </c>
    </row>
    <row r="82" spans="1:31" ht="14" x14ac:dyDescent="0.15">
      <c r="A82" s="4" t="s">
        <v>1360</v>
      </c>
      <c r="B82" s="4" t="s">
        <v>1361</v>
      </c>
      <c r="C82" s="4" t="s">
        <v>1362</v>
      </c>
      <c r="D82" s="4" t="s">
        <v>1821</v>
      </c>
      <c r="E82" s="7">
        <v>1200</v>
      </c>
      <c r="F82" s="7">
        <v>5600</v>
      </c>
      <c r="G82" s="7">
        <v>5600</v>
      </c>
      <c r="H82" s="4"/>
      <c r="I82" s="4" t="b">
        <v>0</v>
      </c>
      <c r="J82" s="4" t="s">
        <v>1600</v>
      </c>
      <c r="K82" s="5"/>
      <c r="L82" s="5"/>
      <c r="M82" s="5" t="s">
        <v>1826</v>
      </c>
      <c r="N82" s="5"/>
      <c r="O82" s="5"/>
      <c r="P82" s="5"/>
      <c r="Q82" s="5"/>
      <c r="R82" s="5"/>
      <c r="S82" s="5"/>
      <c r="T82" s="5"/>
      <c r="U82" s="5" t="s">
        <v>1619</v>
      </c>
      <c r="V82" s="14" t="s">
        <v>69</v>
      </c>
      <c r="AC82" t="s">
        <v>1189</v>
      </c>
      <c r="AD82" t="s">
        <v>54</v>
      </c>
      <c r="AE82" t="s">
        <v>3</v>
      </c>
    </row>
    <row r="83" spans="1:31" ht="14" x14ac:dyDescent="0.15">
      <c r="A83" s="4" t="s">
        <v>1363</v>
      </c>
      <c r="B83" s="4" t="s">
        <v>1361</v>
      </c>
      <c r="C83" s="4" t="s">
        <v>1364</v>
      </c>
      <c r="D83" s="4" t="s">
        <v>1821</v>
      </c>
      <c r="E83" s="7">
        <v>500</v>
      </c>
      <c r="F83" s="7">
        <v>5600</v>
      </c>
      <c r="G83" s="7">
        <v>5600</v>
      </c>
      <c r="H83" s="4"/>
      <c r="I83" s="4" t="b">
        <v>0</v>
      </c>
      <c r="J83" s="4" t="s">
        <v>1600</v>
      </c>
      <c r="K83" s="5"/>
      <c r="L83" s="5"/>
      <c r="M83" s="5" t="s">
        <v>1826</v>
      </c>
      <c r="N83" s="5"/>
      <c r="O83" s="5"/>
      <c r="P83" s="5"/>
      <c r="Q83" s="5"/>
      <c r="R83" s="5"/>
      <c r="S83" s="5"/>
      <c r="T83" s="5"/>
      <c r="U83" s="5" t="s">
        <v>1619</v>
      </c>
      <c r="V83" s="14" t="s">
        <v>69</v>
      </c>
      <c r="AC83" t="s">
        <v>1189</v>
      </c>
      <c r="AD83" t="s">
        <v>54</v>
      </c>
      <c r="AE83" t="s">
        <v>3</v>
      </c>
    </row>
    <row r="84" spans="1:31" ht="14" x14ac:dyDescent="0.15">
      <c r="A84" s="4" t="s">
        <v>1365</v>
      </c>
      <c r="B84" s="4" t="s">
        <v>1361</v>
      </c>
      <c r="C84" s="4" t="s">
        <v>1366</v>
      </c>
      <c r="D84" s="4" t="s">
        <v>1821</v>
      </c>
      <c r="E84" s="7">
        <v>1200</v>
      </c>
      <c r="F84" s="7">
        <v>2700</v>
      </c>
      <c r="G84" s="7">
        <v>6500</v>
      </c>
      <c r="H84" s="4"/>
      <c r="I84" s="4" t="b">
        <v>0</v>
      </c>
      <c r="J84" s="4" t="s">
        <v>1600</v>
      </c>
      <c r="K84" s="5"/>
      <c r="L84" s="5"/>
      <c r="M84" s="5" t="s">
        <v>1828</v>
      </c>
      <c r="N84" s="5"/>
      <c r="O84" s="5"/>
      <c r="P84" s="5"/>
      <c r="Q84" s="5"/>
      <c r="R84" s="5"/>
      <c r="S84" s="5"/>
      <c r="T84" s="5"/>
      <c r="U84" s="5" t="s">
        <v>1619</v>
      </c>
      <c r="V84" s="14" t="s">
        <v>69</v>
      </c>
      <c r="AC84" t="s">
        <v>1189</v>
      </c>
      <c r="AD84" t="s">
        <v>54</v>
      </c>
      <c r="AE84" t="s">
        <v>3</v>
      </c>
    </row>
    <row r="85" spans="1:31" ht="14" x14ac:dyDescent="0.15">
      <c r="A85" s="4" t="s">
        <v>1367</v>
      </c>
      <c r="B85" s="4" t="s">
        <v>1361</v>
      </c>
      <c r="C85" s="4" t="s">
        <v>1368</v>
      </c>
      <c r="D85" s="4" t="s">
        <v>1821</v>
      </c>
      <c r="E85" s="7">
        <v>1200</v>
      </c>
      <c r="F85" s="7">
        <v>2700</v>
      </c>
      <c r="G85" s="7">
        <v>6500</v>
      </c>
      <c r="H85" s="4"/>
      <c r="I85" s="4" t="b">
        <v>0</v>
      </c>
      <c r="J85" s="4" t="s">
        <v>1600</v>
      </c>
      <c r="K85" s="5"/>
      <c r="L85" s="5"/>
      <c r="M85" s="5" t="s">
        <v>1828</v>
      </c>
      <c r="N85" s="5"/>
      <c r="O85" s="5"/>
      <c r="P85" s="5"/>
      <c r="Q85" s="5"/>
      <c r="R85" s="5"/>
      <c r="S85" s="5"/>
      <c r="T85" s="5"/>
      <c r="U85" s="5" t="s">
        <v>1619</v>
      </c>
      <c r="V85" s="14" t="s">
        <v>69</v>
      </c>
      <c r="AC85" t="s">
        <v>1189</v>
      </c>
      <c r="AD85" t="s">
        <v>54</v>
      </c>
      <c r="AE85" t="s">
        <v>3</v>
      </c>
    </row>
    <row r="86" spans="1:31" ht="14" x14ac:dyDescent="0.15">
      <c r="A86" s="4" t="s">
        <v>1369</v>
      </c>
      <c r="B86" s="4" t="s">
        <v>1370</v>
      </c>
      <c r="C86" s="4" t="s">
        <v>1371</v>
      </c>
      <c r="D86" s="4" t="s">
        <v>1834</v>
      </c>
      <c r="E86" s="7">
        <v>60</v>
      </c>
      <c r="F86" s="7">
        <v>2700</v>
      </c>
      <c r="G86" s="7">
        <v>2700</v>
      </c>
      <c r="H86" s="4"/>
      <c r="I86" s="4" t="b">
        <v>0</v>
      </c>
      <c r="J86" s="4" t="s">
        <v>1600</v>
      </c>
      <c r="K86" s="5"/>
      <c r="L86" s="5"/>
      <c r="M86" s="5" t="s">
        <v>1835</v>
      </c>
      <c r="N86" s="5"/>
      <c r="O86" s="5"/>
      <c r="P86" s="5"/>
      <c r="Q86" s="5"/>
      <c r="R86" s="5"/>
      <c r="S86" s="5"/>
      <c r="T86" s="5"/>
      <c r="U86" s="5" t="s">
        <v>1619</v>
      </c>
      <c r="V86" s="14" t="s">
        <v>69</v>
      </c>
      <c r="AC86" t="s">
        <v>1189</v>
      </c>
      <c r="AD86" t="s">
        <v>54</v>
      </c>
      <c r="AE86" t="s">
        <v>3</v>
      </c>
    </row>
    <row r="87" spans="1:31" ht="14" x14ac:dyDescent="0.15">
      <c r="A87" s="4" t="s">
        <v>1372</v>
      </c>
      <c r="B87" s="4" t="s">
        <v>1370</v>
      </c>
      <c r="C87" s="4" t="s">
        <v>1373</v>
      </c>
      <c r="D87" s="4" t="s">
        <v>1834</v>
      </c>
      <c r="E87" s="7">
        <v>20</v>
      </c>
      <c r="F87" s="7">
        <v>2000</v>
      </c>
      <c r="G87" s="7">
        <v>10000</v>
      </c>
      <c r="H87" s="4"/>
      <c r="I87" s="4" t="b">
        <v>0</v>
      </c>
      <c r="J87" s="4" t="s">
        <v>1600</v>
      </c>
      <c r="K87" s="5"/>
      <c r="L87" s="5"/>
      <c r="M87" s="5" t="s">
        <v>1829</v>
      </c>
      <c r="N87" s="5"/>
      <c r="O87" s="5"/>
      <c r="P87" s="5"/>
      <c r="Q87" s="5"/>
      <c r="R87" s="5"/>
      <c r="S87" s="5"/>
      <c r="T87" s="5"/>
      <c r="U87" s="5" t="s">
        <v>1619</v>
      </c>
      <c r="V87" s="14" t="s">
        <v>69</v>
      </c>
      <c r="AC87" t="s">
        <v>1189</v>
      </c>
      <c r="AD87" t="s">
        <v>54</v>
      </c>
      <c r="AE87" t="s">
        <v>3</v>
      </c>
    </row>
    <row r="88" spans="1:31" ht="14" x14ac:dyDescent="0.15">
      <c r="A88" s="4" t="s">
        <v>1374</v>
      </c>
      <c r="B88" s="4" t="s">
        <v>1370</v>
      </c>
      <c r="C88" s="4" t="s">
        <v>1375</v>
      </c>
      <c r="D88" s="4" t="s">
        <v>1834</v>
      </c>
      <c r="E88" s="7">
        <v>5</v>
      </c>
      <c r="F88" s="7">
        <v>1800</v>
      </c>
      <c r="G88" s="7">
        <v>2200</v>
      </c>
      <c r="H88" s="4"/>
      <c r="I88" s="4" t="b">
        <v>0</v>
      </c>
      <c r="J88" s="4" t="s">
        <v>1600</v>
      </c>
      <c r="K88" s="5"/>
      <c r="L88" s="5"/>
      <c r="M88" s="5" t="s">
        <v>1836</v>
      </c>
      <c r="N88" s="5"/>
      <c r="O88" s="5"/>
      <c r="P88" s="5"/>
      <c r="Q88" s="5"/>
      <c r="R88" s="5"/>
      <c r="S88" s="5"/>
      <c r="T88" s="5"/>
      <c r="U88" s="5" t="s">
        <v>1619</v>
      </c>
      <c r="V88" s="14" t="s">
        <v>69</v>
      </c>
      <c r="AC88" t="s">
        <v>1189</v>
      </c>
      <c r="AD88" t="s">
        <v>54</v>
      </c>
      <c r="AE88" t="s">
        <v>3</v>
      </c>
    </row>
    <row r="89" spans="1:31" ht="28" x14ac:dyDescent="0.15">
      <c r="A89" s="4" t="s">
        <v>1376</v>
      </c>
      <c r="B89" s="4" t="s">
        <v>1377</v>
      </c>
      <c r="C89" s="4" t="s">
        <v>1378</v>
      </c>
      <c r="D89" s="4" t="s">
        <v>1830</v>
      </c>
      <c r="E89" s="7">
        <v>25</v>
      </c>
      <c r="F89" s="7">
        <v>2000</v>
      </c>
      <c r="G89" s="7">
        <v>10000</v>
      </c>
      <c r="H89" s="4"/>
      <c r="I89" s="4" t="b">
        <v>0</v>
      </c>
      <c r="J89" s="4" t="s">
        <v>1600</v>
      </c>
      <c r="K89" s="5"/>
      <c r="L89" s="5"/>
      <c r="M89" s="5" t="s">
        <v>1829</v>
      </c>
      <c r="N89" s="5"/>
      <c r="O89" s="5"/>
      <c r="P89" s="5"/>
      <c r="Q89" s="5"/>
      <c r="R89" s="5"/>
      <c r="S89" s="5"/>
      <c r="T89" s="5"/>
      <c r="U89" s="5" t="s">
        <v>1619</v>
      </c>
      <c r="V89" s="14" t="s">
        <v>69</v>
      </c>
      <c r="AC89" t="s">
        <v>1189</v>
      </c>
      <c r="AD89" t="s">
        <v>54</v>
      </c>
      <c r="AE89" t="s">
        <v>3</v>
      </c>
    </row>
    <row r="90" spans="1:31" ht="28" x14ac:dyDescent="0.15">
      <c r="A90" s="4" t="s">
        <v>1379</v>
      </c>
      <c r="B90" s="4" t="s">
        <v>1377</v>
      </c>
      <c r="C90" s="4" t="s">
        <v>1380</v>
      </c>
      <c r="D90" s="4" t="s">
        <v>1830</v>
      </c>
      <c r="E90" s="7">
        <v>25</v>
      </c>
      <c r="F90" s="7">
        <v>2000</v>
      </c>
      <c r="G90" s="7">
        <v>6000</v>
      </c>
      <c r="H90" s="4"/>
      <c r="I90" s="4" t="b">
        <v>0</v>
      </c>
      <c r="J90" s="4" t="s">
        <v>1600</v>
      </c>
      <c r="K90" s="5"/>
      <c r="L90" s="5"/>
      <c r="M90" s="5" t="s">
        <v>1837</v>
      </c>
      <c r="N90" s="5"/>
      <c r="O90" s="5"/>
      <c r="P90" s="5"/>
      <c r="Q90" s="5"/>
      <c r="R90" s="5"/>
      <c r="S90" s="5"/>
      <c r="T90" s="5"/>
      <c r="U90" s="5" t="s">
        <v>1619</v>
      </c>
      <c r="V90" s="14" t="s">
        <v>69</v>
      </c>
      <c r="AC90" t="s">
        <v>1189</v>
      </c>
      <c r="AD90" t="s">
        <v>54</v>
      </c>
      <c r="AE90" t="s">
        <v>3</v>
      </c>
    </row>
    <row r="91" spans="1:31" ht="28" x14ac:dyDescent="0.15">
      <c r="A91" s="4" t="s">
        <v>1381</v>
      </c>
      <c r="B91" s="4" t="s">
        <v>1377</v>
      </c>
      <c r="C91" s="4" t="s">
        <v>1382</v>
      </c>
      <c r="D91" s="4" t="s">
        <v>1830</v>
      </c>
      <c r="E91" s="7">
        <v>50</v>
      </c>
      <c r="F91" s="7">
        <v>2000</v>
      </c>
      <c r="G91" s="7">
        <v>10000</v>
      </c>
      <c r="H91" s="4"/>
      <c r="I91" s="4" t="b">
        <v>0</v>
      </c>
      <c r="J91" s="4" t="s">
        <v>1600</v>
      </c>
      <c r="K91" s="5"/>
      <c r="L91" s="5"/>
      <c r="M91" s="5" t="s">
        <v>1829</v>
      </c>
      <c r="N91" s="5"/>
      <c r="O91" s="5"/>
      <c r="P91" s="5"/>
      <c r="Q91" s="5"/>
      <c r="R91" s="5"/>
      <c r="S91" s="5"/>
      <c r="T91" s="5"/>
      <c r="U91" s="5" t="s">
        <v>1619</v>
      </c>
      <c r="V91" s="14" t="s">
        <v>69</v>
      </c>
      <c r="AC91" t="s">
        <v>1189</v>
      </c>
      <c r="AD91" t="s">
        <v>54</v>
      </c>
      <c r="AE91" t="s">
        <v>3</v>
      </c>
    </row>
    <row r="92" spans="1:31" ht="84" x14ac:dyDescent="0.15">
      <c r="A92" s="5" t="s">
        <v>1383</v>
      </c>
      <c r="B92" s="5" t="s">
        <v>1223</v>
      </c>
      <c r="C92" s="5" t="s">
        <v>1384</v>
      </c>
      <c r="D92" s="5" t="s">
        <v>1838</v>
      </c>
      <c r="E92" s="5">
        <v>720</v>
      </c>
      <c r="F92" s="5" t="s">
        <v>1839</v>
      </c>
      <c r="G92" s="5" t="s">
        <v>1839</v>
      </c>
      <c r="H92" s="5" t="s">
        <v>1840</v>
      </c>
      <c r="I92" s="5" t="b">
        <v>0</v>
      </c>
      <c r="J92" s="5" t="s">
        <v>1841</v>
      </c>
      <c r="K92" s="5" t="s">
        <v>1842</v>
      </c>
      <c r="L92" s="5" t="s">
        <v>1842</v>
      </c>
      <c r="M92" s="5" t="s">
        <v>1843</v>
      </c>
      <c r="N92" s="5"/>
      <c r="O92" s="5"/>
      <c r="P92" s="5"/>
      <c r="Q92" s="5" t="s">
        <v>1844</v>
      </c>
      <c r="R92" s="5" t="s">
        <v>1845</v>
      </c>
      <c r="S92" s="5"/>
      <c r="T92" s="5" t="s">
        <v>1846</v>
      </c>
      <c r="U92" s="5" t="s">
        <v>1847</v>
      </c>
      <c r="V92" s="14" t="s">
        <v>69</v>
      </c>
      <c r="AC92" t="s">
        <v>1189</v>
      </c>
      <c r="AD92" t="s">
        <v>54</v>
      </c>
      <c r="AE92" t="s">
        <v>3</v>
      </c>
    </row>
    <row r="93" spans="1:31" ht="84" x14ac:dyDescent="0.15">
      <c r="A93" s="5" t="s">
        <v>1385</v>
      </c>
      <c r="B93" s="5" t="s">
        <v>1223</v>
      </c>
      <c r="C93" s="5" t="s">
        <v>1244</v>
      </c>
      <c r="D93" s="5" t="s">
        <v>1838</v>
      </c>
      <c r="E93" s="5">
        <v>1200</v>
      </c>
      <c r="F93" s="5" t="s">
        <v>1839</v>
      </c>
      <c r="G93" s="5" t="s">
        <v>1839</v>
      </c>
      <c r="H93" s="5" t="s">
        <v>1840</v>
      </c>
      <c r="I93" s="5" t="b">
        <v>0</v>
      </c>
      <c r="J93" s="5" t="s">
        <v>1841</v>
      </c>
      <c r="K93" s="5" t="s">
        <v>1842</v>
      </c>
      <c r="L93" s="5" t="s">
        <v>1842</v>
      </c>
      <c r="M93" s="5" t="s">
        <v>1843</v>
      </c>
      <c r="N93" s="5"/>
      <c r="O93" s="5"/>
      <c r="P93" s="5"/>
      <c r="Q93" s="5" t="s">
        <v>1844</v>
      </c>
      <c r="R93" s="5" t="s">
        <v>1845</v>
      </c>
      <c r="S93" s="5"/>
      <c r="T93" s="5" t="s">
        <v>1846</v>
      </c>
      <c r="U93" s="5" t="s">
        <v>1847</v>
      </c>
      <c r="V93" s="14" t="s">
        <v>69</v>
      </c>
      <c r="AC93" t="s">
        <v>1189</v>
      </c>
      <c r="AD93" t="s">
        <v>54</v>
      </c>
      <c r="AE93" t="s">
        <v>3</v>
      </c>
    </row>
    <row r="94" spans="1:31" ht="84" x14ac:dyDescent="0.15">
      <c r="A94" s="5" t="s">
        <v>1386</v>
      </c>
      <c r="B94" s="5" t="s">
        <v>1223</v>
      </c>
      <c r="C94" s="5" t="s">
        <v>1387</v>
      </c>
      <c r="D94" s="5" t="s">
        <v>1848</v>
      </c>
      <c r="E94" s="5">
        <v>120</v>
      </c>
      <c r="F94" s="5" t="s">
        <v>1849</v>
      </c>
      <c r="G94" s="5" t="s">
        <v>1850</v>
      </c>
      <c r="H94" s="5" t="s">
        <v>1840</v>
      </c>
      <c r="I94" s="5" t="b">
        <v>0</v>
      </c>
      <c r="J94" s="5" t="s">
        <v>1841</v>
      </c>
      <c r="K94" s="5" t="s">
        <v>1842</v>
      </c>
      <c r="L94" s="5" t="s">
        <v>1842</v>
      </c>
      <c r="M94" s="5" t="s">
        <v>1851</v>
      </c>
      <c r="N94" s="5"/>
      <c r="O94" s="5"/>
      <c r="P94" s="5"/>
      <c r="Q94" s="5" t="s">
        <v>1844</v>
      </c>
      <c r="R94" s="5" t="s">
        <v>1845</v>
      </c>
      <c r="S94" s="5"/>
      <c r="T94" s="5" t="s">
        <v>1846</v>
      </c>
      <c r="U94" s="5" t="s">
        <v>1847</v>
      </c>
      <c r="V94" s="14" t="s">
        <v>69</v>
      </c>
      <c r="AC94" t="s">
        <v>1189</v>
      </c>
      <c r="AD94" t="s">
        <v>54</v>
      </c>
      <c r="AE94" t="s">
        <v>3</v>
      </c>
    </row>
    <row r="95" spans="1:31" ht="84" x14ac:dyDescent="0.15">
      <c r="A95" s="5" t="s">
        <v>1388</v>
      </c>
      <c r="B95" s="5" t="s">
        <v>1389</v>
      </c>
      <c r="C95" s="5" t="s">
        <v>1390</v>
      </c>
      <c r="D95" s="5" t="s">
        <v>1852</v>
      </c>
      <c r="E95" s="5">
        <v>100</v>
      </c>
      <c r="F95" s="5" t="s">
        <v>1849</v>
      </c>
      <c r="G95" s="5" t="s">
        <v>1850</v>
      </c>
      <c r="H95" s="5" t="s">
        <v>1840</v>
      </c>
      <c r="I95" s="5" t="b">
        <v>0</v>
      </c>
      <c r="J95" s="5" t="s">
        <v>1841</v>
      </c>
      <c r="K95" s="5" t="s">
        <v>1842</v>
      </c>
      <c r="L95" s="5" t="s">
        <v>1842</v>
      </c>
      <c r="M95" s="5" t="s">
        <v>1851</v>
      </c>
      <c r="N95" s="5"/>
      <c r="O95" s="5"/>
      <c r="P95" s="5"/>
      <c r="Q95" s="5" t="s">
        <v>1844</v>
      </c>
      <c r="R95" s="5" t="s">
        <v>1845</v>
      </c>
      <c r="S95" s="5"/>
      <c r="T95" s="5" t="s">
        <v>1846</v>
      </c>
      <c r="U95" s="5" t="s">
        <v>1847</v>
      </c>
      <c r="V95" s="14" t="s">
        <v>69</v>
      </c>
      <c r="AC95" t="s">
        <v>1189</v>
      </c>
      <c r="AD95" t="s">
        <v>54</v>
      </c>
      <c r="AE95" t="s">
        <v>3</v>
      </c>
    </row>
    <row r="96" spans="1:31" ht="84" x14ac:dyDescent="0.15">
      <c r="A96" s="5" t="s">
        <v>1391</v>
      </c>
      <c r="B96" s="5" t="s">
        <v>1389</v>
      </c>
      <c r="C96" s="5" t="s">
        <v>1392</v>
      </c>
      <c r="D96" s="5" t="s">
        <v>1852</v>
      </c>
      <c r="E96" s="5">
        <v>100</v>
      </c>
      <c r="F96" s="5" t="s">
        <v>1849</v>
      </c>
      <c r="G96" s="5" t="s">
        <v>1850</v>
      </c>
      <c r="H96" s="5" t="s">
        <v>1840</v>
      </c>
      <c r="I96" s="5" t="b">
        <v>0</v>
      </c>
      <c r="J96" s="5" t="s">
        <v>1841</v>
      </c>
      <c r="K96" s="5" t="s">
        <v>1842</v>
      </c>
      <c r="L96" s="5" t="s">
        <v>1842</v>
      </c>
      <c r="M96" s="5" t="s">
        <v>1851</v>
      </c>
      <c r="N96" s="5"/>
      <c r="O96" s="5"/>
      <c r="P96" s="5"/>
      <c r="Q96" s="5" t="s">
        <v>1844</v>
      </c>
      <c r="R96" s="5" t="s">
        <v>1845</v>
      </c>
      <c r="S96" s="5"/>
      <c r="T96" s="5" t="s">
        <v>1846</v>
      </c>
      <c r="U96" s="5" t="s">
        <v>1847</v>
      </c>
      <c r="V96" s="14" t="s">
        <v>69</v>
      </c>
      <c r="AC96" t="s">
        <v>1189</v>
      </c>
      <c r="AD96" t="s">
        <v>54</v>
      </c>
      <c r="AE96" t="s">
        <v>3</v>
      </c>
    </row>
    <row r="97" spans="1:31" ht="84" x14ac:dyDescent="0.15">
      <c r="A97" s="5" t="s">
        <v>1393</v>
      </c>
      <c r="B97" s="5" t="s">
        <v>1352</v>
      </c>
      <c r="C97" s="5" t="s">
        <v>1355</v>
      </c>
      <c r="D97" s="5" t="s">
        <v>1853</v>
      </c>
      <c r="E97" s="5">
        <v>30</v>
      </c>
      <c r="F97" s="5" t="s">
        <v>1854</v>
      </c>
      <c r="G97" s="5" t="s">
        <v>1855</v>
      </c>
      <c r="H97" s="5" t="s">
        <v>1840</v>
      </c>
      <c r="I97" s="5" t="b">
        <v>0</v>
      </c>
      <c r="J97" s="5" t="s">
        <v>1841</v>
      </c>
      <c r="K97" s="5" t="s">
        <v>1842</v>
      </c>
      <c r="L97" s="5" t="s">
        <v>1842</v>
      </c>
      <c r="M97" s="5" t="s">
        <v>1856</v>
      </c>
      <c r="N97" s="5"/>
      <c r="O97" s="5"/>
      <c r="P97" s="5"/>
      <c r="Q97" s="5" t="s">
        <v>1844</v>
      </c>
      <c r="R97" s="5" t="s">
        <v>1845</v>
      </c>
      <c r="S97" s="5"/>
      <c r="T97" s="5" t="s">
        <v>1846</v>
      </c>
      <c r="U97" s="5" t="s">
        <v>1847</v>
      </c>
      <c r="V97" s="14" t="s">
        <v>69</v>
      </c>
      <c r="AC97" t="s">
        <v>1189</v>
      </c>
      <c r="AD97" t="s">
        <v>54</v>
      </c>
      <c r="AE97" t="s">
        <v>3</v>
      </c>
    </row>
    <row r="98" spans="1:31" ht="84" x14ac:dyDescent="0.15">
      <c r="A98" s="5" t="s">
        <v>1394</v>
      </c>
      <c r="B98" s="5" t="s">
        <v>1352</v>
      </c>
      <c r="C98" s="5" t="s">
        <v>1395</v>
      </c>
      <c r="D98" s="5" t="s">
        <v>1853</v>
      </c>
      <c r="E98" s="5">
        <v>15</v>
      </c>
      <c r="F98" s="5" t="s">
        <v>1854</v>
      </c>
      <c r="G98" s="5" t="s">
        <v>1855</v>
      </c>
      <c r="H98" s="5" t="s">
        <v>1840</v>
      </c>
      <c r="I98" s="5" t="b">
        <v>0</v>
      </c>
      <c r="J98" s="5" t="s">
        <v>1841</v>
      </c>
      <c r="K98" s="5" t="s">
        <v>1842</v>
      </c>
      <c r="L98" s="5" t="s">
        <v>1842</v>
      </c>
      <c r="M98" s="5" t="s">
        <v>1856</v>
      </c>
      <c r="N98" s="5"/>
      <c r="O98" s="5"/>
      <c r="P98" s="5"/>
      <c r="Q98" s="5" t="s">
        <v>1844</v>
      </c>
      <c r="R98" s="5" t="s">
        <v>1845</v>
      </c>
      <c r="S98" s="5"/>
      <c r="T98" s="5" t="s">
        <v>1846</v>
      </c>
      <c r="U98" s="5" t="s">
        <v>1847</v>
      </c>
      <c r="V98" s="14" t="s">
        <v>69</v>
      </c>
      <c r="AC98" t="s">
        <v>1189</v>
      </c>
      <c r="AD98" t="s">
        <v>54</v>
      </c>
      <c r="AE98" t="s">
        <v>3</v>
      </c>
    </row>
    <row r="99" spans="1:31" ht="84" x14ac:dyDescent="0.15">
      <c r="A99" s="5" t="s">
        <v>1396</v>
      </c>
      <c r="B99" s="5" t="s">
        <v>1254</v>
      </c>
      <c r="C99" s="5" t="s">
        <v>1397</v>
      </c>
      <c r="D99" s="5" t="s">
        <v>1857</v>
      </c>
      <c r="E99" s="5">
        <v>105</v>
      </c>
      <c r="F99" s="5" t="s">
        <v>1858</v>
      </c>
      <c r="G99" s="5" t="s">
        <v>1859</v>
      </c>
      <c r="H99" s="5" t="s">
        <v>1840</v>
      </c>
      <c r="I99" s="5" t="b">
        <v>0</v>
      </c>
      <c r="J99" s="5" t="s">
        <v>1841</v>
      </c>
      <c r="K99" s="5" t="s">
        <v>1842</v>
      </c>
      <c r="L99" s="5" t="s">
        <v>1842</v>
      </c>
      <c r="M99" s="5" t="s">
        <v>1860</v>
      </c>
      <c r="N99" s="5"/>
      <c r="O99" s="5"/>
      <c r="P99" s="5"/>
      <c r="Q99" s="5" t="s">
        <v>1844</v>
      </c>
      <c r="R99" s="5" t="s">
        <v>1845</v>
      </c>
      <c r="S99" s="5"/>
      <c r="T99" s="5" t="s">
        <v>1846</v>
      </c>
      <c r="U99" s="5" t="s">
        <v>1847</v>
      </c>
      <c r="V99" s="14" t="s">
        <v>69</v>
      </c>
      <c r="AC99" t="s">
        <v>1189</v>
      </c>
      <c r="AD99" t="s">
        <v>54</v>
      </c>
      <c r="AE99" t="s">
        <v>3</v>
      </c>
    </row>
    <row r="100" spans="1:31" ht="84" x14ac:dyDescent="0.15">
      <c r="A100" s="5" t="s">
        <v>1398</v>
      </c>
      <c r="B100" s="5" t="s">
        <v>49</v>
      </c>
      <c r="C100" s="5" t="s">
        <v>1193</v>
      </c>
      <c r="D100" s="5" t="s">
        <v>1861</v>
      </c>
      <c r="E100" s="5">
        <v>420</v>
      </c>
      <c r="F100" s="5" t="s">
        <v>1862</v>
      </c>
      <c r="G100" s="5" t="s">
        <v>1863</v>
      </c>
      <c r="H100" s="5" t="s">
        <v>1840</v>
      </c>
      <c r="I100" s="5" t="b">
        <v>0</v>
      </c>
      <c r="J100" s="5" t="s">
        <v>1841</v>
      </c>
      <c r="K100" s="5" t="s">
        <v>1842</v>
      </c>
      <c r="L100" s="5" t="s">
        <v>1842</v>
      </c>
      <c r="M100" s="5" t="s">
        <v>1864</v>
      </c>
      <c r="N100" s="5"/>
      <c r="O100" s="5"/>
      <c r="P100" s="5"/>
      <c r="Q100" s="5" t="s">
        <v>1844</v>
      </c>
      <c r="R100" s="5" t="s">
        <v>1845</v>
      </c>
      <c r="S100" s="5"/>
      <c r="T100" s="5" t="s">
        <v>1846</v>
      </c>
      <c r="U100" s="5" t="s">
        <v>1847</v>
      </c>
      <c r="V100" s="14" t="s">
        <v>69</v>
      </c>
      <c r="AC100" t="s">
        <v>1189</v>
      </c>
      <c r="AD100" t="s">
        <v>54</v>
      </c>
      <c r="AE100" t="s">
        <v>3</v>
      </c>
    </row>
    <row r="101" spans="1:31" ht="84" x14ac:dyDescent="0.15">
      <c r="A101" s="5" t="s">
        <v>1399</v>
      </c>
      <c r="B101" s="5" t="s">
        <v>1318</v>
      </c>
      <c r="C101" s="5" t="s">
        <v>1400</v>
      </c>
      <c r="D101" s="5" t="s">
        <v>1861</v>
      </c>
      <c r="E101" s="5">
        <v>325</v>
      </c>
      <c r="F101" s="5" t="s">
        <v>1854</v>
      </c>
      <c r="G101" s="5" t="s">
        <v>1863</v>
      </c>
      <c r="H101" s="5" t="s">
        <v>1840</v>
      </c>
      <c r="I101" s="5" t="b">
        <v>0</v>
      </c>
      <c r="J101" s="5" t="s">
        <v>1841</v>
      </c>
      <c r="K101" s="5" t="s">
        <v>1842</v>
      </c>
      <c r="L101" s="5" t="s">
        <v>1842</v>
      </c>
      <c r="M101" s="5" t="s">
        <v>1865</v>
      </c>
      <c r="N101" s="5"/>
      <c r="O101" s="5"/>
      <c r="P101" s="5"/>
      <c r="Q101" s="5" t="s">
        <v>1844</v>
      </c>
      <c r="R101" s="5" t="s">
        <v>1845</v>
      </c>
      <c r="S101" s="5"/>
      <c r="T101" s="5" t="s">
        <v>1846</v>
      </c>
      <c r="U101" s="5" t="s">
        <v>1847</v>
      </c>
      <c r="V101" s="14" t="s">
        <v>69</v>
      </c>
      <c r="AC101" t="s">
        <v>1189</v>
      </c>
      <c r="AD101" t="s">
        <v>54</v>
      </c>
      <c r="AE101" t="s">
        <v>3</v>
      </c>
    </row>
    <row r="102" spans="1:31" ht="84" x14ac:dyDescent="0.15">
      <c r="A102" s="5" t="s">
        <v>1401</v>
      </c>
      <c r="B102" s="5" t="s">
        <v>1318</v>
      </c>
      <c r="C102" s="5" t="s">
        <v>1402</v>
      </c>
      <c r="D102" s="5" t="s">
        <v>1861</v>
      </c>
      <c r="E102" s="5">
        <v>325</v>
      </c>
      <c r="F102" s="5" t="s">
        <v>1854</v>
      </c>
      <c r="G102" s="5" t="s">
        <v>1863</v>
      </c>
      <c r="H102" s="5" t="s">
        <v>1840</v>
      </c>
      <c r="I102" s="5" t="b">
        <v>0</v>
      </c>
      <c r="J102" s="5" t="s">
        <v>1841</v>
      </c>
      <c r="K102" s="5" t="s">
        <v>1842</v>
      </c>
      <c r="L102" s="5" t="s">
        <v>1842</v>
      </c>
      <c r="M102" s="5" t="s">
        <v>1865</v>
      </c>
      <c r="N102" s="5"/>
      <c r="O102" s="5"/>
      <c r="P102" s="5"/>
      <c r="Q102" s="5" t="s">
        <v>1844</v>
      </c>
      <c r="R102" s="5" t="s">
        <v>1845</v>
      </c>
      <c r="S102" s="5"/>
      <c r="T102" s="5" t="s">
        <v>1846</v>
      </c>
      <c r="U102" s="5" t="s">
        <v>1847</v>
      </c>
      <c r="V102" s="14" t="s">
        <v>69</v>
      </c>
      <c r="AC102" t="s">
        <v>1189</v>
      </c>
      <c r="AD102" t="s">
        <v>54</v>
      </c>
      <c r="AE102" t="s">
        <v>3</v>
      </c>
    </row>
    <row r="103" spans="1:31" ht="84" x14ac:dyDescent="0.15">
      <c r="A103" s="5" t="s">
        <v>1403</v>
      </c>
      <c r="B103" s="5" t="s">
        <v>1279</v>
      </c>
      <c r="C103" s="5" t="s">
        <v>1404</v>
      </c>
      <c r="D103" s="5" t="s">
        <v>1861</v>
      </c>
      <c r="E103" s="5">
        <v>2000</v>
      </c>
      <c r="F103" s="5" t="s">
        <v>1866</v>
      </c>
      <c r="G103" s="5" t="s">
        <v>1863</v>
      </c>
      <c r="H103" s="5" t="s">
        <v>1840</v>
      </c>
      <c r="I103" s="5" t="b">
        <v>0</v>
      </c>
      <c r="J103" s="5" t="s">
        <v>1841</v>
      </c>
      <c r="K103" s="5" t="s">
        <v>1842</v>
      </c>
      <c r="L103" s="5" t="s">
        <v>1842</v>
      </c>
      <c r="M103" s="5" t="s">
        <v>1867</v>
      </c>
      <c r="N103" s="5"/>
      <c r="O103" s="5"/>
      <c r="P103" s="5"/>
      <c r="Q103" s="5" t="s">
        <v>1844</v>
      </c>
      <c r="R103" s="5" t="s">
        <v>1845</v>
      </c>
      <c r="S103" s="5"/>
      <c r="T103" s="5" t="s">
        <v>1846</v>
      </c>
      <c r="U103" s="5" t="s">
        <v>1847</v>
      </c>
      <c r="V103" s="14" t="s">
        <v>69</v>
      </c>
      <c r="AC103" t="s">
        <v>1189</v>
      </c>
      <c r="AD103" t="s">
        <v>54</v>
      </c>
      <c r="AE103" t="s">
        <v>3</v>
      </c>
    </row>
    <row r="104" spans="1:31" ht="84" x14ac:dyDescent="0.15">
      <c r="A104" s="5" t="s">
        <v>1287</v>
      </c>
      <c r="B104" s="5" t="s">
        <v>1405</v>
      </c>
      <c r="C104" s="5" t="s">
        <v>1289</v>
      </c>
      <c r="D104" s="5" t="s">
        <v>1868</v>
      </c>
      <c r="E104" s="5">
        <v>90</v>
      </c>
      <c r="F104" s="5" t="s">
        <v>1854</v>
      </c>
      <c r="G104" s="5" t="s">
        <v>1859</v>
      </c>
      <c r="H104" s="5" t="s">
        <v>1840</v>
      </c>
      <c r="I104" s="5" t="b">
        <v>0</v>
      </c>
      <c r="J104" s="5" t="s">
        <v>1841</v>
      </c>
      <c r="K104" s="5" t="s">
        <v>1842</v>
      </c>
      <c r="L104" s="5" t="s">
        <v>1842</v>
      </c>
      <c r="M104" s="5" t="s">
        <v>1869</v>
      </c>
      <c r="N104" s="5"/>
      <c r="O104" s="5"/>
      <c r="P104" s="5"/>
      <c r="Q104" s="5" t="s">
        <v>1844</v>
      </c>
      <c r="R104" s="5" t="s">
        <v>1845</v>
      </c>
      <c r="S104" s="5"/>
      <c r="T104" s="5" t="s">
        <v>1846</v>
      </c>
      <c r="U104" s="5" t="s">
        <v>1847</v>
      </c>
      <c r="V104" s="14" t="s">
        <v>69</v>
      </c>
      <c r="AC104" t="s">
        <v>1189</v>
      </c>
      <c r="AD104" t="s">
        <v>54</v>
      </c>
      <c r="AE104" t="s">
        <v>3</v>
      </c>
    </row>
    <row r="105" spans="1:31" x14ac:dyDescent="0.15">
      <c r="A105" t="s">
        <v>1406</v>
      </c>
      <c r="B105" t="s">
        <v>1223</v>
      </c>
      <c r="C105" t="s">
        <v>1407</v>
      </c>
      <c r="D105" t="s">
        <v>1870</v>
      </c>
      <c r="E105">
        <v>1450</v>
      </c>
      <c r="F105">
        <v>2500</v>
      </c>
      <c r="G105">
        <v>10000</v>
      </c>
      <c r="H105" t="s">
        <v>1871</v>
      </c>
      <c r="I105" t="b">
        <v>0</v>
      </c>
      <c r="J105" t="s">
        <v>1675</v>
      </c>
      <c r="K105" t="s">
        <v>1842</v>
      </c>
      <c r="L105" t="s">
        <v>1842</v>
      </c>
      <c r="M105" t="s">
        <v>1872</v>
      </c>
      <c r="N105" t="s">
        <v>1873</v>
      </c>
      <c r="O105" t="s">
        <v>1873</v>
      </c>
      <c r="P105" t="s">
        <v>1874</v>
      </c>
      <c r="Q105" t="s">
        <v>1875</v>
      </c>
      <c r="T105" t="s">
        <v>1876</v>
      </c>
      <c r="U105" t="s">
        <v>1683</v>
      </c>
      <c r="V105" s="15" t="s">
        <v>228</v>
      </c>
      <c r="W105" t="s">
        <v>1408</v>
      </c>
      <c r="X105" t="s">
        <v>1409</v>
      </c>
      <c r="Y105" t="s">
        <v>1410</v>
      </c>
      <c r="Z105" t="s">
        <v>3</v>
      </c>
      <c r="AA105" t="s">
        <v>54</v>
      </c>
      <c r="AB105" t="s">
        <v>1877</v>
      </c>
    </row>
  </sheetData>
  <autoFilter ref="A1:AB104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6" customWidth="1"/>
    <col min="2" max="2" width="12" customWidth="1"/>
    <col min="3" max="3" width="17" customWidth="1"/>
    <col min="4" max="4" width="21" customWidth="1"/>
    <col min="5" max="6" width="12" customWidth="1"/>
    <col min="7" max="7" width="14" customWidth="1"/>
    <col min="8" max="8" width="15" customWidth="1"/>
    <col min="9" max="9" width="14" customWidth="1"/>
    <col min="10" max="11" width="20" customWidth="1"/>
    <col min="12" max="12" width="16" customWidth="1"/>
    <col min="13" max="16" width="12" customWidth="1"/>
    <col min="17" max="20" width="35" customWidth="1"/>
    <col min="21" max="21" width="20" customWidth="1"/>
    <col min="22" max="22" width="17" customWidth="1"/>
    <col min="23" max="23" width="55" customWidth="1"/>
    <col min="24" max="24" width="35" customWidth="1"/>
  </cols>
  <sheetData>
    <row r="1" spans="1:26" ht="28" customHeight="1" x14ac:dyDescent="0.15">
      <c r="A1" s="1" t="s">
        <v>1878</v>
      </c>
      <c r="B1" s="1" t="s">
        <v>35</v>
      </c>
      <c r="C1" s="1" t="s">
        <v>36</v>
      </c>
      <c r="D1" s="1" t="s">
        <v>1879</v>
      </c>
      <c r="E1" s="1" t="s">
        <v>1880</v>
      </c>
      <c r="F1" s="1" t="s">
        <v>1881</v>
      </c>
      <c r="G1" s="1" t="s">
        <v>1882</v>
      </c>
      <c r="H1" s="1" t="s">
        <v>1883</v>
      </c>
      <c r="I1" s="1" t="s">
        <v>1884</v>
      </c>
      <c r="J1" s="1" t="s">
        <v>1885</v>
      </c>
      <c r="K1" s="1" t="s">
        <v>1886</v>
      </c>
      <c r="L1" s="1" t="s">
        <v>1887</v>
      </c>
      <c r="M1" s="1" t="s">
        <v>1888</v>
      </c>
      <c r="N1" s="1" t="s">
        <v>1566</v>
      </c>
      <c r="O1" s="1" t="s">
        <v>1889</v>
      </c>
      <c r="P1" s="1" t="s">
        <v>1890</v>
      </c>
      <c r="Q1" s="1" t="s">
        <v>39</v>
      </c>
      <c r="R1" s="1" t="s">
        <v>41</v>
      </c>
      <c r="S1" s="1" t="s">
        <v>1594</v>
      </c>
      <c r="T1" s="1" t="s">
        <v>1595</v>
      </c>
      <c r="U1" s="1" t="s">
        <v>1596</v>
      </c>
      <c r="V1" s="1" t="s">
        <v>40</v>
      </c>
      <c r="W1" s="1" t="s">
        <v>1597</v>
      </c>
      <c r="X1" s="1" t="s">
        <v>37</v>
      </c>
      <c r="Y1" s="1" t="s">
        <v>1598</v>
      </c>
      <c r="Z1" s="1" t="s">
        <v>44</v>
      </c>
    </row>
    <row r="2" spans="1:26" ht="14" x14ac:dyDescent="0.15">
      <c r="A2" s="5" t="s">
        <v>47</v>
      </c>
      <c r="B2" s="5" t="s">
        <v>49</v>
      </c>
      <c r="C2" s="5" t="s">
        <v>50</v>
      </c>
      <c r="D2" s="5" t="s">
        <v>1891</v>
      </c>
      <c r="E2" s="5">
        <v>4608</v>
      </c>
      <c r="F2" s="5">
        <v>3164</v>
      </c>
      <c r="G2" s="5" t="s">
        <v>1892</v>
      </c>
      <c r="H2" s="5">
        <v>28</v>
      </c>
      <c r="I2" s="5">
        <v>19.2</v>
      </c>
      <c r="J2" s="5">
        <v>1</v>
      </c>
      <c r="K2" s="5">
        <v>1</v>
      </c>
      <c r="L2" s="5" t="s">
        <v>1893</v>
      </c>
      <c r="M2" s="5">
        <v>120</v>
      </c>
      <c r="N2" s="5" t="s">
        <v>49</v>
      </c>
      <c r="O2" s="5"/>
      <c r="P2" s="5"/>
      <c r="Q2" s="14" t="s">
        <v>69</v>
      </c>
      <c r="X2" t="s">
        <v>51</v>
      </c>
      <c r="Y2" t="s">
        <v>52</v>
      </c>
      <c r="Z2" t="s">
        <v>3</v>
      </c>
    </row>
    <row r="3" spans="1:26" ht="14" x14ac:dyDescent="0.15">
      <c r="A3" s="5" t="s">
        <v>47</v>
      </c>
      <c r="B3" s="5" t="s">
        <v>49</v>
      </c>
      <c r="C3" s="5" t="s">
        <v>50</v>
      </c>
      <c r="D3" s="5" t="s">
        <v>1894</v>
      </c>
      <c r="E3" s="5">
        <v>4608</v>
      </c>
      <c r="F3" s="5">
        <v>2592</v>
      </c>
      <c r="G3" s="5" t="s">
        <v>1895</v>
      </c>
      <c r="H3" s="5">
        <v>28</v>
      </c>
      <c r="I3" s="5">
        <v>15.7</v>
      </c>
      <c r="J3" s="5">
        <v>1</v>
      </c>
      <c r="K3" s="5">
        <v>0.81770833333333337</v>
      </c>
      <c r="L3" s="5" t="s">
        <v>1893</v>
      </c>
      <c r="M3" s="5">
        <v>120</v>
      </c>
      <c r="N3" s="5" t="s">
        <v>49</v>
      </c>
      <c r="O3" s="5"/>
      <c r="P3" s="5"/>
      <c r="Q3" s="14" t="s">
        <v>69</v>
      </c>
      <c r="X3" t="s">
        <v>51</v>
      </c>
      <c r="Y3" t="s">
        <v>52</v>
      </c>
      <c r="Z3" t="s">
        <v>3</v>
      </c>
    </row>
    <row r="4" spans="1:26" ht="14" x14ac:dyDescent="0.15">
      <c r="A4" s="5" t="s">
        <v>47</v>
      </c>
      <c r="B4" s="5" t="s">
        <v>49</v>
      </c>
      <c r="C4" s="5" t="s">
        <v>50</v>
      </c>
      <c r="D4" s="5" t="s">
        <v>1896</v>
      </c>
      <c r="E4" s="5">
        <v>4096</v>
      </c>
      <c r="F4" s="5">
        <v>2304</v>
      </c>
      <c r="G4" s="5" t="s">
        <v>1895</v>
      </c>
      <c r="H4" s="5">
        <v>24.9</v>
      </c>
      <c r="I4" s="5">
        <v>14</v>
      </c>
      <c r="J4" s="5">
        <v>0.88928571428571423</v>
      </c>
      <c r="K4" s="5">
        <v>0.72916666666666674</v>
      </c>
      <c r="L4" s="5" t="s">
        <v>1893</v>
      </c>
      <c r="M4" s="5">
        <v>120</v>
      </c>
      <c r="N4" s="5" t="s">
        <v>49</v>
      </c>
      <c r="O4" s="5"/>
      <c r="P4" s="5"/>
      <c r="Q4" s="14" t="s">
        <v>69</v>
      </c>
      <c r="X4" t="s">
        <v>51</v>
      </c>
      <c r="Y4" t="s">
        <v>52</v>
      </c>
      <c r="Z4" t="s">
        <v>3</v>
      </c>
    </row>
    <row r="5" spans="1:26" ht="14" x14ac:dyDescent="0.15">
      <c r="A5" s="5" t="s">
        <v>47</v>
      </c>
      <c r="B5" s="5" t="s">
        <v>49</v>
      </c>
      <c r="C5" s="5" t="s">
        <v>50</v>
      </c>
      <c r="D5" s="5" t="s">
        <v>1897</v>
      </c>
      <c r="E5" s="5">
        <v>4096</v>
      </c>
      <c r="F5" s="5">
        <v>2048</v>
      </c>
      <c r="G5" s="5" t="s">
        <v>1898</v>
      </c>
      <c r="H5" s="5">
        <v>24.9</v>
      </c>
      <c r="I5" s="5">
        <v>12.4</v>
      </c>
      <c r="J5" s="5">
        <v>0.88928571428571423</v>
      </c>
      <c r="K5" s="5">
        <v>0.64583333333333337</v>
      </c>
      <c r="L5" s="5" t="s">
        <v>1893</v>
      </c>
      <c r="M5" s="5">
        <v>120</v>
      </c>
      <c r="N5" s="5" t="s">
        <v>49</v>
      </c>
      <c r="O5" s="5"/>
      <c r="P5" s="5"/>
      <c r="Q5" s="14" t="s">
        <v>69</v>
      </c>
      <c r="X5" t="s">
        <v>51</v>
      </c>
      <c r="Y5" t="s">
        <v>52</v>
      </c>
      <c r="Z5" t="s">
        <v>3</v>
      </c>
    </row>
    <row r="6" spans="1:26" ht="14" x14ac:dyDescent="0.15">
      <c r="A6" s="5" t="s">
        <v>47</v>
      </c>
      <c r="B6" s="5" t="s">
        <v>49</v>
      </c>
      <c r="C6" s="5" t="s">
        <v>50</v>
      </c>
      <c r="D6" s="5" t="s">
        <v>1899</v>
      </c>
      <c r="E6" s="5">
        <v>3840</v>
      </c>
      <c r="F6" s="5">
        <v>2160</v>
      </c>
      <c r="G6" s="5" t="s">
        <v>1895</v>
      </c>
      <c r="H6" s="5">
        <v>23.3</v>
      </c>
      <c r="I6" s="5">
        <v>13.1</v>
      </c>
      <c r="J6" s="5">
        <v>0.83214285714285718</v>
      </c>
      <c r="K6" s="5">
        <v>0.68229166666666663</v>
      </c>
      <c r="L6" s="5" t="s">
        <v>1893</v>
      </c>
      <c r="M6" s="5">
        <v>120</v>
      </c>
      <c r="N6" s="5" t="s">
        <v>49</v>
      </c>
      <c r="O6" s="5"/>
      <c r="P6" s="5"/>
      <c r="Q6" s="14" t="s">
        <v>69</v>
      </c>
      <c r="X6" t="s">
        <v>51</v>
      </c>
      <c r="Y6" t="s">
        <v>52</v>
      </c>
      <c r="Z6" t="s">
        <v>3</v>
      </c>
    </row>
    <row r="7" spans="1:26" ht="14" x14ac:dyDescent="0.15">
      <c r="A7" s="5" t="s">
        <v>47</v>
      </c>
      <c r="B7" s="5" t="s">
        <v>49</v>
      </c>
      <c r="C7" s="5" t="s">
        <v>50</v>
      </c>
      <c r="D7" s="5" t="s">
        <v>1900</v>
      </c>
      <c r="E7" s="5">
        <v>3328</v>
      </c>
      <c r="F7" s="5">
        <v>2790</v>
      </c>
      <c r="G7" s="5" t="s">
        <v>1901</v>
      </c>
      <c r="H7" s="5">
        <v>20.22</v>
      </c>
      <c r="I7" s="5">
        <v>16.95</v>
      </c>
      <c r="J7" s="5">
        <v>0.72214285714285709</v>
      </c>
      <c r="K7" s="5">
        <v>0.8828125</v>
      </c>
      <c r="L7" s="5" t="s">
        <v>1893</v>
      </c>
      <c r="M7" s="5">
        <v>100</v>
      </c>
      <c r="N7" s="5" t="s">
        <v>49</v>
      </c>
      <c r="O7" s="5"/>
      <c r="P7" s="5"/>
      <c r="Q7" s="14" t="s">
        <v>69</v>
      </c>
      <c r="X7" t="s">
        <v>51</v>
      </c>
      <c r="Y7" t="s">
        <v>52</v>
      </c>
      <c r="Z7" t="s">
        <v>3</v>
      </c>
    </row>
    <row r="8" spans="1:26" ht="14" x14ac:dyDescent="0.15">
      <c r="A8" s="5" t="s">
        <v>47</v>
      </c>
      <c r="B8" s="5" t="s">
        <v>49</v>
      </c>
      <c r="C8" s="5" t="s">
        <v>50</v>
      </c>
      <c r="D8" s="5" t="s">
        <v>1902</v>
      </c>
      <c r="E8" s="5">
        <v>3072</v>
      </c>
      <c r="F8" s="5">
        <v>3072</v>
      </c>
      <c r="G8" s="5" t="s">
        <v>1903</v>
      </c>
      <c r="H8" s="5">
        <v>18.7</v>
      </c>
      <c r="I8" s="5">
        <v>18.7</v>
      </c>
      <c r="J8" s="5">
        <v>0.66785714285714282</v>
      </c>
      <c r="K8" s="5">
        <v>0.97395833333333337</v>
      </c>
      <c r="L8" s="5" t="s">
        <v>1893</v>
      </c>
      <c r="M8" s="5">
        <v>100</v>
      </c>
      <c r="N8" s="5" t="s">
        <v>49</v>
      </c>
      <c r="O8" s="5"/>
      <c r="P8" s="5"/>
      <c r="Q8" s="14" t="s">
        <v>69</v>
      </c>
      <c r="X8" t="s">
        <v>51</v>
      </c>
      <c r="Y8" t="s">
        <v>52</v>
      </c>
      <c r="Z8" t="s">
        <v>3</v>
      </c>
    </row>
    <row r="9" spans="1:26" ht="14" x14ac:dyDescent="0.15">
      <c r="A9" s="5" t="s">
        <v>47</v>
      </c>
      <c r="B9" s="5" t="s">
        <v>49</v>
      </c>
      <c r="C9" s="5" t="s">
        <v>50</v>
      </c>
      <c r="D9" s="5" t="s">
        <v>1904</v>
      </c>
      <c r="E9" s="5">
        <v>2743</v>
      </c>
      <c r="F9" s="5">
        <v>3086</v>
      </c>
      <c r="G9" s="5" t="s">
        <v>1905</v>
      </c>
      <c r="H9" s="5">
        <v>16.7</v>
      </c>
      <c r="I9" s="5">
        <v>18.7</v>
      </c>
      <c r="J9" s="5">
        <v>0.59642857142857142</v>
      </c>
      <c r="K9" s="5">
        <v>0.97395833333333337</v>
      </c>
      <c r="L9" s="5" t="s">
        <v>1893</v>
      </c>
      <c r="M9" s="5">
        <v>100</v>
      </c>
      <c r="N9" s="5" t="s">
        <v>49</v>
      </c>
      <c r="O9" s="5"/>
      <c r="P9" s="5"/>
      <c r="Q9" s="14" t="s">
        <v>69</v>
      </c>
      <c r="X9" t="s">
        <v>51</v>
      </c>
      <c r="Y9" t="s">
        <v>52</v>
      </c>
      <c r="Z9" t="s">
        <v>3</v>
      </c>
    </row>
    <row r="10" spans="1:26" ht="14" x14ac:dyDescent="0.15">
      <c r="A10" s="5" t="s">
        <v>60</v>
      </c>
      <c r="B10" s="5" t="s">
        <v>49</v>
      </c>
      <c r="C10" s="5" t="s">
        <v>61</v>
      </c>
      <c r="D10" s="5" t="s">
        <v>1906</v>
      </c>
      <c r="E10" s="5">
        <v>4448</v>
      </c>
      <c r="F10" s="5">
        <v>3096</v>
      </c>
      <c r="G10" s="5" t="s">
        <v>1892</v>
      </c>
      <c r="H10" s="5"/>
      <c r="I10" s="5"/>
      <c r="J10" s="5"/>
      <c r="K10" s="5"/>
      <c r="L10" s="5" t="s">
        <v>1893</v>
      </c>
      <c r="M10" s="5">
        <v>40</v>
      </c>
      <c r="N10" s="5" t="s">
        <v>49</v>
      </c>
      <c r="O10" s="5"/>
      <c r="P10" s="5"/>
      <c r="Q10" s="14" t="s">
        <v>69</v>
      </c>
      <c r="X10" t="s">
        <v>51</v>
      </c>
      <c r="Y10" t="s">
        <v>52</v>
      </c>
      <c r="Z10" t="s">
        <v>3</v>
      </c>
    </row>
    <row r="11" spans="1:26" ht="14" x14ac:dyDescent="0.15">
      <c r="A11" s="5" t="s">
        <v>60</v>
      </c>
      <c r="B11" s="5" t="s">
        <v>49</v>
      </c>
      <c r="C11" s="5" t="s">
        <v>61</v>
      </c>
      <c r="D11" s="5" t="s">
        <v>1907</v>
      </c>
      <c r="E11" s="5">
        <v>4448</v>
      </c>
      <c r="F11" s="5">
        <v>1856</v>
      </c>
      <c r="G11" s="5" t="s">
        <v>1908</v>
      </c>
      <c r="H11" s="5"/>
      <c r="I11" s="5"/>
      <c r="J11" s="5"/>
      <c r="K11" s="5"/>
      <c r="L11" s="5" t="s">
        <v>1893</v>
      </c>
      <c r="M11" s="5">
        <v>60</v>
      </c>
      <c r="N11" s="5" t="s">
        <v>49</v>
      </c>
      <c r="O11" s="5"/>
      <c r="P11" s="5"/>
      <c r="Q11" s="14" t="s">
        <v>69</v>
      </c>
      <c r="X11" t="s">
        <v>51</v>
      </c>
      <c r="Y11" t="s">
        <v>52</v>
      </c>
      <c r="Z11" t="s">
        <v>3</v>
      </c>
    </row>
    <row r="12" spans="1:26" ht="14" x14ac:dyDescent="0.15">
      <c r="A12" s="5" t="s">
        <v>60</v>
      </c>
      <c r="B12" s="5" t="s">
        <v>49</v>
      </c>
      <c r="C12" s="5" t="s">
        <v>61</v>
      </c>
      <c r="D12" s="5" t="s">
        <v>1909</v>
      </c>
      <c r="E12" s="5">
        <v>3840</v>
      </c>
      <c r="F12" s="5">
        <v>2160</v>
      </c>
      <c r="G12" s="5" t="s">
        <v>1895</v>
      </c>
      <c r="H12" s="5"/>
      <c r="I12" s="5"/>
      <c r="J12" s="5"/>
      <c r="K12" s="5"/>
      <c r="L12" s="5" t="s">
        <v>1893</v>
      </c>
      <c r="M12" s="5">
        <v>48</v>
      </c>
      <c r="N12" s="5" t="s">
        <v>49</v>
      </c>
      <c r="O12" s="5"/>
      <c r="P12" s="5"/>
      <c r="Q12" s="14" t="s">
        <v>69</v>
      </c>
      <c r="X12" t="s">
        <v>51</v>
      </c>
      <c r="Y12" t="s">
        <v>52</v>
      </c>
      <c r="Z12" t="s">
        <v>3</v>
      </c>
    </row>
    <row r="13" spans="1:26" ht="14" x14ac:dyDescent="0.15">
      <c r="A13" s="5" t="s">
        <v>60</v>
      </c>
      <c r="B13" s="5" t="s">
        <v>49</v>
      </c>
      <c r="C13" s="5" t="s">
        <v>61</v>
      </c>
      <c r="D13" s="5" t="s">
        <v>1910</v>
      </c>
      <c r="E13" s="5">
        <v>3424</v>
      </c>
      <c r="F13" s="5">
        <v>2202</v>
      </c>
      <c r="G13" s="5" t="s">
        <v>1892</v>
      </c>
      <c r="H13" s="5"/>
      <c r="I13" s="5"/>
      <c r="J13" s="5"/>
      <c r="K13" s="5"/>
      <c r="L13" s="5" t="s">
        <v>1893</v>
      </c>
      <c r="M13" s="5">
        <v>60</v>
      </c>
      <c r="N13" s="5" t="s">
        <v>49</v>
      </c>
      <c r="O13" s="5"/>
      <c r="P13" s="5"/>
      <c r="Q13" s="14" t="s">
        <v>69</v>
      </c>
      <c r="X13" t="s">
        <v>51</v>
      </c>
      <c r="Y13" t="s">
        <v>52</v>
      </c>
      <c r="Z13" t="s">
        <v>3</v>
      </c>
    </row>
    <row r="14" spans="1:26" ht="14" x14ac:dyDescent="0.15">
      <c r="A14" s="5" t="s">
        <v>60</v>
      </c>
      <c r="B14" s="5" t="s">
        <v>49</v>
      </c>
      <c r="C14" s="5" t="s">
        <v>61</v>
      </c>
      <c r="D14" s="5" t="s">
        <v>1911</v>
      </c>
      <c r="E14" s="5">
        <v>3200</v>
      </c>
      <c r="F14" s="5">
        <v>1800</v>
      </c>
      <c r="G14" s="5" t="s">
        <v>1895</v>
      </c>
      <c r="H14" s="5"/>
      <c r="I14" s="5"/>
      <c r="J14" s="5"/>
      <c r="K14" s="5"/>
      <c r="L14" s="5" t="s">
        <v>1893</v>
      </c>
      <c r="M14" s="5">
        <v>75</v>
      </c>
      <c r="N14" s="5" t="s">
        <v>49</v>
      </c>
      <c r="O14" s="5"/>
      <c r="P14" s="5"/>
      <c r="Q14" s="14" t="s">
        <v>69</v>
      </c>
      <c r="X14" t="s">
        <v>51</v>
      </c>
      <c r="Y14" t="s">
        <v>52</v>
      </c>
      <c r="Z14" t="s">
        <v>3</v>
      </c>
    </row>
    <row r="15" spans="1:26" ht="14" x14ac:dyDescent="0.15">
      <c r="A15" s="5" t="s">
        <v>60</v>
      </c>
      <c r="B15" s="5" t="s">
        <v>49</v>
      </c>
      <c r="C15" s="5" t="s">
        <v>61</v>
      </c>
      <c r="D15" s="5" t="s">
        <v>1912</v>
      </c>
      <c r="E15" s="5">
        <v>2880</v>
      </c>
      <c r="F15" s="5">
        <v>2160</v>
      </c>
      <c r="G15" s="5" t="s">
        <v>1913</v>
      </c>
      <c r="H15" s="5"/>
      <c r="I15" s="5"/>
      <c r="J15" s="5"/>
      <c r="K15" s="5"/>
      <c r="L15" s="5" t="s">
        <v>1893</v>
      </c>
      <c r="M15" s="5">
        <v>75</v>
      </c>
      <c r="N15" s="5" t="s">
        <v>49</v>
      </c>
      <c r="O15" s="5"/>
      <c r="P15" s="5"/>
      <c r="Q15" s="14" t="s">
        <v>69</v>
      </c>
      <c r="X15" t="s">
        <v>51</v>
      </c>
      <c r="Y15" t="s">
        <v>52</v>
      </c>
      <c r="Z15" t="s">
        <v>3</v>
      </c>
    </row>
    <row r="16" spans="1:26" ht="14" x14ac:dyDescent="0.15">
      <c r="A16" s="5" t="s">
        <v>196</v>
      </c>
      <c r="B16" s="5" t="s">
        <v>183</v>
      </c>
      <c r="C16" s="5" t="s">
        <v>197</v>
      </c>
      <c r="D16" s="5" t="s">
        <v>1914</v>
      </c>
      <c r="E16" s="5">
        <v>8192</v>
      </c>
      <c r="F16" s="5">
        <v>4320</v>
      </c>
      <c r="G16" s="5" t="s">
        <v>1915</v>
      </c>
      <c r="H16" s="5">
        <v>35.9</v>
      </c>
      <c r="I16" s="5">
        <v>18.899999999999999</v>
      </c>
      <c r="J16" s="5"/>
      <c r="K16" s="5"/>
      <c r="L16" s="5"/>
      <c r="M16" s="5"/>
      <c r="N16" s="5" t="s">
        <v>1916</v>
      </c>
      <c r="O16" s="5" t="s">
        <v>1917</v>
      </c>
      <c r="P16" s="5" t="s">
        <v>183</v>
      </c>
      <c r="Q16" s="14" t="s">
        <v>69</v>
      </c>
      <c r="X16" t="s">
        <v>51</v>
      </c>
      <c r="Y16" t="s">
        <v>52</v>
      </c>
      <c r="Z16" t="s">
        <v>3</v>
      </c>
    </row>
    <row r="17" spans="1:26" ht="14" x14ac:dyDescent="0.15">
      <c r="A17" s="5" t="s">
        <v>196</v>
      </c>
      <c r="B17" s="5" t="s">
        <v>183</v>
      </c>
      <c r="C17" s="5" t="s">
        <v>197</v>
      </c>
      <c r="D17" s="5" t="s">
        <v>1918</v>
      </c>
      <c r="E17" s="5">
        <v>8192</v>
      </c>
      <c r="F17" s="5">
        <v>4608</v>
      </c>
      <c r="G17" s="5" t="s">
        <v>1895</v>
      </c>
      <c r="H17" s="5">
        <v>35.9</v>
      </c>
      <c r="I17" s="5">
        <v>20.2</v>
      </c>
      <c r="J17" s="5"/>
      <c r="K17" s="5"/>
      <c r="L17" s="5"/>
      <c r="M17" s="5"/>
      <c r="N17" s="5" t="s">
        <v>1916</v>
      </c>
      <c r="O17" s="5" t="s">
        <v>1917</v>
      </c>
      <c r="P17" s="5" t="s">
        <v>183</v>
      </c>
      <c r="Q17" s="14" t="s">
        <v>69</v>
      </c>
      <c r="X17" t="s">
        <v>51</v>
      </c>
      <c r="Y17" t="s">
        <v>52</v>
      </c>
      <c r="Z17" t="s">
        <v>3</v>
      </c>
    </row>
    <row r="18" spans="1:26" ht="14" x14ac:dyDescent="0.15">
      <c r="A18" s="5" t="s">
        <v>196</v>
      </c>
      <c r="B18" s="5" t="s">
        <v>183</v>
      </c>
      <c r="C18" s="5" t="s">
        <v>197</v>
      </c>
      <c r="D18" s="5" t="s">
        <v>1919</v>
      </c>
      <c r="E18" s="5">
        <v>5760</v>
      </c>
      <c r="F18" s="5">
        <v>3036</v>
      </c>
      <c r="G18" s="5" t="s">
        <v>1915</v>
      </c>
      <c r="H18" s="5">
        <v>33.6</v>
      </c>
      <c r="I18" s="5">
        <v>17.7</v>
      </c>
      <c r="J18" s="5"/>
      <c r="K18" s="5"/>
      <c r="L18" s="5"/>
      <c r="M18" s="5"/>
      <c r="N18" s="5" t="s">
        <v>1916</v>
      </c>
      <c r="O18" s="5" t="s">
        <v>1917</v>
      </c>
      <c r="P18" s="5" t="s">
        <v>183</v>
      </c>
      <c r="Q18" s="14" t="s">
        <v>69</v>
      </c>
      <c r="X18" t="s">
        <v>51</v>
      </c>
      <c r="Y18" t="s">
        <v>52</v>
      </c>
      <c r="Z18" t="s">
        <v>3</v>
      </c>
    </row>
    <row r="19" spans="1:26" ht="14" x14ac:dyDescent="0.15">
      <c r="A19" s="5" t="s">
        <v>196</v>
      </c>
      <c r="B19" s="5" t="s">
        <v>183</v>
      </c>
      <c r="C19" s="5" t="s">
        <v>197</v>
      </c>
      <c r="D19" s="5" t="s">
        <v>1920</v>
      </c>
      <c r="E19" s="5">
        <v>5760</v>
      </c>
      <c r="F19" s="5">
        <v>3240</v>
      </c>
      <c r="G19" s="5" t="s">
        <v>1895</v>
      </c>
      <c r="H19" s="5">
        <v>33.6</v>
      </c>
      <c r="I19" s="5">
        <v>18.899999999999999</v>
      </c>
      <c r="J19" s="5"/>
      <c r="K19" s="5"/>
      <c r="L19" s="5"/>
      <c r="M19" s="5"/>
      <c r="N19" s="5" t="s">
        <v>1916</v>
      </c>
      <c r="O19" s="5" t="s">
        <v>1917</v>
      </c>
      <c r="P19" s="5" t="s">
        <v>183</v>
      </c>
      <c r="Q19" s="14" t="s">
        <v>69</v>
      </c>
      <c r="X19" t="s">
        <v>51</v>
      </c>
      <c r="Y19" t="s">
        <v>52</v>
      </c>
      <c r="Z19" t="s">
        <v>3</v>
      </c>
    </row>
    <row r="20" spans="1:26" ht="14" x14ac:dyDescent="0.15">
      <c r="A20" s="5" t="s">
        <v>196</v>
      </c>
      <c r="B20" s="5" t="s">
        <v>183</v>
      </c>
      <c r="C20" s="5" t="s">
        <v>197</v>
      </c>
      <c r="D20" s="5" t="s">
        <v>1921</v>
      </c>
      <c r="E20" s="5">
        <v>5952</v>
      </c>
      <c r="F20" s="5">
        <v>4960</v>
      </c>
      <c r="G20" s="5" t="s">
        <v>1901</v>
      </c>
      <c r="H20" s="5">
        <v>24.2</v>
      </c>
      <c r="I20" s="5">
        <v>20.2</v>
      </c>
      <c r="J20" s="5"/>
      <c r="K20" s="5"/>
      <c r="L20" s="5"/>
      <c r="M20" s="5"/>
      <c r="N20" s="5" t="s">
        <v>1916</v>
      </c>
      <c r="O20" s="5" t="s">
        <v>1917</v>
      </c>
      <c r="P20" s="5" t="s">
        <v>183</v>
      </c>
      <c r="Q20" s="14" t="s">
        <v>69</v>
      </c>
      <c r="X20" t="s">
        <v>51</v>
      </c>
      <c r="Y20" t="s">
        <v>52</v>
      </c>
      <c r="Z20" t="s">
        <v>3</v>
      </c>
    </row>
    <row r="21" spans="1:26" ht="14" x14ac:dyDescent="0.15">
      <c r="A21" s="5" t="s">
        <v>196</v>
      </c>
      <c r="B21" s="5" t="s">
        <v>183</v>
      </c>
      <c r="C21" s="5" t="s">
        <v>197</v>
      </c>
      <c r="D21" s="5" t="s">
        <v>1922</v>
      </c>
      <c r="E21" s="5">
        <v>5760</v>
      </c>
      <c r="F21" s="5">
        <v>3036</v>
      </c>
      <c r="G21" s="5" t="s">
        <v>1915</v>
      </c>
      <c r="H21" s="5">
        <v>24</v>
      </c>
      <c r="I21" s="5">
        <v>12.6</v>
      </c>
      <c r="J21" s="5"/>
      <c r="K21" s="5"/>
      <c r="L21" s="5"/>
      <c r="M21" s="5"/>
      <c r="N21" s="5" t="s">
        <v>1916</v>
      </c>
      <c r="O21" s="5" t="s">
        <v>1917</v>
      </c>
      <c r="P21" s="5" t="s">
        <v>183</v>
      </c>
      <c r="Q21" s="14" t="s">
        <v>69</v>
      </c>
      <c r="X21" t="s">
        <v>51</v>
      </c>
      <c r="Y21" t="s">
        <v>52</v>
      </c>
      <c r="Z21" t="s">
        <v>3</v>
      </c>
    </row>
    <row r="22" spans="1:26" ht="14" x14ac:dyDescent="0.15">
      <c r="A22" s="5" t="s">
        <v>196</v>
      </c>
      <c r="B22" s="5" t="s">
        <v>183</v>
      </c>
      <c r="C22" s="5" t="s">
        <v>197</v>
      </c>
      <c r="D22" s="5" t="s">
        <v>1923</v>
      </c>
      <c r="E22" s="5">
        <v>5760</v>
      </c>
      <c r="F22" s="5">
        <v>3240</v>
      </c>
      <c r="G22" s="5" t="s">
        <v>1895</v>
      </c>
      <c r="H22" s="5">
        <v>24</v>
      </c>
      <c r="I22" s="5">
        <v>13.5</v>
      </c>
      <c r="J22" s="5"/>
      <c r="K22" s="5"/>
      <c r="L22" s="5"/>
      <c r="M22" s="5"/>
      <c r="N22" s="5" t="s">
        <v>1916</v>
      </c>
      <c r="O22" s="5" t="s">
        <v>1917</v>
      </c>
      <c r="P22" s="5" t="s">
        <v>183</v>
      </c>
      <c r="Q22" s="14" t="s">
        <v>69</v>
      </c>
      <c r="X22" t="s">
        <v>51</v>
      </c>
      <c r="Y22" t="s">
        <v>52</v>
      </c>
      <c r="Z22" t="s">
        <v>3</v>
      </c>
    </row>
    <row r="23" spans="1:26" ht="14" x14ac:dyDescent="0.15">
      <c r="A23" s="5" t="s">
        <v>196</v>
      </c>
      <c r="B23" s="5" t="s">
        <v>183</v>
      </c>
      <c r="C23" s="5" t="s">
        <v>197</v>
      </c>
      <c r="D23" s="5" t="s">
        <v>1924</v>
      </c>
      <c r="E23" s="5">
        <v>4320</v>
      </c>
      <c r="F23" s="5">
        <v>3240</v>
      </c>
      <c r="G23" s="5" t="s">
        <v>1913</v>
      </c>
      <c r="H23" s="5">
        <v>23.6</v>
      </c>
      <c r="I23" s="5">
        <v>17.7</v>
      </c>
      <c r="J23" s="5"/>
      <c r="K23" s="5"/>
      <c r="L23" s="5"/>
      <c r="M23" s="5"/>
      <c r="N23" s="5" t="s">
        <v>1916</v>
      </c>
      <c r="O23" s="5" t="s">
        <v>1917</v>
      </c>
      <c r="P23" s="5" t="s">
        <v>183</v>
      </c>
      <c r="Q23" s="14" t="s">
        <v>69</v>
      </c>
      <c r="X23" t="s">
        <v>51</v>
      </c>
      <c r="Y23" t="s">
        <v>52</v>
      </c>
      <c r="Z23" t="s">
        <v>3</v>
      </c>
    </row>
    <row r="24" spans="1:26" ht="14" x14ac:dyDescent="0.15">
      <c r="A24" s="5" t="s">
        <v>196</v>
      </c>
      <c r="B24" s="5" t="s">
        <v>183</v>
      </c>
      <c r="C24" s="5" t="s">
        <v>197</v>
      </c>
      <c r="D24" s="5" t="s">
        <v>1925</v>
      </c>
      <c r="E24" s="5">
        <v>4096</v>
      </c>
      <c r="F24" s="5">
        <v>2160</v>
      </c>
      <c r="G24" s="5" t="s">
        <v>1915</v>
      </c>
      <c r="H24" s="5">
        <v>17</v>
      </c>
      <c r="I24" s="5">
        <v>9</v>
      </c>
      <c r="J24" s="5"/>
      <c r="K24" s="5"/>
      <c r="L24" s="5"/>
      <c r="M24" s="5"/>
      <c r="N24" s="5" t="s">
        <v>1916</v>
      </c>
      <c r="O24" s="5" t="s">
        <v>1917</v>
      </c>
      <c r="P24" s="5" t="s">
        <v>183</v>
      </c>
      <c r="Q24" s="14" t="s">
        <v>69</v>
      </c>
      <c r="X24" t="s">
        <v>51</v>
      </c>
      <c r="Y24" t="s">
        <v>52</v>
      </c>
      <c r="Z24" t="s">
        <v>3</v>
      </c>
    </row>
    <row r="25" spans="1:26" ht="14" x14ac:dyDescent="0.15">
      <c r="A25" s="5" t="s">
        <v>196</v>
      </c>
      <c r="B25" s="5" t="s">
        <v>183</v>
      </c>
      <c r="C25" s="5" t="s">
        <v>197</v>
      </c>
      <c r="D25" s="5" t="s">
        <v>1926</v>
      </c>
      <c r="E25" s="5">
        <v>3840</v>
      </c>
      <c r="F25" s="5">
        <v>2160</v>
      </c>
      <c r="G25" s="5" t="s">
        <v>1895</v>
      </c>
      <c r="H25" s="5">
        <v>16</v>
      </c>
      <c r="I25" s="5">
        <v>9</v>
      </c>
      <c r="J25" s="5"/>
      <c r="K25" s="5"/>
      <c r="L25" s="5"/>
      <c r="M25" s="5"/>
      <c r="N25" s="5" t="s">
        <v>1916</v>
      </c>
      <c r="O25" s="5" t="s">
        <v>1917</v>
      </c>
      <c r="P25" s="5" t="s">
        <v>183</v>
      </c>
      <c r="Q25" s="14" t="s">
        <v>69</v>
      </c>
      <c r="X25" t="s">
        <v>51</v>
      </c>
      <c r="Y25" t="s">
        <v>52</v>
      </c>
      <c r="Z25" t="s">
        <v>3</v>
      </c>
    </row>
    <row r="26" spans="1:26" ht="14" x14ac:dyDescent="0.15">
      <c r="A26" s="5" t="s">
        <v>1927</v>
      </c>
      <c r="B26" s="5" t="s">
        <v>93</v>
      </c>
      <c r="C26" s="5" t="s">
        <v>96</v>
      </c>
      <c r="D26" s="5" t="s">
        <v>1928</v>
      </c>
      <c r="E26" s="5">
        <v>6048</v>
      </c>
      <c r="F26" s="5">
        <v>4032</v>
      </c>
      <c r="G26" s="5" t="s">
        <v>1892</v>
      </c>
      <c r="H26" s="5">
        <v>36</v>
      </c>
      <c r="I26" s="5">
        <v>24</v>
      </c>
      <c r="J26" s="5"/>
      <c r="K26" s="5"/>
      <c r="L26" s="5"/>
      <c r="M26" s="5"/>
      <c r="N26" s="5" t="s">
        <v>1929</v>
      </c>
      <c r="O26" s="5" t="s">
        <v>1917</v>
      </c>
      <c r="P26" s="5" t="s">
        <v>93</v>
      </c>
      <c r="Q26" s="14" t="s">
        <v>69</v>
      </c>
      <c r="X26" t="s">
        <v>51</v>
      </c>
      <c r="Y26" t="s">
        <v>52</v>
      </c>
      <c r="Z26" t="s">
        <v>3</v>
      </c>
    </row>
    <row r="27" spans="1:26" ht="14" x14ac:dyDescent="0.15">
      <c r="A27" s="5" t="s">
        <v>1927</v>
      </c>
      <c r="B27" s="5" t="s">
        <v>93</v>
      </c>
      <c r="C27" s="5" t="s">
        <v>96</v>
      </c>
      <c r="D27" s="5" t="s">
        <v>1930</v>
      </c>
      <c r="E27" s="5">
        <v>4832</v>
      </c>
      <c r="F27" s="5">
        <v>4032</v>
      </c>
      <c r="G27" s="5" t="s">
        <v>1901</v>
      </c>
      <c r="H27" s="5"/>
      <c r="I27" s="5"/>
      <c r="J27" s="5"/>
      <c r="K27" s="5"/>
      <c r="L27" s="5"/>
      <c r="M27" s="5"/>
      <c r="N27" s="5" t="s">
        <v>1929</v>
      </c>
      <c r="O27" s="5" t="s">
        <v>1917</v>
      </c>
      <c r="P27" s="5" t="s">
        <v>93</v>
      </c>
      <c r="Q27" s="14" t="s">
        <v>69</v>
      </c>
      <c r="X27" t="s">
        <v>51</v>
      </c>
      <c r="Y27" t="s">
        <v>52</v>
      </c>
      <c r="Z27" t="s">
        <v>3</v>
      </c>
    </row>
    <row r="28" spans="1:26" ht="14" x14ac:dyDescent="0.15">
      <c r="A28" s="5" t="s">
        <v>1927</v>
      </c>
      <c r="B28" s="5" t="s">
        <v>93</v>
      </c>
      <c r="C28" s="5" t="s">
        <v>96</v>
      </c>
      <c r="D28" s="5" t="s">
        <v>1931</v>
      </c>
      <c r="E28" s="5">
        <v>6048</v>
      </c>
      <c r="F28" s="5">
        <v>3408</v>
      </c>
      <c r="G28" s="5" t="s">
        <v>1895</v>
      </c>
      <c r="H28" s="5"/>
      <c r="I28" s="5"/>
      <c r="J28" s="5"/>
      <c r="K28" s="5"/>
      <c r="L28" s="5"/>
      <c r="M28" s="5"/>
      <c r="N28" s="5" t="s">
        <v>1929</v>
      </c>
      <c r="O28" s="5" t="s">
        <v>1917</v>
      </c>
      <c r="P28" s="5" t="s">
        <v>93</v>
      </c>
      <c r="Q28" s="14" t="s">
        <v>69</v>
      </c>
      <c r="X28" t="s">
        <v>51</v>
      </c>
      <c r="Y28" t="s">
        <v>52</v>
      </c>
      <c r="Z28" t="s">
        <v>3</v>
      </c>
    </row>
    <row r="29" spans="1:26" ht="14" x14ac:dyDescent="0.15">
      <c r="A29" s="5" t="s">
        <v>1927</v>
      </c>
      <c r="B29" s="5" t="s">
        <v>93</v>
      </c>
      <c r="C29" s="5" t="s">
        <v>96</v>
      </c>
      <c r="D29" s="5" t="s">
        <v>1932</v>
      </c>
      <c r="E29" s="5">
        <v>6048</v>
      </c>
      <c r="F29" s="5">
        <v>3200</v>
      </c>
      <c r="G29" s="5" t="s">
        <v>1915</v>
      </c>
      <c r="H29" s="5"/>
      <c r="I29" s="5"/>
      <c r="J29" s="5"/>
      <c r="K29" s="5"/>
      <c r="L29" s="5"/>
      <c r="M29" s="5"/>
      <c r="N29" s="5" t="s">
        <v>1929</v>
      </c>
      <c r="O29" s="5" t="s">
        <v>1917</v>
      </c>
      <c r="P29" s="5" t="s">
        <v>93</v>
      </c>
      <c r="Q29" s="14" t="s">
        <v>69</v>
      </c>
      <c r="X29" t="s">
        <v>51</v>
      </c>
      <c r="Y29" t="s">
        <v>52</v>
      </c>
      <c r="Z29" t="s">
        <v>3</v>
      </c>
    </row>
    <row r="30" spans="1:26" ht="14" x14ac:dyDescent="0.15">
      <c r="A30" s="5" t="s">
        <v>1927</v>
      </c>
      <c r="B30" s="5" t="s">
        <v>93</v>
      </c>
      <c r="C30" s="5" t="s">
        <v>96</v>
      </c>
      <c r="D30" s="5" t="s">
        <v>1933</v>
      </c>
      <c r="E30" s="5">
        <v>6048</v>
      </c>
      <c r="F30" s="5">
        <v>2520</v>
      </c>
      <c r="G30" s="5" t="s">
        <v>1934</v>
      </c>
      <c r="H30" s="5"/>
      <c r="I30" s="5"/>
      <c r="J30" s="5"/>
      <c r="K30" s="5"/>
      <c r="L30" s="5"/>
      <c r="M30" s="5"/>
      <c r="N30" s="5" t="s">
        <v>1929</v>
      </c>
      <c r="O30" s="5" t="s">
        <v>1917</v>
      </c>
      <c r="P30" s="5" t="s">
        <v>93</v>
      </c>
      <c r="Q30" s="14" t="s">
        <v>69</v>
      </c>
      <c r="X30" t="s">
        <v>51</v>
      </c>
      <c r="Y30" t="s">
        <v>52</v>
      </c>
      <c r="Z30" t="s">
        <v>3</v>
      </c>
    </row>
    <row r="31" spans="1:26" ht="14" x14ac:dyDescent="0.15">
      <c r="A31" s="5" t="s">
        <v>1927</v>
      </c>
      <c r="B31" s="5" t="s">
        <v>93</v>
      </c>
      <c r="C31" s="5" t="s">
        <v>96</v>
      </c>
      <c r="D31" s="5" t="s">
        <v>1935</v>
      </c>
      <c r="E31" s="5">
        <v>4096</v>
      </c>
      <c r="F31" s="5">
        <v>3072</v>
      </c>
      <c r="G31" s="5" t="s">
        <v>1913</v>
      </c>
      <c r="H31" s="5"/>
      <c r="I31" s="5"/>
      <c r="J31" s="5"/>
      <c r="K31" s="5"/>
      <c r="L31" s="5"/>
      <c r="M31" s="5"/>
      <c r="N31" s="5" t="s">
        <v>1929</v>
      </c>
      <c r="O31" s="5" t="s">
        <v>1917</v>
      </c>
      <c r="P31" s="5" t="s">
        <v>93</v>
      </c>
      <c r="Q31" s="14" t="s">
        <v>69</v>
      </c>
      <c r="X31" t="s">
        <v>51</v>
      </c>
      <c r="Y31" t="s">
        <v>52</v>
      </c>
      <c r="Z31" t="s">
        <v>3</v>
      </c>
    </row>
    <row r="32" spans="1:26" ht="14" x14ac:dyDescent="0.15">
      <c r="A32" s="5" t="s">
        <v>1927</v>
      </c>
      <c r="B32" s="5" t="s">
        <v>93</v>
      </c>
      <c r="C32" s="5" t="s">
        <v>96</v>
      </c>
      <c r="D32" s="5" t="s">
        <v>1896</v>
      </c>
      <c r="E32" s="5">
        <v>4096</v>
      </c>
      <c r="F32" s="5">
        <v>2304</v>
      </c>
      <c r="G32" s="5" t="s">
        <v>1895</v>
      </c>
      <c r="H32" s="5"/>
      <c r="I32" s="5"/>
      <c r="J32" s="5"/>
      <c r="K32" s="5"/>
      <c r="L32" s="5"/>
      <c r="M32" s="5"/>
      <c r="N32" s="5" t="s">
        <v>1929</v>
      </c>
      <c r="O32" s="5" t="s">
        <v>1917</v>
      </c>
      <c r="P32" s="5" t="s">
        <v>93</v>
      </c>
      <c r="Q32" s="14" t="s">
        <v>69</v>
      </c>
      <c r="X32" t="s">
        <v>51</v>
      </c>
      <c r="Y32" t="s">
        <v>52</v>
      </c>
      <c r="Z32" t="s">
        <v>3</v>
      </c>
    </row>
    <row r="33" spans="1:26" ht="14" x14ac:dyDescent="0.15">
      <c r="A33" s="5" t="s">
        <v>1927</v>
      </c>
      <c r="B33" s="5" t="s">
        <v>93</v>
      </c>
      <c r="C33" s="5" t="s">
        <v>96</v>
      </c>
      <c r="D33" s="5" t="s">
        <v>1936</v>
      </c>
      <c r="E33" s="5">
        <v>4096</v>
      </c>
      <c r="F33" s="5">
        <v>2160</v>
      </c>
      <c r="G33" s="5" t="s">
        <v>1915</v>
      </c>
      <c r="H33" s="5"/>
      <c r="I33" s="5"/>
      <c r="J33" s="5"/>
      <c r="K33" s="5"/>
      <c r="L33" s="5"/>
      <c r="M33" s="5"/>
      <c r="N33" s="5" t="s">
        <v>1929</v>
      </c>
      <c r="O33" s="5" t="s">
        <v>1917</v>
      </c>
      <c r="P33" s="5" t="s">
        <v>93</v>
      </c>
      <c r="Q33" s="14" t="s">
        <v>69</v>
      </c>
      <c r="X33" t="s">
        <v>51</v>
      </c>
      <c r="Y33" t="s">
        <v>52</v>
      </c>
      <c r="Z33" t="s">
        <v>3</v>
      </c>
    </row>
    <row r="34" spans="1:26" ht="14" x14ac:dyDescent="0.15">
      <c r="A34" s="5" t="s">
        <v>1927</v>
      </c>
      <c r="B34" s="5" t="s">
        <v>93</v>
      </c>
      <c r="C34" s="5" t="s">
        <v>96</v>
      </c>
      <c r="D34" s="5" t="s">
        <v>1937</v>
      </c>
      <c r="E34" s="5">
        <v>2112</v>
      </c>
      <c r="F34" s="5">
        <v>1184</v>
      </c>
      <c r="G34" s="5" t="s">
        <v>1895</v>
      </c>
      <c r="H34" s="5"/>
      <c r="I34" s="5"/>
      <c r="J34" s="5"/>
      <c r="K34" s="5"/>
      <c r="L34" s="5"/>
      <c r="M34" s="5"/>
      <c r="N34" s="5" t="s">
        <v>1929</v>
      </c>
      <c r="O34" s="5" t="s">
        <v>1917</v>
      </c>
      <c r="P34" s="5" t="s">
        <v>93</v>
      </c>
      <c r="Q34" s="14" t="s">
        <v>69</v>
      </c>
      <c r="X34" t="s">
        <v>51</v>
      </c>
      <c r="Y34" t="s">
        <v>52</v>
      </c>
      <c r="Z34" t="s">
        <v>3</v>
      </c>
    </row>
    <row r="35" spans="1:26" ht="14" x14ac:dyDescent="0.15">
      <c r="A35" s="5" t="s">
        <v>1938</v>
      </c>
      <c r="B35" s="5" t="s">
        <v>93</v>
      </c>
      <c r="C35" s="5" t="s">
        <v>110</v>
      </c>
      <c r="D35" s="5" t="s">
        <v>1939</v>
      </c>
      <c r="E35" s="5">
        <v>17520</v>
      </c>
      <c r="F35" s="5">
        <v>8040</v>
      </c>
      <c r="G35" s="5" t="s">
        <v>1940</v>
      </c>
      <c r="H35" s="5">
        <v>50.81</v>
      </c>
      <c r="I35" s="5">
        <v>23.32</v>
      </c>
      <c r="J35" s="5"/>
      <c r="K35" s="5"/>
      <c r="L35" s="5"/>
      <c r="M35" s="5"/>
      <c r="N35" s="5" t="s">
        <v>1929</v>
      </c>
      <c r="O35" s="5" t="s">
        <v>1917</v>
      </c>
      <c r="P35" s="5" t="s">
        <v>93</v>
      </c>
      <c r="Q35" s="14" t="s">
        <v>69</v>
      </c>
      <c r="X35" t="s">
        <v>51</v>
      </c>
      <c r="Y35" t="s">
        <v>52</v>
      </c>
      <c r="Z35" t="s">
        <v>3</v>
      </c>
    </row>
    <row r="36" spans="1:26" ht="14" x14ac:dyDescent="0.15">
      <c r="A36" s="5" t="s">
        <v>1938</v>
      </c>
      <c r="B36" s="5" t="s">
        <v>93</v>
      </c>
      <c r="C36" s="5" t="s">
        <v>110</v>
      </c>
      <c r="D36" s="5" t="s">
        <v>1941</v>
      </c>
      <c r="E36" s="5">
        <v>16128</v>
      </c>
      <c r="F36" s="5">
        <v>8040</v>
      </c>
      <c r="G36" s="5" t="s">
        <v>1898</v>
      </c>
      <c r="H36" s="5"/>
      <c r="I36" s="5"/>
      <c r="J36" s="5"/>
      <c r="K36" s="5"/>
      <c r="L36" s="5"/>
      <c r="M36" s="5"/>
      <c r="N36" s="5" t="s">
        <v>1929</v>
      </c>
      <c r="O36" s="5" t="s">
        <v>1917</v>
      </c>
      <c r="P36" s="5" t="s">
        <v>93</v>
      </c>
      <c r="Q36" s="14" t="s">
        <v>69</v>
      </c>
      <c r="X36" t="s">
        <v>51</v>
      </c>
      <c r="Y36" t="s">
        <v>52</v>
      </c>
      <c r="Z36" t="s">
        <v>3</v>
      </c>
    </row>
    <row r="37" spans="1:26" ht="14" x14ac:dyDescent="0.15">
      <c r="A37" s="5" t="s">
        <v>1938</v>
      </c>
      <c r="B37" s="5" t="s">
        <v>93</v>
      </c>
      <c r="C37" s="5" t="s">
        <v>110</v>
      </c>
      <c r="D37" s="5" t="s">
        <v>1942</v>
      </c>
      <c r="E37" s="5">
        <v>15360</v>
      </c>
      <c r="F37" s="5">
        <v>8040</v>
      </c>
      <c r="G37" s="5" t="s">
        <v>1915</v>
      </c>
      <c r="H37" s="5"/>
      <c r="I37" s="5"/>
      <c r="J37" s="5"/>
      <c r="K37" s="5"/>
      <c r="L37" s="5"/>
      <c r="M37" s="5"/>
      <c r="N37" s="5" t="s">
        <v>1929</v>
      </c>
      <c r="O37" s="5" t="s">
        <v>1917</v>
      </c>
      <c r="P37" s="5" t="s">
        <v>93</v>
      </c>
      <c r="Q37" s="14" t="s">
        <v>69</v>
      </c>
      <c r="X37" t="s">
        <v>51</v>
      </c>
      <c r="Y37" t="s">
        <v>52</v>
      </c>
      <c r="Z37" t="s">
        <v>3</v>
      </c>
    </row>
    <row r="38" spans="1:26" ht="14" x14ac:dyDescent="0.15">
      <c r="A38" s="5" t="s">
        <v>1938</v>
      </c>
      <c r="B38" s="5" t="s">
        <v>93</v>
      </c>
      <c r="C38" s="5" t="s">
        <v>110</v>
      </c>
      <c r="D38" s="5" t="s">
        <v>1943</v>
      </c>
      <c r="E38" s="5">
        <v>14304</v>
      </c>
      <c r="F38" s="5">
        <v>8040</v>
      </c>
      <c r="G38" s="5" t="s">
        <v>1895</v>
      </c>
      <c r="H38" s="5"/>
      <c r="I38" s="5"/>
      <c r="J38" s="5"/>
      <c r="K38" s="5"/>
      <c r="L38" s="5"/>
      <c r="M38" s="5"/>
      <c r="N38" s="5" t="s">
        <v>1929</v>
      </c>
      <c r="O38" s="5" t="s">
        <v>1917</v>
      </c>
      <c r="P38" s="5" t="s">
        <v>93</v>
      </c>
      <c r="Q38" s="14" t="s">
        <v>69</v>
      </c>
      <c r="X38" t="s">
        <v>51</v>
      </c>
      <c r="Y38" t="s">
        <v>52</v>
      </c>
      <c r="Z38" t="s">
        <v>3</v>
      </c>
    </row>
    <row r="39" spans="1:26" ht="14" x14ac:dyDescent="0.15">
      <c r="A39" s="5" t="s">
        <v>1938</v>
      </c>
      <c r="B39" s="5" t="s">
        <v>93</v>
      </c>
      <c r="C39" s="5" t="s">
        <v>110</v>
      </c>
      <c r="D39" s="5" t="s">
        <v>1944</v>
      </c>
      <c r="E39" s="5">
        <v>17520</v>
      </c>
      <c r="F39" s="5">
        <v>7296</v>
      </c>
      <c r="G39" s="5" t="s">
        <v>1934</v>
      </c>
      <c r="H39" s="5"/>
      <c r="I39" s="5"/>
      <c r="J39" s="5"/>
      <c r="K39" s="5"/>
      <c r="L39" s="5"/>
      <c r="M39" s="5"/>
      <c r="N39" s="5" t="s">
        <v>1929</v>
      </c>
      <c r="O39" s="5" t="s">
        <v>1917</v>
      </c>
      <c r="P39" s="5" t="s">
        <v>93</v>
      </c>
      <c r="Q39" s="14" t="s">
        <v>69</v>
      </c>
      <c r="X39" t="s">
        <v>51</v>
      </c>
      <c r="Y39" t="s">
        <v>52</v>
      </c>
      <c r="Z39" t="s">
        <v>3</v>
      </c>
    </row>
    <row r="40" spans="1:26" ht="14" x14ac:dyDescent="0.15">
      <c r="A40" s="5" t="s">
        <v>1938</v>
      </c>
      <c r="B40" s="5" t="s">
        <v>93</v>
      </c>
      <c r="C40" s="5" t="s">
        <v>110</v>
      </c>
      <c r="D40" s="5" t="s">
        <v>1945</v>
      </c>
      <c r="E40" s="5">
        <v>12288</v>
      </c>
      <c r="F40" s="5">
        <v>8040</v>
      </c>
      <c r="G40" s="5" t="s">
        <v>1892</v>
      </c>
      <c r="H40" s="5"/>
      <c r="I40" s="5"/>
      <c r="J40" s="5"/>
      <c r="K40" s="5"/>
      <c r="L40" s="5"/>
      <c r="M40" s="5"/>
      <c r="N40" s="5" t="s">
        <v>1929</v>
      </c>
      <c r="O40" s="5" t="s">
        <v>1917</v>
      </c>
      <c r="P40" s="5" t="s">
        <v>93</v>
      </c>
      <c r="Q40" s="14" t="s">
        <v>69</v>
      </c>
      <c r="X40" t="s">
        <v>51</v>
      </c>
      <c r="Y40" t="s">
        <v>52</v>
      </c>
      <c r="Z40" t="s">
        <v>3</v>
      </c>
    </row>
    <row r="41" spans="1:26" ht="14" x14ac:dyDescent="0.15">
      <c r="A41" s="5" t="s">
        <v>1938</v>
      </c>
      <c r="B41" s="5" t="s">
        <v>93</v>
      </c>
      <c r="C41" s="5" t="s">
        <v>110</v>
      </c>
      <c r="D41" s="5" t="s">
        <v>1946</v>
      </c>
      <c r="E41" s="5">
        <v>12288</v>
      </c>
      <c r="F41" s="5">
        <v>6912</v>
      </c>
      <c r="G41" s="5" t="s">
        <v>1895</v>
      </c>
      <c r="H41" s="5"/>
      <c r="I41" s="5"/>
      <c r="J41" s="5"/>
      <c r="K41" s="5"/>
      <c r="L41" s="5"/>
      <c r="M41" s="5"/>
      <c r="N41" s="5" t="s">
        <v>1929</v>
      </c>
      <c r="O41" s="5" t="s">
        <v>1917</v>
      </c>
      <c r="P41" s="5" t="s">
        <v>93</v>
      </c>
      <c r="Q41" s="14" t="s">
        <v>69</v>
      </c>
      <c r="X41" t="s">
        <v>51</v>
      </c>
      <c r="Y41" t="s">
        <v>52</v>
      </c>
      <c r="Z41" t="s">
        <v>3</v>
      </c>
    </row>
    <row r="42" spans="1:26" ht="14" x14ac:dyDescent="0.15">
      <c r="A42" s="5" t="s">
        <v>1938</v>
      </c>
      <c r="B42" s="5" t="s">
        <v>93</v>
      </c>
      <c r="C42" s="5" t="s">
        <v>110</v>
      </c>
      <c r="D42" s="5" t="s">
        <v>1947</v>
      </c>
      <c r="E42" s="5">
        <v>12288</v>
      </c>
      <c r="F42" s="5">
        <v>6480</v>
      </c>
      <c r="G42" s="5" t="s">
        <v>1915</v>
      </c>
      <c r="H42" s="5"/>
      <c r="I42" s="5"/>
      <c r="J42" s="5"/>
      <c r="K42" s="5"/>
      <c r="L42" s="5"/>
      <c r="M42" s="5"/>
      <c r="N42" s="5" t="s">
        <v>1929</v>
      </c>
      <c r="O42" s="5" t="s">
        <v>1917</v>
      </c>
      <c r="P42" s="5" t="s">
        <v>93</v>
      </c>
      <c r="Q42" s="14" t="s">
        <v>69</v>
      </c>
      <c r="X42" t="s">
        <v>51</v>
      </c>
      <c r="Y42" t="s">
        <v>52</v>
      </c>
      <c r="Z42" t="s">
        <v>3</v>
      </c>
    </row>
    <row r="43" spans="1:26" ht="14" x14ac:dyDescent="0.15">
      <c r="A43" s="5" t="s">
        <v>1938</v>
      </c>
      <c r="B43" s="5" t="s">
        <v>93</v>
      </c>
      <c r="C43" s="5" t="s">
        <v>110</v>
      </c>
      <c r="D43" s="5" t="s">
        <v>1948</v>
      </c>
      <c r="E43" s="5">
        <v>12288</v>
      </c>
      <c r="F43" s="5">
        <v>5112</v>
      </c>
      <c r="G43" s="5" t="s">
        <v>1934</v>
      </c>
      <c r="H43" s="5"/>
      <c r="I43" s="5"/>
      <c r="J43" s="5"/>
      <c r="K43" s="5"/>
      <c r="L43" s="5"/>
      <c r="M43" s="5"/>
      <c r="N43" s="5" t="s">
        <v>1929</v>
      </c>
      <c r="O43" s="5" t="s">
        <v>1917</v>
      </c>
      <c r="P43" s="5" t="s">
        <v>93</v>
      </c>
      <c r="Q43" s="14" t="s">
        <v>69</v>
      </c>
      <c r="X43" t="s">
        <v>51</v>
      </c>
      <c r="Y43" t="s">
        <v>52</v>
      </c>
      <c r="Z43" t="s">
        <v>3</v>
      </c>
    </row>
    <row r="44" spans="1:26" ht="14" x14ac:dyDescent="0.15">
      <c r="A44" s="5" t="s">
        <v>1938</v>
      </c>
      <c r="B44" s="5" t="s">
        <v>93</v>
      </c>
      <c r="C44" s="5" t="s">
        <v>110</v>
      </c>
      <c r="D44" s="5" t="s">
        <v>1949</v>
      </c>
      <c r="E44" s="5">
        <v>9648</v>
      </c>
      <c r="F44" s="5">
        <v>8040</v>
      </c>
      <c r="G44" s="5" t="s">
        <v>1901</v>
      </c>
      <c r="H44" s="5"/>
      <c r="I44" s="5"/>
      <c r="J44" s="5"/>
      <c r="K44" s="5"/>
      <c r="L44" s="5"/>
      <c r="M44" s="5"/>
      <c r="N44" s="5" t="s">
        <v>1929</v>
      </c>
      <c r="O44" s="5" t="s">
        <v>1917</v>
      </c>
      <c r="P44" s="5" t="s">
        <v>93</v>
      </c>
      <c r="Q44" s="14" t="s">
        <v>69</v>
      </c>
      <c r="X44" t="s">
        <v>51</v>
      </c>
      <c r="Y44" t="s">
        <v>52</v>
      </c>
      <c r="Z44" t="s">
        <v>3</v>
      </c>
    </row>
    <row r="45" spans="1:26" ht="14" x14ac:dyDescent="0.15">
      <c r="A45" s="5" t="s">
        <v>1950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14" t="s">
        <v>69</v>
      </c>
      <c r="X45" t="s">
        <v>51</v>
      </c>
      <c r="Y45" t="s">
        <v>52</v>
      </c>
      <c r="Z45" t="s">
        <v>3</v>
      </c>
    </row>
    <row r="46" spans="1:26" ht="14" x14ac:dyDescent="0.15">
      <c r="A46" s="5"/>
      <c r="B46" s="5" t="s">
        <v>49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14" t="s">
        <v>69</v>
      </c>
      <c r="X46" t="s">
        <v>51</v>
      </c>
      <c r="Y46" t="s">
        <v>52</v>
      </c>
      <c r="Z46" t="s">
        <v>3</v>
      </c>
    </row>
    <row r="47" spans="1:26" ht="14" x14ac:dyDescent="0.15">
      <c r="A47" s="5"/>
      <c r="B47" s="5"/>
      <c r="C47" s="5" t="s">
        <v>1492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14" t="s">
        <v>69</v>
      </c>
      <c r="X47" t="s">
        <v>51</v>
      </c>
      <c r="Y47" t="s">
        <v>52</v>
      </c>
      <c r="Z47" t="s">
        <v>3</v>
      </c>
    </row>
    <row r="48" spans="1:26" ht="14" x14ac:dyDescent="0.15">
      <c r="A48" s="5"/>
      <c r="B48" s="5"/>
      <c r="C48" s="5"/>
      <c r="D48" s="5" t="s">
        <v>1891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14" t="s">
        <v>69</v>
      </c>
      <c r="X48" t="s">
        <v>51</v>
      </c>
      <c r="Y48" t="s">
        <v>52</v>
      </c>
      <c r="Z48" t="s">
        <v>3</v>
      </c>
    </row>
    <row r="49" spans="1:26" x14ac:dyDescent="0.15">
      <c r="A49" s="5"/>
      <c r="B49" s="5"/>
      <c r="C49" s="5"/>
      <c r="D49" s="5"/>
      <c r="E49" s="5">
        <v>4608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4" t="s">
        <v>69</v>
      </c>
      <c r="X49" t="s">
        <v>51</v>
      </c>
      <c r="Y49" t="s">
        <v>52</v>
      </c>
      <c r="Z49" t="s">
        <v>3</v>
      </c>
    </row>
    <row r="50" spans="1:26" x14ac:dyDescent="0.15">
      <c r="A50" s="5"/>
      <c r="B50" s="5"/>
      <c r="C50" s="5"/>
      <c r="D50" s="5"/>
      <c r="E50" s="5"/>
      <c r="F50" s="5">
        <v>3164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14" t="s">
        <v>69</v>
      </c>
      <c r="X50" t="s">
        <v>51</v>
      </c>
      <c r="Y50" t="s">
        <v>52</v>
      </c>
      <c r="Z50" t="s">
        <v>3</v>
      </c>
    </row>
    <row r="51" spans="1:26" ht="14" x14ac:dyDescent="0.15">
      <c r="A51" s="5"/>
      <c r="B51" s="5"/>
      <c r="C51" s="5"/>
      <c r="D51" s="5"/>
      <c r="E51" s="5"/>
      <c r="F51" s="5"/>
      <c r="G51" s="5" t="s">
        <v>1892</v>
      </c>
      <c r="H51" s="5"/>
      <c r="I51" s="5"/>
      <c r="J51" s="5"/>
      <c r="K51" s="5"/>
      <c r="L51" s="5"/>
      <c r="M51" s="5"/>
      <c r="N51" s="5"/>
      <c r="O51" s="5"/>
      <c r="P51" s="5"/>
      <c r="Q51" s="14" t="s">
        <v>69</v>
      </c>
      <c r="X51" t="s">
        <v>51</v>
      </c>
      <c r="Y51" t="s">
        <v>52</v>
      </c>
      <c r="Z51" t="s">
        <v>3</v>
      </c>
    </row>
    <row r="52" spans="1:26" x14ac:dyDescent="0.15">
      <c r="A52" s="5"/>
      <c r="B52" s="5"/>
      <c r="C52" s="5"/>
      <c r="D52" s="5"/>
      <c r="E52" s="5"/>
      <c r="F52" s="5"/>
      <c r="G52" s="5"/>
      <c r="H52" s="5">
        <v>28</v>
      </c>
      <c r="I52" s="5"/>
      <c r="J52" s="5"/>
      <c r="K52" s="5"/>
      <c r="L52" s="5"/>
      <c r="M52" s="5"/>
      <c r="N52" s="5"/>
      <c r="O52" s="5"/>
      <c r="P52" s="5"/>
      <c r="Q52" s="14" t="s">
        <v>69</v>
      </c>
      <c r="X52" t="s">
        <v>51</v>
      </c>
      <c r="Y52" t="s">
        <v>52</v>
      </c>
      <c r="Z52" t="s">
        <v>3</v>
      </c>
    </row>
    <row r="53" spans="1:26" x14ac:dyDescent="0.15">
      <c r="A53" s="5"/>
      <c r="B53" s="5"/>
      <c r="C53" s="5"/>
      <c r="D53" s="5"/>
      <c r="E53" s="5"/>
      <c r="F53" s="5"/>
      <c r="G53" s="5"/>
      <c r="H53" s="5"/>
      <c r="I53" s="5">
        <v>19.2</v>
      </c>
      <c r="J53" s="5"/>
      <c r="K53" s="5"/>
      <c r="L53" s="5"/>
      <c r="M53" s="5"/>
      <c r="N53" s="5"/>
      <c r="O53" s="5"/>
      <c r="P53" s="5"/>
      <c r="Q53" s="14" t="s">
        <v>69</v>
      </c>
      <c r="X53" t="s">
        <v>51</v>
      </c>
      <c r="Y53" t="s">
        <v>52</v>
      </c>
      <c r="Z53" t="s">
        <v>3</v>
      </c>
    </row>
    <row r="54" spans="1:26" ht="14" x14ac:dyDescent="0.15">
      <c r="A54" s="5"/>
      <c r="B54" s="5"/>
      <c r="C54" s="5"/>
      <c r="D54" s="5"/>
      <c r="E54" s="5"/>
      <c r="F54" s="5"/>
      <c r="G54" s="5"/>
      <c r="H54" s="5"/>
      <c r="I54" s="5"/>
      <c r="J54" s="5" t="s">
        <v>1951</v>
      </c>
      <c r="K54" s="5"/>
      <c r="L54" s="5"/>
      <c r="M54" s="5"/>
      <c r="N54" s="5"/>
      <c r="O54" s="5"/>
      <c r="P54" s="5"/>
      <c r="Q54" s="14" t="s">
        <v>69</v>
      </c>
      <c r="X54" t="s">
        <v>51</v>
      </c>
      <c r="Y54" t="s">
        <v>52</v>
      </c>
      <c r="Z54" t="s">
        <v>3</v>
      </c>
    </row>
    <row r="55" spans="1:26" ht="14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 t="s">
        <v>1951</v>
      </c>
      <c r="L55" s="5"/>
      <c r="M55" s="5"/>
      <c r="N55" s="5"/>
      <c r="O55" s="5"/>
      <c r="P55" s="5"/>
      <c r="Q55" s="14" t="s">
        <v>69</v>
      </c>
      <c r="X55" t="s">
        <v>51</v>
      </c>
      <c r="Y55" t="s">
        <v>52</v>
      </c>
      <c r="Z55" t="s">
        <v>3</v>
      </c>
    </row>
    <row r="56" spans="1:26" ht="28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 t="s">
        <v>1952</v>
      </c>
      <c r="M56" s="5"/>
      <c r="N56" s="5"/>
      <c r="O56" s="5"/>
      <c r="P56" s="5"/>
      <c r="Q56" s="14" t="s">
        <v>69</v>
      </c>
      <c r="X56" t="s">
        <v>51</v>
      </c>
      <c r="Y56" t="s">
        <v>52</v>
      </c>
      <c r="Z56" t="s">
        <v>3</v>
      </c>
    </row>
    <row r="57" spans="1:26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120</v>
      </c>
      <c r="N57" s="5"/>
      <c r="O57" s="5"/>
      <c r="P57" s="5"/>
      <c r="Q57" s="14" t="s">
        <v>69</v>
      </c>
      <c r="X57" t="s">
        <v>51</v>
      </c>
      <c r="Y57" t="s">
        <v>52</v>
      </c>
      <c r="Z57" t="s">
        <v>3</v>
      </c>
    </row>
    <row r="58" spans="1:26" ht="14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 t="s">
        <v>49</v>
      </c>
      <c r="O58" s="5"/>
      <c r="P58" s="5"/>
      <c r="Q58" s="14" t="s">
        <v>69</v>
      </c>
      <c r="X58" t="s">
        <v>51</v>
      </c>
      <c r="Y58" t="s">
        <v>52</v>
      </c>
      <c r="Z58" t="s">
        <v>3</v>
      </c>
    </row>
    <row r="59" spans="1:26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4" t="s">
        <v>69</v>
      </c>
      <c r="X59" t="s">
        <v>51</v>
      </c>
      <c r="Y59" t="s">
        <v>52</v>
      </c>
      <c r="Z59" t="s">
        <v>3</v>
      </c>
    </row>
    <row r="60" spans="1:26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4" t="s">
        <v>69</v>
      </c>
      <c r="X60" t="s">
        <v>51</v>
      </c>
      <c r="Y60" t="s">
        <v>52</v>
      </c>
      <c r="Z60" t="s">
        <v>3</v>
      </c>
    </row>
    <row r="61" spans="1:26" ht="14" x14ac:dyDescent="0.15">
      <c r="A61" s="5" t="s">
        <v>1950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4" t="s">
        <v>69</v>
      </c>
      <c r="X61" t="s">
        <v>51</v>
      </c>
      <c r="Y61" t="s">
        <v>52</v>
      </c>
      <c r="Z61" t="s">
        <v>3</v>
      </c>
    </row>
    <row r="62" spans="1:26" ht="14" x14ac:dyDescent="0.15">
      <c r="A62" s="5"/>
      <c r="B62" s="5" t="s">
        <v>49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4" t="s">
        <v>69</v>
      </c>
      <c r="X62" t="s">
        <v>51</v>
      </c>
      <c r="Y62" t="s">
        <v>52</v>
      </c>
      <c r="Z62" t="s">
        <v>3</v>
      </c>
    </row>
    <row r="63" spans="1:26" ht="14" x14ac:dyDescent="0.15">
      <c r="A63" s="5"/>
      <c r="B63" s="5"/>
      <c r="C63" s="5" t="s">
        <v>1492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4" t="s">
        <v>69</v>
      </c>
      <c r="X63" t="s">
        <v>51</v>
      </c>
      <c r="Y63" t="s">
        <v>52</v>
      </c>
      <c r="Z63" t="s">
        <v>3</v>
      </c>
    </row>
    <row r="64" spans="1:26" ht="14" x14ac:dyDescent="0.15">
      <c r="A64" s="5"/>
      <c r="B64" s="5"/>
      <c r="C64" s="5"/>
      <c r="D64" s="5" t="s">
        <v>1894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4" t="s">
        <v>69</v>
      </c>
      <c r="X64" t="s">
        <v>51</v>
      </c>
      <c r="Y64" t="s">
        <v>52</v>
      </c>
      <c r="Z64" t="s">
        <v>3</v>
      </c>
    </row>
    <row r="65" spans="1:26" x14ac:dyDescent="0.15">
      <c r="A65" s="5"/>
      <c r="B65" s="5"/>
      <c r="C65" s="5"/>
      <c r="D65" s="5"/>
      <c r="E65" s="5">
        <v>4608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4" t="s">
        <v>69</v>
      </c>
      <c r="X65" t="s">
        <v>51</v>
      </c>
      <c r="Y65" t="s">
        <v>52</v>
      </c>
      <c r="Z65" t="s">
        <v>3</v>
      </c>
    </row>
    <row r="66" spans="1:26" x14ac:dyDescent="0.15">
      <c r="A66" s="5"/>
      <c r="B66" s="5"/>
      <c r="C66" s="5"/>
      <c r="D66" s="5"/>
      <c r="E66" s="5"/>
      <c r="F66" s="5">
        <v>2592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14" t="s">
        <v>69</v>
      </c>
      <c r="X66" t="s">
        <v>51</v>
      </c>
      <c r="Y66" t="s">
        <v>52</v>
      </c>
      <c r="Z66" t="s">
        <v>3</v>
      </c>
    </row>
    <row r="67" spans="1:26" ht="14" x14ac:dyDescent="0.15">
      <c r="A67" s="5"/>
      <c r="B67" s="5"/>
      <c r="C67" s="5"/>
      <c r="D67" s="5"/>
      <c r="E67" s="5"/>
      <c r="F67" s="5"/>
      <c r="G67" s="5" t="s">
        <v>1895</v>
      </c>
      <c r="H67" s="5"/>
      <c r="I67" s="5"/>
      <c r="J67" s="5"/>
      <c r="K67" s="5"/>
      <c r="L67" s="5"/>
      <c r="M67" s="5"/>
      <c r="N67" s="5"/>
      <c r="O67" s="5"/>
      <c r="P67" s="5"/>
      <c r="Q67" s="14" t="s">
        <v>69</v>
      </c>
      <c r="X67" t="s">
        <v>51</v>
      </c>
      <c r="Y67" t="s">
        <v>52</v>
      </c>
      <c r="Z67" t="s">
        <v>3</v>
      </c>
    </row>
    <row r="68" spans="1:26" x14ac:dyDescent="0.15">
      <c r="A68" s="5"/>
      <c r="B68" s="5"/>
      <c r="C68" s="5"/>
      <c r="D68" s="5"/>
      <c r="E68" s="5"/>
      <c r="F68" s="5"/>
      <c r="G68" s="5"/>
      <c r="H68" s="5">
        <v>28</v>
      </c>
      <c r="I68" s="5"/>
      <c r="J68" s="5"/>
      <c r="K68" s="5"/>
      <c r="L68" s="5"/>
      <c r="M68" s="5"/>
      <c r="N68" s="5"/>
      <c r="O68" s="5"/>
      <c r="P68" s="5"/>
      <c r="Q68" s="14" t="s">
        <v>69</v>
      </c>
      <c r="X68" t="s">
        <v>51</v>
      </c>
      <c r="Y68" t="s">
        <v>52</v>
      </c>
      <c r="Z68" t="s">
        <v>3</v>
      </c>
    </row>
    <row r="69" spans="1:26" x14ac:dyDescent="0.15">
      <c r="A69" s="5"/>
      <c r="B69" s="5"/>
      <c r="C69" s="5"/>
      <c r="D69" s="5"/>
      <c r="E69" s="5"/>
      <c r="F69" s="5"/>
      <c r="G69" s="5"/>
      <c r="H69" s="5"/>
      <c r="I69" s="5">
        <v>15.7</v>
      </c>
      <c r="J69" s="5"/>
      <c r="K69" s="5"/>
      <c r="L69" s="5"/>
      <c r="M69" s="5"/>
      <c r="N69" s="5"/>
      <c r="O69" s="5"/>
      <c r="P69" s="5"/>
      <c r="Q69" s="14" t="s">
        <v>69</v>
      </c>
      <c r="X69" t="s">
        <v>51</v>
      </c>
      <c r="Y69" t="s">
        <v>52</v>
      </c>
      <c r="Z69" t="s">
        <v>3</v>
      </c>
    </row>
    <row r="70" spans="1:26" ht="14" x14ac:dyDescent="0.15">
      <c r="A70" s="5"/>
      <c r="B70" s="5"/>
      <c r="C70" s="5"/>
      <c r="D70" s="5"/>
      <c r="E70" s="5"/>
      <c r="F70" s="5"/>
      <c r="G70" s="5"/>
      <c r="H70" s="5"/>
      <c r="I70" s="5"/>
      <c r="J70" s="5" t="s">
        <v>1951</v>
      </c>
      <c r="K70" s="5"/>
      <c r="L70" s="5"/>
      <c r="M70" s="5"/>
      <c r="N70" s="5"/>
      <c r="O70" s="5"/>
      <c r="P70" s="5"/>
      <c r="Q70" s="14" t="s">
        <v>69</v>
      </c>
      <c r="X70" t="s">
        <v>51</v>
      </c>
      <c r="Y70" t="s">
        <v>52</v>
      </c>
      <c r="Z70" t="s">
        <v>3</v>
      </c>
    </row>
    <row r="71" spans="1:26" ht="14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 t="s">
        <v>1953</v>
      </c>
      <c r="L71" s="5"/>
      <c r="M71" s="5"/>
      <c r="N71" s="5"/>
      <c r="O71" s="5"/>
      <c r="P71" s="5"/>
      <c r="Q71" s="14" t="s">
        <v>69</v>
      </c>
      <c r="X71" t="s">
        <v>51</v>
      </c>
      <c r="Y71" t="s">
        <v>52</v>
      </c>
      <c r="Z71" t="s">
        <v>3</v>
      </c>
    </row>
    <row r="72" spans="1:26" ht="28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 t="s">
        <v>1952</v>
      </c>
      <c r="M72" s="5"/>
      <c r="N72" s="5"/>
      <c r="O72" s="5"/>
      <c r="P72" s="5"/>
      <c r="Q72" s="14" t="s">
        <v>69</v>
      </c>
      <c r="X72" t="s">
        <v>51</v>
      </c>
      <c r="Y72" t="s">
        <v>52</v>
      </c>
      <c r="Z72" t="s">
        <v>3</v>
      </c>
    </row>
    <row r="73" spans="1:26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120</v>
      </c>
      <c r="N73" s="5"/>
      <c r="O73" s="5"/>
      <c r="P73" s="5"/>
      <c r="Q73" s="14" t="s">
        <v>69</v>
      </c>
      <c r="X73" t="s">
        <v>51</v>
      </c>
      <c r="Y73" t="s">
        <v>52</v>
      </c>
      <c r="Z73" t="s">
        <v>3</v>
      </c>
    </row>
    <row r="74" spans="1:26" ht="14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 t="s">
        <v>49</v>
      </c>
      <c r="O74" s="5"/>
      <c r="P74" s="5"/>
      <c r="Q74" s="14" t="s">
        <v>69</v>
      </c>
      <c r="X74" t="s">
        <v>51</v>
      </c>
      <c r="Y74" t="s">
        <v>52</v>
      </c>
      <c r="Z74" t="s">
        <v>3</v>
      </c>
    </row>
    <row r="75" spans="1:26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4" t="s">
        <v>69</v>
      </c>
      <c r="X75" t="s">
        <v>51</v>
      </c>
      <c r="Y75" t="s">
        <v>52</v>
      </c>
      <c r="Z75" t="s">
        <v>3</v>
      </c>
    </row>
    <row r="76" spans="1:26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4" t="s">
        <v>69</v>
      </c>
      <c r="X76" t="s">
        <v>51</v>
      </c>
      <c r="Y76" t="s">
        <v>52</v>
      </c>
      <c r="Z76" t="s">
        <v>3</v>
      </c>
    </row>
    <row r="77" spans="1:26" ht="14" x14ac:dyDescent="0.15">
      <c r="A77" s="5" t="s">
        <v>1950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4" t="s">
        <v>69</v>
      </c>
      <c r="X77" t="s">
        <v>51</v>
      </c>
      <c r="Y77" t="s">
        <v>52</v>
      </c>
      <c r="Z77" t="s">
        <v>3</v>
      </c>
    </row>
    <row r="78" spans="1:26" ht="14" x14ac:dyDescent="0.15">
      <c r="A78" s="5"/>
      <c r="B78" s="5" t="s">
        <v>49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4" t="s">
        <v>69</v>
      </c>
      <c r="X78" t="s">
        <v>51</v>
      </c>
      <c r="Y78" t="s">
        <v>52</v>
      </c>
      <c r="Z78" t="s">
        <v>3</v>
      </c>
    </row>
    <row r="79" spans="1:26" ht="14" x14ac:dyDescent="0.15">
      <c r="A79" s="5"/>
      <c r="B79" s="5"/>
      <c r="C79" s="5" t="s">
        <v>1492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4" t="s">
        <v>69</v>
      </c>
      <c r="X79" t="s">
        <v>51</v>
      </c>
      <c r="Y79" t="s">
        <v>52</v>
      </c>
      <c r="Z79" t="s">
        <v>3</v>
      </c>
    </row>
    <row r="80" spans="1:26" ht="14" x14ac:dyDescent="0.15">
      <c r="A80" s="5"/>
      <c r="B80" s="5"/>
      <c r="C80" s="5"/>
      <c r="D80" s="5" t="s">
        <v>1954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4" t="s">
        <v>69</v>
      </c>
      <c r="X80" t="s">
        <v>51</v>
      </c>
      <c r="Y80" t="s">
        <v>52</v>
      </c>
      <c r="Z80" t="s">
        <v>3</v>
      </c>
    </row>
    <row r="81" spans="1:26" x14ac:dyDescent="0.15">
      <c r="A81" s="5"/>
      <c r="B81" s="5"/>
      <c r="C81" s="5"/>
      <c r="D81" s="5"/>
      <c r="E81" s="5">
        <v>3840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4" t="s">
        <v>69</v>
      </c>
      <c r="X81" t="s">
        <v>51</v>
      </c>
      <c r="Y81" t="s">
        <v>52</v>
      </c>
      <c r="Z81" t="s">
        <v>3</v>
      </c>
    </row>
    <row r="82" spans="1:26" x14ac:dyDescent="0.15">
      <c r="A82" s="5"/>
      <c r="B82" s="5"/>
      <c r="C82" s="5"/>
      <c r="D82" s="5"/>
      <c r="E82" s="5"/>
      <c r="F82" s="5">
        <v>1608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14" t="s">
        <v>69</v>
      </c>
      <c r="X82" t="s">
        <v>51</v>
      </c>
      <c r="Y82" t="s">
        <v>52</v>
      </c>
      <c r="Z82" t="s">
        <v>3</v>
      </c>
    </row>
    <row r="83" spans="1:26" ht="14" x14ac:dyDescent="0.15">
      <c r="A83" s="5"/>
      <c r="B83" s="5"/>
      <c r="C83" s="5"/>
      <c r="D83" s="5"/>
      <c r="E83" s="5"/>
      <c r="F83" s="5"/>
      <c r="G83" s="5" t="s">
        <v>1908</v>
      </c>
      <c r="H83" s="5"/>
      <c r="I83" s="5"/>
      <c r="J83" s="5"/>
      <c r="K83" s="5"/>
      <c r="L83" s="5"/>
      <c r="M83" s="5"/>
      <c r="N83" s="5"/>
      <c r="O83" s="5"/>
      <c r="P83" s="5"/>
      <c r="Q83" s="14" t="s">
        <v>69</v>
      </c>
      <c r="X83" t="s">
        <v>51</v>
      </c>
      <c r="Y83" t="s">
        <v>52</v>
      </c>
      <c r="Z83" t="s">
        <v>3</v>
      </c>
    </row>
    <row r="84" spans="1:26" x14ac:dyDescent="0.15">
      <c r="A84" s="5"/>
      <c r="B84" s="5"/>
      <c r="C84" s="5"/>
      <c r="D84" s="5"/>
      <c r="E84" s="5"/>
      <c r="F84" s="5"/>
      <c r="G84" s="5"/>
      <c r="H84" s="5">
        <v>23.3</v>
      </c>
      <c r="I84" s="5"/>
      <c r="J84" s="5"/>
      <c r="K84" s="5"/>
      <c r="L84" s="5"/>
      <c r="M84" s="5"/>
      <c r="N84" s="5"/>
      <c r="O84" s="5"/>
      <c r="P84" s="5"/>
      <c r="Q84" s="14" t="s">
        <v>69</v>
      </c>
      <c r="X84" t="s">
        <v>51</v>
      </c>
      <c r="Y84" t="s">
        <v>52</v>
      </c>
      <c r="Z84" t="s">
        <v>3</v>
      </c>
    </row>
    <row r="85" spans="1:26" x14ac:dyDescent="0.15">
      <c r="A85" s="5"/>
      <c r="B85" s="5"/>
      <c r="C85" s="5"/>
      <c r="D85" s="5"/>
      <c r="E85" s="5"/>
      <c r="F85" s="5"/>
      <c r="G85" s="5"/>
      <c r="H85" s="5"/>
      <c r="I85" s="5">
        <v>9.8000000000000007</v>
      </c>
      <c r="J85" s="5"/>
      <c r="K85" s="5"/>
      <c r="L85" s="5"/>
      <c r="M85" s="5"/>
      <c r="N85" s="5"/>
      <c r="O85" s="5"/>
      <c r="P85" s="5"/>
      <c r="Q85" s="14" t="s">
        <v>69</v>
      </c>
      <c r="X85" t="s">
        <v>51</v>
      </c>
      <c r="Y85" t="s">
        <v>52</v>
      </c>
      <c r="Z85" t="s">
        <v>3</v>
      </c>
    </row>
    <row r="86" spans="1:26" ht="14" x14ac:dyDescent="0.15">
      <c r="A86" s="5"/>
      <c r="B86" s="5"/>
      <c r="C86" s="5"/>
      <c r="D86" s="5"/>
      <c r="E86" s="5"/>
      <c r="F86" s="5"/>
      <c r="G86" s="5"/>
      <c r="H86" s="5"/>
      <c r="I86" s="5"/>
      <c r="J86" s="5" t="s">
        <v>1955</v>
      </c>
      <c r="K86" s="5"/>
      <c r="L86" s="5"/>
      <c r="M86" s="5"/>
      <c r="N86" s="5"/>
      <c r="O86" s="5"/>
      <c r="P86" s="5"/>
      <c r="Q86" s="14" t="s">
        <v>69</v>
      </c>
      <c r="X86" t="s">
        <v>51</v>
      </c>
      <c r="Y86" t="s">
        <v>52</v>
      </c>
      <c r="Z86" t="s">
        <v>3</v>
      </c>
    </row>
    <row r="87" spans="1:26" ht="14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 t="s">
        <v>1956</v>
      </c>
      <c r="L87" s="5"/>
      <c r="M87" s="5"/>
      <c r="N87" s="5"/>
      <c r="O87" s="5"/>
      <c r="P87" s="5"/>
      <c r="Q87" s="14" t="s">
        <v>69</v>
      </c>
      <c r="X87" t="s">
        <v>51</v>
      </c>
      <c r="Y87" t="s">
        <v>52</v>
      </c>
      <c r="Z87" t="s">
        <v>3</v>
      </c>
    </row>
    <row r="88" spans="1:26" ht="28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 t="s">
        <v>1952</v>
      </c>
      <c r="M88" s="5"/>
      <c r="N88" s="5"/>
      <c r="O88" s="5"/>
      <c r="P88" s="5"/>
      <c r="Q88" s="14" t="s">
        <v>69</v>
      </c>
      <c r="X88" t="s">
        <v>51</v>
      </c>
      <c r="Y88" t="s">
        <v>52</v>
      </c>
      <c r="Z88" t="s">
        <v>3</v>
      </c>
    </row>
    <row r="89" spans="1:2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120</v>
      </c>
      <c r="N89" s="5"/>
      <c r="O89" s="5"/>
      <c r="P89" s="5"/>
      <c r="Q89" s="14" t="s">
        <v>69</v>
      </c>
      <c r="X89" t="s">
        <v>51</v>
      </c>
      <c r="Y89" t="s">
        <v>52</v>
      </c>
      <c r="Z89" t="s">
        <v>3</v>
      </c>
    </row>
    <row r="90" spans="1:26" ht="14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 t="s">
        <v>49</v>
      </c>
      <c r="O90" s="5"/>
      <c r="P90" s="5"/>
      <c r="Q90" s="14" t="s">
        <v>69</v>
      </c>
      <c r="X90" t="s">
        <v>51</v>
      </c>
      <c r="Y90" t="s">
        <v>52</v>
      </c>
      <c r="Z90" t="s">
        <v>3</v>
      </c>
    </row>
    <row r="91" spans="1:2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14" t="s">
        <v>69</v>
      </c>
      <c r="X91" t="s">
        <v>51</v>
      </c>
      <c r="Y91" t="s">
        <v>52</v>
      </c>
      <c r="Z91" t="s">
        <v>3</v>
      </c>
    </row>
    <row r="92" spans="1:2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14" t="s">
        <v>69</v>
      </c>
      <c r="X92" t="s">
        <v>51</v>
      </c>
      <c r="Y92" t="s">
        <v>52</v>
      </c>
      <c r="Z92" t="s">
        <v>3</v>
      </c>
    </row>
    <row r="93" spans="1:26" ht="14" x14ac:dyDescent="0.15">
      <c r="A93" s="5" t="s">
        <v>60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14" t="s">
        <v>69</v>
      </c>
      <c r="X93" t="s">
        <v>51</v>
      </c>
      <c r="Y93" t="s">
        <v>52</v>
      </c>
      <c r="Z93" t="s">
        <v>3</v>
      </c>
    </row>
    <row r="94" spans="1:26" ht="14" x14ac:dyDescent="0.15">
      <c r="A94" s="5"/>
      <c r="B94" s="5" t="s">
        <v>49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14" t="s">
        <v>69</v>
      </c>
      <c r="X94" t="s">
        <v>51</v>
      </c>
      <c r="Y94" t="s">
        <v>52</v>
      </c>
      <c r="Z94" t="s">
        <v>3</v>
      </c>
    </row>
    <row r="95" spans="1:26" ht="14" x14ac:dyDescent="0.15">
      <c r="A95" s="5"/>
      <c r="B95" s="5"/>
      <c r="C95" s="5" t="s">
        <v>61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4" t="s">
        <v>69</v>
      </c>
      <c r="X95" t="s">
        <v>51</v>
      </c>
      <c r="Y95" t="s">
        <v>52</v>
      </c>
      <c r="Z95" t="s">
        <v>3</v>
      </c>
    </row>
    <row r="96" spans="1:26" ht="14" x14ac:dyDescent="0.15">
      <c r="A96" s="5"/>
      <c r="B96" s="5"/>
      <c r="C96" s="5"/>
      <c r="D96" s="5" t="s">
        <v>1957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4" t="s">
        <v>69</v>
      </c>
      <c r="X96" t="s">
        <v>51</v>
      </c>
      <c r="Y96" t="s">
        <v>52</v>
      </c>
      <c r="Z96" t="s">
        <v>3</v>
      </c>
    </row>
    <row r="97" spans="1:26" x14ac:dyDescent="0.15">
      <c r="A97" s="5"/>
      <c r="B97" s="5"/>
      <c r="C97" s="5"/>
      <c r="D97" s="5"/>
      <c r="E97" s="5">
        <v>4448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4" t="s">
        <v>69</v>
      </c>
      <c r="X97" t="s">
        <v>51</v>
      </c>
      <c r="Y97" t="s">
        <v>52</v>
      </c>
      <c r="Z97" t="s">
        <v>3</v>
      </c>
    </row>
    <row r="98" spans="1:26" x14ac:dyDescent="0.15">
      <c r="A98" s="5"/>
      <c r="B98" s="5"/>
      <c r="C98" s="5"/>
      <c r="D98" s="5"/>
      <c r="E98" s="5"/>
      <c r="F98" s="5">
        <v>3096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14" t="s">
        <v>69</v>
      </c>
      <c r="X98" t="s">
        <v>51</v>
      </c>
      <c r="Y98" t="s">
        <v>52</v>
      </c>
      <c r="Z98" t="s">
        <v>3</v>
      </c>
    </row>
    <row r="99" spans="1:26" ht="14" x14ac:dyDescent="0.15">
      <c r="A99" s="5"/>
      <c r="B99" s="5"/>
      <c r="C99" s="5"/>
      <c r="D99" s="5"/>
      <c r="E99" s="5"/>
      <c r="F99" s="5"/>
      <c r="G99" s="5" t="s">
        <v>1892</v>
      </c>
      <c r="H99" s="5"/>
      <c r="I99" s="5"/>
      <c r="J99" s="5"/>
      <c r="K99" s="5"/>
      <c r="L99" s="5"/>
      <c r="M99" s="5"/>
      <c r="N99" s="5"/>
      <c r="O99" s="5"/>
      <c r="P99" s="5"/>
      <c r="Q99" s="14" t="s">
        <v>69</v>
      </c>
      <c r="X99" t="s">
        <v>51</v>
      </c>
      <c r="Y99" t="s">
        <v>52</v>
      </c>
      <c r="Z99" t="s">
        <v>3</v>
      </c>
    </row>
    <row r="100" spans="1:26" x14ac:dyDescent="0.15">
      <c r="A100" s="5"/>
      <c r="B100" s="5"/>
      <c r="C100" s="5"/>
      <c r="D100" s="5"/>
      <c r="E100" s="5"/>
      <c r="F100" s="5"/>
      <c r="G100" s="5"/>
      <c r="H100" s="5">
        <v>36.700000000000003</v>
      </c>
      <c r="I100" s="5"/>
      <c r="J100" s="5"/>
      <c r="K100" s="5"/>
      <c r="L100" s="5"/>
      <c r="M100" s="5"/>
      <c r="N100" s="5"/>
      <c r="O100" s="5"/>
      <c r="P100" s="5"/>
      <c r="Q100" s="14" t="s">
        <v>69</v>
      </c>
      <c r="X100" t="s">
        <v>51</v>
      </c>
      <c r="Y100" t="s">
        <v>52</v>
      </c>
      <c r="Z100" t="s">
        <v>3</v>
      </c>
    </row>
    <row r="101" spans="1:26" x14ac:dyDescent="0.15">
      <c r="A101" s="5"/>
      <c r="B101" s="5"/>
      <c r="C101" s="5"/>
      <c r="D101" s="5"/>
      <c r="E101" s="5"/>
      <c r="F101" s="5"/>
      <c r="G101" s="5"/>
      <c r="H101" s="5"/>
      <c r="I101" s="5">
        <v>25.54</v>
      </c>
      <c r="J101" s="5"/>
      <c r="K101" s="5"/>
      <c r="L101" s="5"/>
      <c r="M101" s="5"/>
      <c r="N101" s="5"/>
      <c r="O101" s="5"/>
      <c r="P101" s="5"/>
      <c r="Q101" s="14" t="s">
        <v>69</v>
      </c>
      <c r="X101" t="s">
        <v>51</v>
      </c>
      <c r="Y101" t="s">
        <v>52</v>
      </c>
      <c r="Z101" t="s">
        <v>3</v>
      </c>
    </row>
    <row r="102" spans="1:26" ht="14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 t="s">
        <v>1951</v>
      </c>
      <c r="K102" s="5"/>
      <c r="L102" s="5"/>
      <c r="M102" s="5"/>
      <c r="N102" s="5"/>
      <c r="O102" s="5"/>
      <c r="P102" s="5"/>
      <c r="Q102" s="14" t="s">
        <v>69</v>
      </c>
      <c r="X102" t="s">
        <v>51</v>
      </c>
      <c r="Y102" t="s">
        <v>52</v>
      </c>
      <c r="Z102" t="s">
        <v>3</v>
      </c>
    </row>
    <row r="103" spans="1:26" ht="14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 t="s">
        <v>1951</v>
      </c>
      <c r="L103" s="5"/>
      <c r="M103" s="5"/>
      <c r="N103" s="5"/>
      <c r="O103" s="5"/>
      <c r="P103" s="5"/>
      <c r="Q103" s="14" t="s">
        <v>69</v>
      </c>
      <c r="X103" t="s">
        <v>51</v>
      </c>
      <c r="Y103" t="s">
        <v>52</v>
      </c>
      <c r="Z103" t="s">
        <v>3</v>
      </c>
    </row>
    <row r="104" spans="1:26" ht="14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 t="s">
        <v>1893</v>
      </c>
      <c r="M104" s="5"/>
      <c r="N104" s="5"/>
      <c r="O104" s="5"/>
      <c r="P104" s="5"/>
      <c r="Q104" s="14" t="s">
        <v>69</v>
      </c>
      <c r="X104" t="s">
        <v>51</v>
      </c>
      <c r="Y104" t="s">
        <v>52</v>
      </c>
      <c r="Z104" t="s">
        <v>3</v>
      </c>
    </row>
    <row r="105" spans="1:2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>
        <v>90</v>
      </c>
      <c r="N105" s="5"/>
      <c r="O105" s="5"/>
      <c r="P105" s="5"/>
      <c r="Q105" s="14" t="s">
        <v>69</v>
      </c>
      <c r="X105" t="s">
        <v>51</v>
      </c>
      <c r="Y105" t="s">
        <v>52</v>
      </c>
      <c r="Z105" t="s">
        <v>3</v>
      </c>
    </row>
    <row r="106" spans="1:26" ht="14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 t="s">
        <v>49</v>
      </c>
      <c r="O106" s="5"/>
      <c r="P106" s="5"/>
      <c r="Q106" s="14" t="s">
        <v>69</v>
      </c>
      <c r="X106" t="s">
        <v>51</v>
      </c>
      <c r="Y106" t="s">
        <v>52</v>
      </c>
      <c r="Z106" t="s">
        <v>3</v>
      </c>
    </row>
    <row r="107" spans="1:2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4" t="s">
        <v>69</v>
      </c>
      <c r="X107" t="s">
        <v>51</v>
      </c>
      <c r="Y107" t="s">
        <v>52</v>
      </c>
      <c r="Z107" t="s">
        <v>3</v>
      </c>
    </row>
    <row r="108" spans="1:2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14" t="s">
        <v>69</v>
      </c>
      <c r="X108" t="s">
        <v>51</v>
      </c>
      <c r="Y108" t="s">
        <v>52</v>
      </c>
      <c r="Z108" t="s">
        <v>3</v>
      </c>
    </row>
    <row r="109" spans="1:26" ht="14" x14ac:dyDescent="0.15">
      <c r="A109" s="5" t="s">
        <v>60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4" t="s">
        <v>69</v>
      </c>
      <c r="X109" t="s">
        <v>51</v>
      </c>
      <c r="Y109" t="s">
        <v>52</v>
      </c>
      <c r="Z109" t="s">
        <v>3</v>
      </c>
    </row>
    <row r="110" spans="1:26" ht="14" x14ac:dyDescent="0.15">
      <c r="A110" s="5"/>
      <c r="B110" s="5" t="s">
        <v>49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4" t="s">
        <v>69</v>
      </c>
      <c r="X110" t="s">
        <v>51</v>
      </c>
      <c r="Y110" t="s">
        <v>52</v>
      </c>
      <c r="Z110" t="s">
        <v>3</v>
      </c>
    </row>
    <row r="111" spans="1:26" ht="14" x14ac:dyDescent="0.15">
      <c r="A111" s="5"/>
      <c r="B111" s="5"/>
      <c r="C111" s="5" t="s">
        <v>61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4" t="s">
        <v>69</v>
      </c>
      <c r="X111" t="s">
        <v>51</v>
      </c>
      <c r="Y111" t="s">
        <v>52</v>
      </c>
      <c r="Z111" t="s">
        <v>3</v>
      </c>
    </row>
    <row r="112" spans="1:26" ht="14" x14ac:dyDescent="0.15">
      <c r="A112" s="5"/>
      <c r="B112" s="5"/>
      <c r="C112" s="5"/>
      <c r="D112" s="5" t="s">
        <v>1958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4" t="s">
        <v>69</v>
      </c>
      <c r="X112" t="s">
        <v>51</v>
      </c>
      <c r="Y112" t="s">
        <v>52</v>
      </c>
      <c r="Z112" t="s">
        <v>3</v>
      </c>
    </row>
    <row r="113" spans="1:26" x14ac:dyDescent="0.15">
      <c r="A113" s="5"/>
      <c r="B113" s="5"/>
      <c r="C113" s="5"/>
      <c r="D113" s="5"/>
      <c r="E113" s="5">
        <v>4448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4" t="s">
        <v>69</v>
      </c>
      <c r="X113" t="s">
        <v>51</v>
      </c>
      <c r="Y113" t="s">
        <v>52</v>
      </c>
      <c r="Z113" t="s">
        <v>3</v>
      </c>
    </row>
    <row r="114" spans="1:26" x14ac:dyDescent="0.15">
      <c r="A114" s="5"/>
      <c r="B114" s="5"/>
      <c r="C114" s="5"/>
      <c r="D114" s="5"/>
      <c r="E114" s="5"/>
      <c r="F114" s="5">
        <v>1856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4" t="s">
        <v>69</v>
      </c>
      <c r="X114" t="s">
        <v>51</v>
      </c>
      <c r="Y114" t="s">
        <v>52</v>
      </c>
      <c r="Z114" t="s">
        <v>3</v>
      </c>
    </row>
    <row r="115" spans="1:26" ht="14" x14ac:dyDescent="0.15">
      <c r="A115" s="5"/>
      <c r="B115" s="5"/>
      <c r="C115" s="5"/>
      <c r="D115" s="5"/>
      <c r="E115" s="5"/>
      <c r="F115" s="5"/>
      <c r="G115" s="5" t="s">
        <v>1908</v>
      </c>
      <c r="H115" s="5"/>
      <c r="I115" s="5"/>
      <c r="J115" s="5"/>
      <c r="K115" s="5"/>
      <c r="L115" s="5"/>
      <c r="M115" s="5"/>
      <c r="N115" s="5"/>
      <c r="O115" s="5"/>
      <c r="P115" s="5"/>
      <c r="Q115" s="14" t="s">
        <v>69</v>
      </c>
      <c r="X115" t="s">
        <v>51</v>
      </c>
      <c r="Y115" t="s">
        <v>52</v>
      </c>
      <c r="Z115" t="s">
        <v>3</v>
      </c>
    </row>
    <row r="116" spans="1:26" x14ac:dyDescent="0.15">
      <c r="A116" s="5"/>
      <c r="B116" s="5"/>
      <c r="C116" s="5"/>
      <c r="D116" s="5"/>
      <c r="E116" s="5"/>
      <c r="F116" s="5"/>
      <c r="G116" s="5"/>
      <c r="H116" s="5">
        <v>36.700000000000003</v>
      </c>
      <c r="I116" s="5"/>
      <c r="J116" s="5"/>
      <c r="K116" s="5"/>
      <c r="L116" s="5"/>
      <c r="M116" s="5"/>
      <c r="N116" s="5"/>
      <c r="O116" s="5"/>
      <c r="P116" s="5"/>
      <c r="Q116" s="14" t="s">
        <v>69</v>
      </c>
      <c r="X116" t="s">
        <v>51</v>
      </c>
      <c r="Y116" t="s">
        <v>52</v>
      </c>
      <c r="Z116" t="s">
        <v>3</v>
      </c>
    </row>
    <row r="117" spans="1:26" x14ac:dyDescent="0.15">
      <c r="A117" s="5"/>
      <c r="B117" s="5"/>
      <c r="C117" s="5"/>
      <c r="D117" s="5"/>
      <c r="E117" s="5"/>
      <c r="F117" s="5"/>
      <c r="G117" s="5"/>
      <c r="H117" s="5"/>
      <c r="I117" s="5">
        <v>15.31</v>
      </c>
      <c r="J117" s="5"/>
      <c r="K117" s="5"/>
      <c r="L117" s="5"/>
      <c r="M117" s="5"/>
      <c r="N117" s="5"/>
      <c r="O117" s="5"/>
      <c r="P117" s="5"/>
      <c r="Q117" s="14" t="s">
        <v>69</v>
      </c>
      <c r="X117" t="s">
        <v>51</v>
      </c>
      <c r="Y117" t="s">
        <v>52</v>
      </c>
      <c r="Z117" t="s">
        <v>3</v>
      </c>
    </row>
    <row r="118" spans="1:26" ht="14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 t="s">
        <v>1951</v>
      </c>
      <c r="K118" s="5"/>
      <c r="L118" s="5"/>
      <c r="M118" s="5"/>
      <c r="N118" s="5"/>
      <c r="O118" s="5"/>
      <c r="P118" s="5"/>
      <c r="Q118" s="14" t="s">
        <v>69</v>
      </c>
      <c r="X118" t="s">
        <v>51</v>
      </c>
      <c r="Y118" t="s">
        <v>52</v>
      </c>
      <c r="Z118" t="s">
        <v>3</v>
      </c>
    </row>
    <row r="119" spans="1:26" ht="14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 t="s">
        <v>1959</v>
      </c>
      <c r="L119" s="5"/>
      <c r="M119" s="5"/>
      <c r="N119" s="5"/>
      <c r="O119" s="5"/>
      <c r="P119" s="5"/>
      <c r="Q119" s="14" t="s">
        <v>69</v>
      </c>
      <c r="X119" t="s">
        <v>51</v>
      </c>
      <c r="Y119" t="s">
        <v>52</v>
      </c>
      <c r="Z119" t="s">
        <v>3</v>
      </c>
    </row>
    <row r="120" spans="1:26" ht="14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 t="s">
        <v>1893</v>
      </c>
      <c r="M120" s="5"/>
      <c r="N120" s="5"/>
      <c r="O120" s="5"/>
      <c r="P120" s="5"/>
      <c r="Q120" s="14" t="s">
        <v>69</v>
      </c>
      <c r="X120" t="s">
        <v>51</v>
      </c>
      <c r="Y120" t="s">
        <v>52</v>
      </c>
      <c r="Z120" t="s">
        <v>3</v>
      </c>
    </row>
    <row r="121" spans="1:2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>
        <v>90</v>
      </c>
      <c r="N121" s="5"/>
      <c r="O121" s="5"/>
      <c r="P121" s="5"/>
      <c r="Q121" s="14" t="s">
        <v>69</v>
      </c>
      <c r="X121" t="s">
        <v>51</v>
      </c>
      <c r="Y121" t="s">
        <v>52</v>
      </c>
      <c r="Z121" t="s">
        <v>3</v>
      </c>
    </row>
    <row r="122" spans="1:26" ht="14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 t="s">
        <v>49</v>
      </c>
      <c r="O122" s="5"/>
      <c r="P122" s="5"/>
      <c r="Q122" s="14" t="s">
        <v>69</v>
      </c>
      <c r="X122" t="s">
        <v>51</v>
      </c>
      <c r="Y122" t="s">
        <v>52</v>
      </c>
      <c r="Z122" t="s">
        <v>3</v>
      </c>
    </row>
    <row r="123" spans="1:2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14" t="s">
        <v>69</v>
      </c>
      <c r="X123" t="s">
        <v>51</v>
      </c>
      <c r="Y123" t="s">
        <v>52</v>
      </c>
      <c r="Z123" t="s">
        <v>3</v>
      </c>
    </row>
    <row r="124" spans="1:2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4" t="s">
        <v>69</v>
      </c>
      <c r="X124" t="s">
        <v>51</v>
      </c>
      <c r="Y124" t="s">
        <v>52</v>
      </c>
      <c r="Z124" t="s">
        <v>3</v>
      </c>
    </row>
    <row r="125" spans="1:26" ht="14" x14ac:dyDescent="0.15">
      <c r="A125" s="5" t="s">
        <v>187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14" t="s">
        <v>69</v>
      </c>
      <c r="X125" t="s">
        <v>51</v>
      </c>
      <c r="Y125" t="s">
        <v>52</v>
      </c>
      <c r="Z125" t="s">
        <v>3</v>
      </c>
    </row>
    <row r="126" spans="1:26" ht="14" x14ac:dyDescent="0.15">
      <c r="A126" s="5"/>
      <c r="B126" s="5" t="s">
        <v>183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14" t="s">
        <v>69</v>
      </c>
      <c r="X126" t="s">
        <v>51</v>
      </c>
      <c r="Y126" t="s">
        <v>52</v>
      </c>
      <c r="Z126" t="s">
        <v>3</v>
      </c>
    </row>
    <row r="127" spans="1:26" ht="14" x14ac:dyDescent="0.15">
      <c r="A127" s="5"/>
      <c r="B127" s="5"/>
      <c r="C127" s="5" t="s">
        <v>188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14" t="s">
        <v>69</v>
      </c>
      <c r="X127" t="s">
        <v>51</v>
      </c>
      <c r="Y127" t="s">
        <v>52</v>
      </c>
      <c r="Z127" t="s">
        <v>3</v>
      </c>
    </row>
    <row r="128" spans="1:26" ht="14" x14ac:dyDescent="0.15">
      <c r="A128" s="5"/>
      <c r="B128" s="5"/>
      <c r="C128" s="5"/>
      <c r="D128" s="5" t="s">
        <v>1960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4" t="s">
        <v>69</v>
      </c>
      <c r="X128" t="s">
        <v>51</v>
      </c>
      <c r="Y128" t="s">
        <v>52</v>
      </c>
      <c r="Z128" t="s">
        <v>3</v>
      </c>
    </row>
    <row r="129" spans="1:26" x14ac:dyDescent="0.15">
      <c r="A129" s="5"/>
      <c r="B129" s="5"/>
      <c r="C129" s="5"/>
      <c r="D129" s="5"/>
      <c r="E129" s="5">
        <v>6000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14" t="s">
        <v>69</v>
      </c>
      <c r="X129" t="s">
        <v>51</v>
      </c>
      <c r="Y129" t="s">
        <v>52</v>
      </c>
      <c r="Z129" t="s">
        <v>3</v>
      </c>
    </row>
    <row r="130" spans="1:26" x14ac:dyDescent="0.15">
      <c r="A130" s="5"/>
      <c r="B130" s="5"/>
      <c r="C130" s="5"/>
      <c r="D130" s="5"/>
      <c r="E130" s="5"/>
      <c r="F130" s="5">
        <v>3168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4" t="s">
        <v>69</v>
      </c>
      <c r="X130" t="s">
        <v>51</v>
      </c>
      <c r="Y130" t="s">
        <v>52</v>
      </c>
      <c r="Z130" t="s">
        <v>3</v>
      </c>
    </row>
    <row r="131" spans="1:26" ht="14" x14ac:dyDescent="0.15">
      <c r="A131" s="5"/>
      <c r="B131" s="5"/>
      <c r="C131" s="5"/>
      <c r="D131" s="5"/>
      <c r="E131" s="5"/>
      <c r="F131" s="5"/>
      <c r="G131" s="5" t="s">
        <v>1961</v>
      </c>
      <c r="H131" s="5"/>
      <c r="I131" s="5"/>
      <c r="J131" s="5"/>
      <c r="K131" s="5"/>
      <c r="L131" s="5"/>
      <c r="M131" s="5"/>
      <c r="N131" s="5"/>
      <c r="O131" s="5"/>
      <c r="P131" s="5"/>
      <c r="Q131" s="14" t="s">
        <v>69</v>
      </c>
      <c r="X131" t="s">
        <v>51</v>
      </c>
      <c r="Y131" t="s">
        <v>52</v>
      </c>
      <c r="Z131" t="s">
        <v>3</v>
      </c>
    </row>
    <row r="132" spans="1:26" x14ac:dyDescent="0.15">
      <c r="A132" s="5"/>
      <c r="B132" s="5"/>
      <c r="C132" s="5"/>
      <c r="D132" s="5"/>
      <c r="E132" s="5"/>
      <c r="F132" s="5"/>
      <c r="G132" s="5"/>
      <c r="H132" s="5">
        <v>35.700000000000003</v>
      </c>
      <c r="I132" s="5"/>
      <c r="J132" s="5"/>
      <c r="K132" s="5"/>
      <c r="L132" s="5"/>
      <c r="M132" s="5"/>
      <c r="N132" s="5"/>
      <c r="O132" s="5"/>
      <c r="P132" s="5"/>
      <c r="Q132" s="14" t="s">
        <v>69</v>
      </c>
      <c r="X132" t="s">
        <v>51</v>
      </c>
      <c r="Y132" t="s">
        <v>52</v>
      </c>
      <c r="Z132" t="s">
        <v>3</v>
      </c>
    </row>
    <row r="133" spans="1:26" x14ac:dyDescent="0.15">
      <c r="A133" s="5"/>
      <c r="B133" s="5"/>
      <c r="C133" s="5"/>
      <c r="D133" s="5"/>
      <c r="E133" s="5"/>
      <c r="F133" s="5"/>
      <c r="G133" s="5"/>
      <c r="H133" s="5"/>
      <c r="I133" s="5">
        <v>18.8</v>
      </c>
      <c r="J133" s="5"/>
      <c r="K133" s="5"/>
      <c r="L133" s="5"/>
      <c r="M133" s="5"/>
      <c r="N133" s="5"/>
      <c r="O133" s="5"/>
      <c r="P133" s="5"/>
      <c r="Q133" s="14" t="s">
        <v>69</v>
      </c>
      <c r="X133" t="s">
        <v>51</v>
      </c>
      <c r="Y133" t="s">
        <v>52</v>
      </c>
      <c r="Z133" t="s">
        <v>3</v>
      </c>
    </row>
    <row r="134" spans="1:26" ht="14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 t="s">
        <v>1951</v>
      </c>
      <c r="K134" s="5"/>
      <c r="L134" s="5"/>
      <c r="M134" s="5"/>
      <c r="N134" s="5"/>
      <c r="O134" s="5"/>
      <c r="P134" s="5"/>
      <c r="Q134" s="14" t="s">
        <v>69</v>
      </c>
      <c r="X134" t="s">
        <v>51</v>
      </c>
      <c r="Y134" t="s">
        <v>52</v>
      </c>
      <c r="Z134" t="s">
        <v>3</v>
      </c>
    </row>
    <row r="135" spans="1:26" ht="14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 t="s">
        <v>1951</v>
      </c>
      <c r="L135" s="5"/>
      <c r="M135" s="5"/>
      <c r="N135" s="5"/>
      <c r="O135" s="5"/>
      <c r="P135" s="5"/>
      <c r="Q135" s="14" t="s">
        <v>69</v>
      </c>
      <c r="X135" t="s">
        <v>51</v>
      </c>
      <c r="Y135" t="s">
        <v>52</v>
      </c>
      <c r="Z135" t="s">
        <v>3</v>
      </c>
    </row>
    <row r="136" spans="1:26" ht="28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 t="s">
        <v>1962</v>
      </c>
      <c r="M136" s="5"/>
      <c r="N136" s="5"/>
      <c r="O136" s="5"/>
      <c r="P136" s="5"/>
      <c r="Q136" s="14" t="s">
        <v>69</v>
      </c>
      <c r="X136" t="s">
        <v>51</v>
      </c>
      <c r="Y136" t="s">
        <v>52</v>
      </c>
      <c r="Z136" t="s">
        <v>3</v>
      </c>
    </row>
    <row r="137" spans="1:2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>
        <v>60</v>
      </c>
      <c r="N137" s="5"/>
      <c r="O137" s="5"/>
      <c r="P137" s="5"/>
      <c r="Q137" s="14" t="s">
        <v>69</v>
      </c>
      <c r="X137" t="s">
        <v>51</v>
      </c>
      <c r="Y137" t="s">
        <v>52</v>
      </c>
      <c r="Z137" t="s">
        <v>3</v>
      </c>
    </row>
    <row r="138" spans="1:26" ht="14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 t="s">
        <v>183</v>
      </c>
      <c r="O138" s="5"/>
      <c r="P138" s="5"/>
      <c r="Q138" s="14" t="s">
        <v>69</v>
      </c>
      <c r="X138" t="s">
        <v>51</v>
      </c>
      <c r="Y138" t="s">
        <v>52</v>
      </c>
      <c r="Z138" t="s">
        <v>3</v>
      </c>
    </row>
    <row r="139" spans="1:2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14" t="s">
        <v>69</v>
      </c>
      <c r="X139" t="s">
        <v>51</v>
      </c>
      <c r="Y139" t="s">
        <v>52</v>
      </c>
      <c r="Z139" t="s">
        <v>3</v>
      </c>
    </row>
    <row r="140" spans="1:2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14" t="s">
        <v>69</v>
      </c>
      <c r="X140" t="s">
        <v>51</v>
      </c>
      <c r="Y140" t="s">
        <v>52</v>
      </c>
      <c r="Z140" t="s">
        <v>3</v>
      </c>
    </row>
    <row r="141" spans="1:26" ht="14" x14ac:dyDescent="0.15">
      <c r="A141" s="5" t="s">
        <v>187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14" t="s">
        <v>69</v>
      </c>
      <c r="X141" t="s">
        <v>51</v>
      </c>
      <c r="Y141" t="s">
        <v>52</v>
      </c>
      <c r="Z141" t="s">
        <v>3</v>
      </c>
    </row>
    <row r="142" spans="1:26" ht="14" x14ac:dyDescent="0.15">
      <c r="A142" s="5"/>
      <c r="B142" s="5" t="s">
        <v>183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4" t="s">
        <v>69</v>
      </c>
      <c r="X142" t="s">
        <v>51</v>
      </c>
      <c r="Y142" t="s">
        <v>52</v>
      </c>
      <c r="Z142" t="s">
        <v>3</v>
      </c>
    </row>
    <row r="143" spans="1:26" ht="14" x14ac:dyDescent="0.15">
      <c r="A143" s="5"/>
      <c r="B143" s="5"/>
      <c r="C143" s="5" t="s">
        <v>188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4" t="s">
        <v>69</v>
      </c>
      <c r="X143" t="s">
        <v>51</v>
      </c>
      <c r="Y143" t="s">
        <v>52</v>
      </c>
      <c r="Z143" t="s">
        <v>3</v>
      </c>
    </row>
    <row r="144" spans="1:26" ht="14" x14ac:dyDescent="0.15">
      <c r="A144" s="5"/>
      <c r="B144" s="5"/>
      <c r="C144" s="5"/>
      <c r="D144" s="5" t="s">
        <v>1963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4" t="s">
        <v>69</v>
      </c>
      <c r="X144" t="s">
        <v>51</v>
      </c>
      <c r="Y144" t="s">
        <v>52</v>
      </c>
      <c r="Z144" t="s">
        <v>3</v>
      </c>
    </row>
    <row r="145" spans="1:26" x14ac:dyDescent="0.15">
      <c r="A145" s="5"/>
      <c r="B145" s="5"/>
      <c r="C145" s="5"/>
      <c r="D145" s="5"/>
      <c r="E145" s="5">
        <v>5000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4" t="s">
        <v>69</v>
      </c>
      <c r="X145" t="s">
        <v>51</v>
      </c>
      <c r="Y145" t="s">
        <v>52</v>
      </c>
      <c r="Z145" t="s">
        <v>3</v>
      </c>
    </row>
    <row r="146" spans="1:26" x14ac:dyDescent="0.15">
      <c r="A146" s="5"/>
      <c r="B146" s="5"/>
      <c r="C146" s="5"/>
      <c r="D146" s="5"/>
      <c r="E146" s="5"/>
      <c r="F146" s="5">
        <v>2640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4" t="s">
        <v>69</v>
      </c>
      <c r="X146" t="s">
        <v>51</v>
      </c>
      <c r="Y146" t="s">
        <v>52</v>
      </c>
      <c r="Z146" t="s">
        <v>3</v>
      </c>
    </row>
    <row r="147" spans="1:26" ht="14" x14ac:dyDescent="0.15">
      <c r="A147" s="5"/>
      <c r="B147" s="5"/>
      <c r="C147" s="5"/>
      <c r="D147" s="5"/>
      <c r="E147" s="5"/>
      <c r="F147" s="5"/>
      <c r="G147" s="5" t="s">
        <v>1961</v>
      </c>
      <c r="H147" s="5"/>
      <c r="I147" s="5"/>
      <c r="J147" s="5"/>
      <c r="K147" s="5"/>
      <c r="L147" s="5"/>
      <c r="M147" s="5"/>
      <c r="N147" s="5"/>
      <c r="O147" s="5"/>
      <c r="P147" s="5"/>
      <c r="Q147" s="14" t="s">
        <v>69</v>
      </c>
      <c r="X147" t="s">
        <v>51</v>
      </c>
      <c r="Y147" t="s">
        <v>52</v>
      </c>
      <c r="Z147" t="s">
        <v>3</v>
      </c>
    </row>
    <row r="148" spans="1:26" x14ac:dyDescent="0.15">
      <c r="A148" s="5"/>
      <c r="B148" s="5"/>
      <c r="C148" s="5"/>
      <c r="D148" s="5"/>
      <c r="E148" s="5"/>
      <c r="F148" s="5"/>
      <c r="G148" s="5"/>
      <c r="H148" s="5">
        <v>29.75</v>
      </c>
      <c r="I148" s="5"/>
      <c r="J148" s="5"/>
      <c r="K148" s="5"/>
      <c r="L148" s="5"/>
      <c r="M148" s="5"/>
      <c r="N148" s="5"/>
      <c r="O148" s="5"/>
      <c r="P148" s="5"/>
      <c r="Q148" s="14" t="s">
        <v>69</v>
      </c>
      <c r="X148" t="s">
        <v>51</v>
      </c>
      <c r="Y148" t="s">
        <v>52</v>
      </c>
      <c r="Z148" t="s">
        <v>3</v>
      </c>
    </row>
    <row r="149" spans="1:26" x14ac:dyDescent="0.15">
      <c r="A149" s="5"/>
      <c r="B149" s="5"/>
      <c r="C149" s="5"/>
      <c r="D149" s="5"/>
      <c r="E149" s="5"/>
      <c r="F149" s="5"/>
      <c r="G149" s="5"/>
      <c r="H149" s="5"/>
      <c r="I149" s="5">
        <v>15.66</v>
      </c>
      <c r="J149" s="5"/>
      <c r="K149" s="5"/>
      <c r="L149" s="5"/>
      <c r="M149" s="5"/>
      <c r="N149" s="5"/>
      <c r="O149" s="5"/>
      <c r="P149" s="5"/>
      <c r="Q149" s="14" t="s">
        <v>69</v>
      </c>
      <c r="X149" t="s">
        <v>51</v>
      </c>
      <c r="Y149" t="s">
        <v>52</v>
      </c>
      <c r="Z149" t="s">
        <v>3</v>
      </c>
    </row>
    <row r="150" spans="1:26" ht="14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 t="s">
        <v>1955</v>
      </c>
      <c r="K150" s="5"/>
      <c r="L150" s="5"/>
      <c r="M150" s="5"/>
      <c r="N150" s="5"/>
      <c r="O150" s="5"/>
      <c r="P150" s="5"/>
      <c r="Q150" s="14" t="s">
        <v>69</v>
      </c>
      <c r="X150" t="s">
        <v>51</v>
      </c>
      <c r="Y150" t="s">
        <v>52</v>
      </c>
      <c r="Z150" t="s">
        <v>3</v>
      </c>
    </row>
    <row r="151" spans="1:26" ht="14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 t="s">
        <v>1955</v>
      </c>
      <c r="L151" s="5"/>
      <c r="M151" s="5"/>
      <c r="N151" s="5"/>
      <c r="O151" s="5"/>
      <c r="P151" s="5"/>
      <c r="Q151" s="14" t="s">
        <v>69</v>
      </c>
      <c r="X151" t="s">
        <v>51</v>
      </c>
      <c r="Y151" t="s">
        <v>52</v>
      </c>
      <c r="Z151" t="s">
        <v>3</v>
      </c>
    </row>
    <row r="152" spans="1:26" ht="14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 t="s">
        <v>1964</v>
      </c>
      <c r="M152" s="5"/>
      <c r="N152" s="5"/>
      <c r="O152" s="5"/>
      <c r="P152" s="5"/>
      <c r="Q152" s="14" t="s">
        <v>69</v>
      </c>
      <c r="X152" t="s">
        <v>51</v>
      </c>
      <c r="Y152" t="s">
        <v>52</v>
      </c>
      <c r="Z152" t="s">
        <v>3</v>
      </c>
    </row>
    <row r="153" spans="1:2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>
        <v>60</v>
      </c>
      <c r="N153" s="5"/>
      <c r="O153" s="5"/>
      <c r="P153" s="5"/>
      <c r="Q153" s="14" t="s">
        <v>69</v>
      </c>
      <c r="X153" t="s">
        <v>51</v>
      </c>
      <c r="Y153" t="s">
        <v>52</v>
      </c>
      <c r="Z153" t="s">
        <v>3</v>
      </c>
    </row>
    <row r="154" spans="1:26" ht="14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 t="s">
        <v>183</v>
      </c>
      <c r="O154" s="5"/>
      <c r="P154" s="5"/>
      <c r="Q154" s="14" t="s">
        <v>69</v>
      </c>
      <c r="X154" t="s">
        <v>51</v>
      </c>
      <c r="Y154" t="s">
        <v>52</v>
      </c>
      <c r="Z154" t="s">
        <v>3</v>
      </c>
    </row>
    <row r="155" spans="1:2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4" t="s">
        <v>69</v>
      </c>
      <c r="X155" t="s">
        <v>51</v>
      </c>
      <c r="Y155" t="s">
        <v>52</v>
      </c>
      <c r="Z155" t="s">
        <v>3</v>
      </c>
    </row>
    <row r="156" spans="1:2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4" t="s">
        <v>69</v>
      </c>
      <c r="X156" t="s">
        <v>51</v>
      </c>
      <c r="Y156" t="s">
        <v>52</v>
      </c>
      <c r="Z156" t="s">
        <v>3</v>
      </c>
    </row>
    <row r="157" spans="1:26" ht="14" x14ac:dyDescent="0.15">
      <c r="A157" s="5" t="s">
        <v>1965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4" t="s">
        <v>69</v>
      </c>
      <c r="X157" t="s">
        <v>51</v>
      </c>
      <c r="Y157" t="s">
        <v>52</v>
      </c>
      <c r="Z157" t="s">
        <v>3</v>
      </c>
    </row>
    <row r="158" spans="1:26" ht="14" x14ac:dyDescent="0.15">
      <c r="A158" s="5"/>
      <c r="B158" s="5" t="s">
        <v>93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4" t="s">
        <v>69</v>
      </c>
      <c r="X158" t="s">
        <v>51</v>
      </c>
      <c r="Y158" t="s">
        <v>52</v>
      </c>
      <c r="Z158" t="s">
        <v>3</v>
      </c>
    </row>
    <row r="159" spans="1:26" ht="14" x14ac:dyDescent="0.15">
      <c r="A159" s="5"/>
      <c r="B159" s="5"/>
      <c r="C159" s="5" t="s">
        <v>1503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4" t="s">
        <v>69</v>
      </c>
      <c r="X159" t="s">
        <v>51</v>
      </c>
      <c r="Y159" t="s">
        <v>52</v>
      </c>
      <c r="Z159" t="s">
        <v>3</v>
      </c>
    </row>
    <row r="160" spans="1:26" ht="14" x14ac:dyDescent="0.15">
      <c r="A160" s="5"/>
      <c r="B160" s="5"/>
      <c r="C160" s="5"/>
      <c r="D160" s="5" t="s">
        <v>1966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4" t="s">
        <v>69</v>
      </c>
      <c r="X160" t="s">
        <v>51</v>
      </c>
      <c r="Y160" t="s">
        <v>52</v>
      </c>
      <c r="Z160" t="s">
        <v>3</v>
      </c>
    </row>
    <row r="161" spans="1:26" x14ac:dyDescent="0.15">
      <c r="A161" s="5"/>
      <c r="B161" s="5"/>
      <c r="C161" s="5"/>
      <c r="D161" s="5"/>
      <c r="E161" s="5">
        <v>6048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4" t="s">
        <v>69</v>
      </c>
      <c r="X161" t="s">
        <v>51</v>
      </c>
      <c r="Y161" t="s">
        <v>52</v>
      </c>
      <c r="Z161" t="s">
        <v>3</v>
      </c>
    </row>
    <row r="162" spans="1:26" x14ac:dyDescent="0.15">
      <c r="A162" s="5"/>
      <c r="B162" s="5"/>
      <c r="C162" s="5"/>
      <c r="D162" s="5"/>
      <c r="E162" s="5"/>
      <c r="F162" s="5">
        <v>4032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4" t="s">
        <v>69</v>
      </c>
      <c r="X162" t="s">
        <v>51</v>
      </c>
      <c r="Y162" t="s">
        <v>52</v>
      </c>
      <c r="Z162" t="s">
        <v>3</v>
      </c>
    </row>
    <row r="163" spans="1:26" ht="14" x14ac:dyDescent="0.15">
      <c r="A163" s="5"/>
      <c r="B163" s="5"/>
      <c r="C163" s="5"/>
      <c r="D163" s="5"/>
      <c r="E163" s="5"/>
      <c r="F163" s="5"/>
      <c r="G163" s="5" t="s">
        <v>1892</v>
      </c>
      <c r="H163" s="5"/>
      <c r="I163" s="5"/>
      <c r="J163" s="5"/>
      <c r="K163" s="5"/>
      <c r="L163" s="5"/>
      <c r="M163" s="5"/>
      <c r="N163" s="5"/>
      <c r="O163" s="5"/>
      <c r="P163" s="5"/>
      <c r="Q163" s="14" t="s">
        <v>69</v>
      </c>
      <c r="X163" t="s">
        <v>51</v>
      </c>
      <c r="Y163" t="s">
        <v>52</v>
      </c>
      <c r="Z163" t="s">
        <v>3</v>
      </c>
    </row>
    <row r="164" spans="1:26" x14ac:dyDescent="0.15">
      <c r="A164" s="5"/>
      <c r="B164" s="5"/>
      <c r="C164" s="5"/>
      <c r="D164" s="5"/>
      <c r="E164" s="5"/>
      <c r="F164" s="5"/>
      <c r="G164" s="5"/>
      <c r="H164" s="5">
        <v>36</v>
      </c>
      <c r="I164" s="5"/>
      <c r="J164" s="5"/>
      <c r="K164" s="5"/>
      <c r="L164" s="5"/>
      <c r="M164" s="5"/>
      <c r="N164" s="5"/>
      <c r="O164" s="5"/>
      <c r="P164" s="5"/>
      <c r="Q164" s="14" t="s">
        <v>69</v>
      </c>
      <c r="X164" t="s">
        <v>51</v>
      </c>
      <c r="Y164" t="s">
        <v>52</v>
      </c>
      <c r="Z164" t="s">
        <v>3</v>
      </c>
    </row>
    <row r="165" spans="1:26" x14ac:dyDescent="0.15">
      <c r="A165" s="5"/>
      <c r="B165" s="5"/>
      <c r="C165" s="5"/>
      <c r="D165" s="5"/>
      <c r="E165" s="5"/>
      <c r="F165" s="5"/>
      <c r="G165" s="5"/>
      <c r="H165" s="5"/>
      <c r="I165" s="5">
        <v>24</v>
      </c>
      <c r="J165" s="5"/>
      <c r="K165" s="5"/>
      <c r="L165" s="5"/>
      <c r="M165" s="5"/>
      <c r="N165" s="5"/>
      <c r="O165" s="5"/>
      <c r="P165" s="5"/>
      <c r="Q165" s="14" t="s">
        <v>69</v>
      </c>
      <c r="X165" t="s">
        <v>51</v>
      </c>
      <c r="Y165" t="s">
        <v>52</v>
      </c>
      <c r="Z165" t="s">
        <v>3</v>
      </c>
    </row>
    <row r="166" spans="1:26" ht="14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 t="s">
        <v>1951</v>
      </c>
      <c r="K166" s="5"/>
      <c r="L166" s="5"/>
      <c r="M166" s="5"/>
      <c r="N166" s="5"/>
      <c r="O166" s="5"/>
      <c r="P166" s="5"/>
      <c r="Q166" s="14" t="s">
        <v>69</v>
      </c>
      <c r="X166" t="s">
        <v>51</v>
      </c>
      <c r="Y166" t="s">
        <v>52</v>
      </c>
      <c r="Z166" t="s">
        <v>3</v>
      </c>
    </row>
    <row r="167" spans="1:26" ht="14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 t="s">
        <v>1951</v>
      </c>
      <c r="L167" s="5"/>
      <c r="M167" s="5"/>
      <c r="N167" s="5"/>
      <c r="O167" s="5"/>
      <c r="P167" s="5"/>
      <c r="Q167" s="14" t="s">
        <v>69</v>
      </c>
      <c r="X167" t="s">
        <v>51</v>
      </c>
      <c r="Y167" t="s">
        <v>52</v>
      </c>
      <c r="Z167" t="s">
        <v>3</v>
      </c>
    </row>
    <row r="168" spans="1:26" ht="14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 t="s">
        <v>1929</v>
      </c>
      <c r="M168" s="5"/>
      <c r="N168" s="5"/>
      <c r="O168" s="5"/>
      <c r="P168" s="5"/>
      <c r="Q168" s="14" t="s">
        <v>69</v>
      </c>
      <c r="X168" t="s">
        <v>51</v>
      </c>
      <c r="Y168" t="s">
        <v>52</v>
      </c>
      <c r="Z168" t="s">
        <v>3</v>
      </c>
    </row>
    <row r="169" spans="1:2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>
        <v>36</v>
      </c>
      <c r="N169" s="5"/>
      <c r="O169" s="5"/>
      <c r="P169" s="5"/>
      <c r="Q169" s="14" t="s">
        <v>69</v>
      </c>
      <c r="X169" t="s">
        <v>51</v>
      </c>
      <c r="Y169" t="s">
        <v>52</v>
      </c>
      <c r="Z169" t="s">
        <v>3</v>
      </c>
    </row>
    <row r="170" spans="1:26" ht="14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 t="s">
        <v>93</v>
      </c>
      <c r="O170" s="5"/>
      <c r="P170" s="5"/>
      <c r="Q170" s="14" t="s">
        <v>69</v>
      </c>
      <c r="X170" t="s">
        <v>51</v>
      </c>
      <c r="Y170" t="s">
        <v>52</v>
      </c>
      <c r="Z170" t="s">
        <v>3</v>
      </c>
    </row>
    <row r="171" spans="1:2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4" t="s">
        <v>69</v>
      </c>
      <c r="X171" t="s">
        <v>51</v>
      </c>
      <c r="Y171" t="s">
        <v>52</v>
      </c>
      <c r="Z171" t="s">
        <v>3</v>
      </c>
    </row>
    <row r="172" spans="1:2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4" t="s">
        <v>69</v>
      </c>
      <c r="X172" t="s">
        <v>51</v>
      </c>
      <c r="Y172" t="s">
        <v>52</v>
      </c>
      <c r="Z172" t="s">
        <v>3</v>
      </c>
    </row>
    <row r="173" spans="1:26" ht="14" x14ac:dyDescent="0.15">
      <c r="A173" s="5" t="s">
        <v>1965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4" t="s">
        <v>69</v>
      </c>
      <c r="X173" t="s">
        <v>51</v>
      </c>
      <c r="Y173" t="s">
        <v>52</v>
      </c>
      <c r="Z173" t="s">
        <v>3</v>
      </c>
    </row>
    <row r="174" spans="1:26" ht="14" x14ac:dyDescent="0.15">
      <c r="A174" s="5"/>
      <c r="B174" s="5" t="s">
        <v>93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4" t="s">
        <v>69</v>
      </c>
      <c r="X174" t="s">
        <v>51</v>
      </c>
      <c r="Y174" t="s">
        <v>52</v>
      </c>
      <c r="Z174" t="s">
        <v>3</v>
      </c>
    </row>
    <row r="175" spans="1:26" ht="14" x14ac:dyDescent="0.15">
      <c r="A175" s="5"/>
      <c r="B175" s="5"/>
      <c r="C175" s="5" t="s">
        <v>1503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4" t="s">
        <v>69</v>
      </c>
      <c r="X175" t="s">
        <v>51</v>
      </c>
      <c r="Y175" t="s">
        <v>52</v>
      </c>
      <c r="Z175" t="s">
        <v>3</v>
      </c>
    </row>
    <row r="176" spans="1:26" ht="14" x14ac:dyDescent="0.15">
      <c r="A176" s="5"/>
      <c r="B176" s="5"/>
      <c r="C176" s="5"/>
      <c r="D176" s="5" t="s">
        <v>1933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4" t="s">
        <v>69</v>
      </c>
      <c r="X176" t="s">
        <v>51</v>
      </c>
      <c r="Y176" t="s">
        <v>52</v>
      </c>
      <c r="Z176" t="s">
        <v>3</v>
      </c>
    </row>
    <row r="177" spans="1:26" x14ac:dyDescent="0.15">
      <c r="A177" s="5"/>
      <c r="B177" s="5"/>
      <c r="C177" s="5"/>
      <c r="D177" s="5"/>
      <c r="E177" s="5">
        <v>6048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4" t="s">
        <v>69</v>
      </c>
      <c r="X177" t="s">
        <v>51</v>
      </c>
      <c r="Y177" t="s">
        <v>52</v>
      </c>
      <c r="Z177" t="s">
        <v>3</v>
      </c>
    </row>
    <row r="178" spans="1:26" x14ac:dyDescent="0.15">
      <c r="A178" s="5"/>
      <c r="B178" s="5"/>
      <c r="C178" s="5"/>
      <c r="D178" s="5"/>
      <c r="E178" s="5"/>
      <c r="F178" s="5">
        <v>2520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4" t="s">
        <v>69</v>
      </c>
      <c r="X178" t="s">
        <v>51</v>
      </c>
      <c r="Y178" t="s">
        <v>52</v>
      </c>
      <c r="Z178" t="s">
        <v>3</v>
      </c>
    </row>
    <row r="179" spans="1:26" ht="14" x14ac:dyDescent="0.15">
      <c r="A179" s="5"/>
      <c r="B179" s="5"/>
      <c r="C179" s="5"/>
      <c r="D179" s="5"/>
      <c r="E179" s="5"/>
      <c r="F179" s="5"/>
      <c r="G179" s="5" t="s">
        <v>1934</v>
      </c>
      <c r="H179" s="5"/>
      <c r="I179" s="5"/>
      <c r="J179" s="5"/>
      <c r="K179" s="5"/>
      <c r="L179" s="5"/>
      <c r="M179" s="5"/>
      <c r="N179" s="5"/>
      <c r="O179" s="5"/>
      <c r="P179" s="5"/>
      <c r="Q179" s="14" t="s">
        <v>69</v>
      </c>
      <c r="X179" t="s">
        <v>51</v>
      </c>
      <c r="Y179" t="s">
        <v>52</v>
      </c>
      <c r="Z179" t="s">
        <v>3</v>
      </c>
    </row>
    <row r="180" spans="1:26" x14ac:dyDescent="0.15">
      <c r="A180" s="5"/>
      <c r="B180" s="5"/>
      <c r="C180" s="5"/>
      <c r="D180" s="5"/>
      <c r="E180" s="5"/>
      <c r="F180" s="5"/>
      <c r="G180" s="5"/>
      <c r="H180" s="5">
        <v>36</v>
      </c>
      <c r="I180" s="5"/>
      <c r="J180" s="5"/>
      <c r="K180" s="5"/>
      <c r="L180" s="5"/>
      <c r="M180" s="5"/>
      <c r="N180" s="5"/>
      <c r="O180" s="5"/>
      <c r="P180" s="5"/>
      <c r="Q180" s="14" t="s">
        <v>69</v>
      </c>
      <c r="X180" t="s">
        <v>51</v>
      </c>
      <c r="Y180" t="s">
        <v>52</v>
      </c>
      <c r="Z180" t="s">
        <v>3</v>
      </c>
    </row>
    <row r="181" spans="1:26" x14ac:dyDescent="0.15">
      <c r="A181" s="5"/>
      <c r="B181" s="5"/>
      <c r="C181" s="5"/>
      <c r="D181" s="5"/>
      <c r="E181" s="5"/>
      <c r="F181" s="5"/>
      <c r="G181" s="5"/>
      <c r="H181" s="5"/>
      <c r="I181" s="5">
        <v>15</v>
      </c>
      <c r="J181" s="5"/>
      <c r="K181" s="5"/>
      <c r="L181" s="5"/>
      <c r="M181" s="5"/>
      <c r="N181" s="5"/>
      <c r="O181" s="5"/>
      <c r="P181" s="5"/>
      <c r="Q181" s="14" t="s">
        <v>69</v>
      </c>
      <c r="X181" t="s">
        <v>51</v>
      </c>
      <c r="Y181" t="s">
        <v>52</v>
      </c>
      <c r="Z181" t="s">
        <v>3</v>
      </c>
    </row>
    <row r="182" spans="1:26" ht="14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 t="s">
        <v>1951</v>
      </c>
      <c r="K182" s="5"/>
      <c r="L182" s="5"/>
      <c r="M182" s="5"/>
      <c r="N182" s="5"/>
      <c r="O182" s="5"/>
      <c r="P182" s="5"/>
      <c r="Q182" s="14" t="s">
        <v>69</v>
      </c>
      <c r="X182" t="s">
        <v>51</v>
      </c>
      <c r="Y182" t="s">
        <v>52</v>
      </c>
      <c r="Z182" t="s">
        <v>3</v>
      </c>
    </row>
    <row r="183" spans="1:26" ht="14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 t="s">
        <v>1967</v>
      </c>
      <c r="L183" s="5"/>
      <c r="M183" s="5"/>
      <c r="N183" s="5"/>
      <c r="O183" s="5"/>
      <c r="P183" s="5"/>
      <c r="Q183" s="14" t="s">
        <v>69</v>
      </c>
      <c r="X183" t="s">
        <v>51</v>
      </c>
      <c r="Y183" t="s">
        <v>52</v>
      </c>
      <c r="Z183" t="s">
        <v>3</v>
      </c>
    </row>
    <row r="184" spans="1:26" ht="14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 t="s">
        <v>1929</v>
      </c>
      <c r="M184" s="5"/>
      <c r="N184" s="5"/>
      <c r="O184" s="5"/>
      <c r="P184" s="5"/>
      <c r="Q184" s="14" t="s">
        <v>69</v>
      </c>
      <c r="X184" t="s">
        <v>51</v>
      </c>
      <c r="Y184" t="s">
        <v>52</v>
      </c>
      <c r="Z184" t="s">
        <v>3</v>
      </c>
    </row>
    <row r="185" spans="1:2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>
        <v>60</v>
      </c>
      <c r="N185" s="5"/>
      <c r="O185" s="5"/>
      <c r="P185" s="5"/>
      <c r="Q185" s="14" t="s">
        <v>69</v>
      </c>
      <c r="X185" t="s">
        <v>51</v>
      </c>
      <c r="Y185" t="s">
        <v>52</v>
      </c>
      <c r="Z185" t="s">
        <v>3</v>
      </c>
    </row>
    <row r="186" spans="1:26" ht="14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 t="s">
        <v>93</v>
      </c>
      <c r="O186" s="5"/>
      <c r="P186" s="5"/>
      <c r="Q186" s="14" t="s">
        <v>69</v>
      </c>
      <c r="X186" t="s">
        <v>51</v>
      </c>
      <c r="Y186" t="s">
        <v>52</v>
      </c>
      <c r="Z186" t="s">
        <v>3</v>
      </c>
    </row>
    <row r="187" spans="1:2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4" t="s">
        <v>69</v>
      </c>
      <c r="X187" t="s">
        <v>51</v>
      </c>
      <c r="Y187" t="s">
        <v>52</v>
      </c>
      <c r="Z187" t="s">
        <v>3</v>
      </c>
    </row>
    <row r="188" spans="1:2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4" t="s">
        <v>69</v>
      </c>
      <c r="X188" t="s">
        <v>51</v>
      </c>
      <c r="Y188" t="s">
        <v>52</v>
      </c>
      <c r="Z188" t="s">
        <v>3</v>
      </c>
    </row>
    <row r="189" spans="1:26" ht="14" x14ac:dyDescent="0.15">
      <c r="A189" s="5" t="s">
        <v>1965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4" t="s">
        <v>69</v>
      </c>
      <c r="X189" t="s">
        <v>51</v>
      </c>
      <c r="Y189" t="s">
        <v>52</v>
      </c>
      <c r="Z189" t="s">
        <v>3</v>
      </c>
    </row>
    <row r="190" spans="1:26" ht="14" x14ac:dyDescent="0.15">
      <c r="A190" s="5"/>
      <c r="B190" s="5" t="s">
        <v>93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4" t="s">
        <v>69</v>
      </c>
      <c r="X190" t="s">
        <v>51</v>
      </c>
      <c r="Y190" t="s">
        <v>52</v>
      </c>
      <c r="Z190" t="s">
        <v>3</v>
      </c>
    </row>
    <row r="191" spans="1:26" ht="14" x14ac:dyDescent="0.15">
      <c r="A191" s="5"/>
      <c r="B191" s="5"/>
      <c r="C191" s="5" t="s">
        <v>1503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4" t="s">
        <v>69</v>
      </c>
      <c r="X191" t="s">
        <v>51</v>
      </c>
      <c r="Y191" t="s">
        <v>52</v>
      </c>
      <c r="Z191" t="s">
        <v>3</v>
      </c>
    </row>
    <row r="192" spans="1:26" ht="14" x14ac:dyDescent="0.15">
      <c r="A192" s="5"/>
      <c r="B192" s="5"/>
      <c r="C192" s="5"/>
      <c r="D192" s="5" t="s">
        <v>1968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4" t="s">
        <v>69</v>
      </c>
      <c r="X192" t="s">
        <v>51</v>
      </c>
      <c r="Y192" t="s">
        <v>52</v>
      </c>
      <c r="Z192" t="s">
        <v>3</v>
      </c>
    </row>
    <row r="193" spans="1:26" x14ac:dyDescent="0.15">
      <c r="A193" s="5"/>
      <c r="B193" s="5"/>
      <c r="C193" s="5"/>
      <c r="D193" s="5"/>
      <c r="E193" s="5">
        <v>4096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4" t="s">
        <v>69</v>
      </c>
      <c r="X193" t="s">
        <v>51</v>
      </c>
      <c r="Y193" t="s">
        <v>52</v>
      </c>
      <c r="Z193" t="s">
        <v>3</v>
      </c>
    </row>
    <row r="194" spans="1:26" x14ac:dyDescent="0.15">
      <c r="A194" s="5"/>
      <c r="B194" s="5"/>
      <c r="C194" s="5"/>
      <c r="D194" s="5"/>
      <c r="E194" s="5"/>
      <c r="F194" s="5">
        <v>3072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4" t="s">
        <v>69</v>
      </c>
      <c r="X194" t="s">
        <v>51</v>
      </c>
      <c r="Y194" t="s">
        <v>52</v>
      </c>
      <c r="Z194" t="s">
        <v>3</v>
      </c>
    </row>
    <row r="195" spans="1:26" ht="14" x14ac:dyDescent="0.15">
      <c r="A195" s="5"/>
      <c r="B195" s="5"/>
      <c r="C195" s="5"/>
      <c r="D195" s="5"/>
      <c r="E195" s="5"/>
      <c r="F195" s="5"/>
      <c r="G195" s="5" t="s">
        <v>1913</v>
      </c>
      <c r="H195" s="5"/>
      <c r="I195" s="5"/>
      <c r="J195" s="5"/>
      <c r="K195" s="5"/>
      <c r="L195" s="5"/>
      <c r="M195" s="5"/>
      <c r="N195" s="5"/>
      <c r="O195" s="5"/>
      <c r="P195" s="5"/>
      <c r="Q195" s="14" t="s">
        <v>69</v>
      </c>
      <c r="X195" t="s">
        <v>51</v>
      </c>
      <c r="Y195" t="s">
        <v>52</v>
      </c>
      <c r="Z195" t="s">
        <v>3</v>
      </c>
    </row>
    <row r="196" spans="1:26" x14ac:dyDescent="0.15">
      <c r="A196" s="5"/>
      <c r="B196" s="5"/>
      <c r="C196" s="5"/>
      <c r="D196" s="5"/>
      <c r="E196" s="5"/>
      <c r="F196" s="5"/>
      <c r="G196" s="5"/>
      <c r="H196" s="5">
        <v>24.36</v>
      </c>
      <c r="I196" s="5"/>
      <c r="J196" s="5"/>
      <c r="K196" s="5"/>
      <c r="L196" s="5"/>
      <c r="M196" s="5"/>
      <c r="N196" s="5"/>
      <c r="O196" s="5"/>
      <c r="P196" s="5"/>
      <c r="Q196" s="14" t="s">
        <v>69</v>
      </c>
      <c r="X196" t="s">
        <v>51</v>
      </c>
      <c r="Y196" t="s">
        <v>52</v>
      </c>
      <c r="Z196" t="s">
        <v>3</v>
      </c>
    </row>
    <row r="197" spans="1:26" x14ac:dyDescent="0.15">
      <c r="A197" s="5"/>
      <c r="B197" s="5"/>
      <c r="C197" s="5"/>
      <c r="D197" s="5"/>
      <c r="E197" s="5"/>
      <c r="F197" s="5"/>
      <c r="G197" s="5"/>
      <c r="H197" s="5"/>
      <c r="I197" s="5">
        <v>18.27</v>
      </c>
      <c r="J197" s="5"/>
      <c r="K197" s="5"/>
      <c r="L197" s="5"/>
      <c r="M197" s="5"/>
      <c r="N197" s="5"/>
      <c r="O197" s="5"/>
      <c r="P197" s="5"/>
      <c r="Q197" s="14" t="s">
        <v>69</v>
      </c>
      <c r="X197" t="s">
        <v>51</v>
      </c>
      <c r="Y197" t="s">
        <v>52</v>
      </c>
      <c r="Z197" t="s">
        <v>3</v>
      </c>
    </row>
    <row r="198" spans="1:26" ht="14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 t="s">
        <v>1969</v>
      </c>
      <c r="K198" s="5"/>
      <c r="L198" s="5"/>
      <c r="M198" s="5"/>
      <c r="N198" s="5"/>
      <c r="O198" s="5"/>
      <c r="P198" s="5"/>
      <c r="Q198" s="14" t="s">
        <v>69</v>
      </c>
      <c r="X198" t="s">
        <v>51</v>
      </c>
      <c r="Y198" t="s">
        <v>52</v>
      </c>
      <c r="Z198" t="s">
        <v>3</v>
      </c>
    </row>
    <row r="199" spans="1:26" ht="14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 t="s">
        <v>1970</v>
      </c>
      <c r="L199" s="5"/>
      <c r="M199" s="5"/>
      <c r="N199" s="5"/>
      <c r="O199" s="5"/>
      <c r="P199" s="5"/>
      <c r="Q199" s="14" t="s">
        <v>69</v>
      </c>
      <c r="X199" t="s">
        <v>51</v>
      </c>
      <c r="Y199" t="s">
        <v>52</v>
      </c>
      <c r="Z199" t="s">
        <v>3</v>
      </c>
    </row>
    <row r="200" spans="1:26" ht="14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 t="s">
        <v>1929</v>
      </c>
      <c r="M200" s="5"/>
      <c r="N200" s="5"/>
      <c r="O200" s="5"/>
      <c r="P200" s="5"/>
      <c r="Q200" s="14" t="s">
        <v>69</v>
      </c>
      <c r="X200" t="s">
        <v>51</v>
      </c>
      <c r="Y200" t="s">
        <v>52</v>
      </c>
      <c r="Z200" t="s">
        <v>3</v>
      </c>
    </row>
    <row r="201" spans="1:2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>
        <v>50</v>
      </c>
      <c r="N201" s="5"/>
      <c r="O201" s="5"/>
      <c r="P201" s="5"/>
      <c r="Q201" s="14" t="s">
        <v>69</v>
      </c>
      <c r="X201" t="s">
        <v>51</v>
      </c>
      <c r="Y201" t="s">
        <v>52</v>
      </c>
      <c r="Z201" t="s">
        <v>3</v>
      </c>
    </row>
    <row r="202" spans="1:26" ht="14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 t="s">
        <v>93</v>
      </c>
      <c r="O202" s="5"/>
      <c r="P202" s="5"/>
      <c r="Q202" s="14" t="s">
        <v>69</v>
      </c>
      <c r="X202" t="s">
        <v>51</v>
      </c>
      <c r="Y202" t="s">
        <v>52</v>
      </c>
      <c r="Z202" t="s">
        <v>3</v>
      </c>
    </row>
    <row r="203" spans="1:2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4" t="s">
        <v>69</v>
      </c>
      <c r="X203" t="s">
        <v>51</v>
      </c>
      <c r="Y203" t="s">
        <v>52</v>
      </c>
      <c r="Z203" t="s">
        <v>3</v>
      </c>
    </row>
    <row r="204" spans="1:2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4" t="s">
        <v>69</v>
      </c>
      <c r="X204" t="s">
        <v>51</v>
      </c>
      <c r="Y204" t="s">
        <v>52</v>
      </c>
      <c r="Z204" t="s">
        <v>3</v>
      </c>
    </row>
    <row r="205" spans="1:26" ht="14" x14ac:dyDescent="0.15">
      <c r="A205" s="5" t="s">
        <v>1971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4" t="s">
        <v>69</v>
      </c>
      <c r="X205" t="s">
        <v>51</v>
      </c>
      <c r="Y205" t="s">
        <v>52</v>
      </c>
      <c r="Z205" t="s">
        <v>3</v>
      </c>
    </row>
    <row r="206" spans="1:26" ht="14" x14ac:dyDescent="0.15">
      <c r="A206" s="5"/>
      <c r="B206" s="5" t="s">
        <v>93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4" t="s">
        <v>69</v>
      </c>
      <c r="X206" t="s">
        <v>51</v>
      </c>
      <c r="Y206" t="s">
        <v>52</v>
      </c>
      <c r="Z206" t="s">
        <v>3</v>
      </c>
    </row>
    <row r="207" spans="1:26" ht="14" x14ac:dyDescent="0.15">
      <c r="A207" s="5"/>
      <c r="B207" s="5"/>
      <c r="C207" s="5" t="s">
        <v>1508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4" t="s">
        <v>69</v>
      </c>
      <c r="X207" t="s">
        <v>51</v>
      </c>
      <c r="Y207" t="s">
        <v>52</v>
      </c>
      <c r="Z207" t="s">
        <v>3</v>
      </c>
    </row>
    <row r="208" spans="1:26" ht="14" x14ac:dyDescent="0.15">
      <c r="A208" s="5"/>
      <c r="B208" s="5"/>
      <c r="C208" s="5"/>
      <c r="D208" s="5" t="s">
        <v>1939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4" t="s">
        <v>69</v>
      </c>
      <c r="X208" t="s">
        <v>51</v>
      </c>
      <c r="Y208" t="s">
        <v>52</v>
      </c>
      <c r="Z208" t="s">
        <v>3</v>
      </c>
    </row>
    <row r="209" spans="1:26" x14ac:dyDescent="0.15">
      <c r="A209" s="5"/>
      <c r="B209" s="5"/>
      <c r="C209" s="5"/>
      <c r="D209" s="5"/>
      <c r="E209" s="5">
        <v>17520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4" t="s">
        <v>69</v>
      </c>
      <c r="X209" t="s">
        <v>51</v>
      </c>
      <c r="Y209" t="s">
        <v>52</v>
      </c>
      <c r="Z209" t="s">
        <v>3</v>
      </c>
    </row>
    <row r="210" spans="1:26" x14ac:dyDescent="0.15">
      <c r="A210" s="5"/>
      <c r="B210" s="5"/>
      <c r="C210" s="5"/>
      <c r="D210" s="5"/>
      <c r="E210" s="5"/>
      <c r="F210" s="5">
        <v>8040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4" t="s">
        <v>69</v>
      </c>
      <c r="X210" t="s">
        <v>51</v>
      </c>
      <c r="Y210" t="s">
        <v>52</v>
      </c>
      <c r="Z210" t="s">
        <v>3</v>
      </c>
    </row>
    <row r="211" spans="1:26" ht="14" x14ac:dyDescent="0.15">
      <c r="A211" s="5"/>
      <c r="B211" s="5"/>
      <c r="C211" s="5"/>
      <c r="D211" s="5"/>
      <c r="E211" s="5"/>
      <c r="F211" s="5"/>
      <c r="G211" s="5" t="s">
        <v>1972</v>
      </c>
      <c r="H211" s="5"/>
      <c r="I211" s="5"/>
      <c r="J211" s="5"/>
      <c r="K211" s="5"/>
      <c r="L211" s="5"/>
      <c r="M211" s="5"/>
      <c r="N211" s="5"/>
      <c r="O211" s="5"/>
      <c r="P211" s="5"/>
      <c r="Q211" s="14" t="s">
        <v>69</v>
      </c>
      <c r="X211" t="s">
        <v>51</v>
      </c>
      <c r="Y211" t="s">
        <v>52</v>
      </c>
      <c r="Z211" t="s">
        <v>3</v>
      </c>
    </row>
    <row r="212" spans="1:26" x14ac:dyDescent="0.15">
      <c r="A212" s="5"/>
      <c r="B212" s="5"/>
      <c r="C212" s="5"/>
      <c r="D212" s="5"/>
      <c r="E212" s="5"/>
      <c r="F212" s="5"/>
      <c r="G212" s="5"/>
      <c r="H212" s="5">
        <v>50.81</v>
      </c>
      <c r="I212" s="5"/>
      <c r="J212" s="5"/>
      <c r="K212" s="5"/>
      <c r="L212" s="5"/>
      <c r="M212" s="5"/>
      <c r="N212" s="5"/>
      <c r="O212" s="5"/>
      <c r="P212" s="5"/>
      <c r="Q212" s="14" t="s">
        <v>69</v>
      </c>
      <c r="X212" t="s">
        <v>51</v>
      </c>
      <c r="Y212" t="s">
        <v>52</v>
      </c>
      <c r="Z212" t="s">
        <v>3</v>
      </c>
    </row>
    <row r="213" spans="1:26" x14ac:dyDescent="0.15">
      <c r="A213" s="5"/>
      <c r="B213" s="5"/>
      <c r="C213" s="5"/>
      <c r="D213" s="5"/>
      <c r="E213" s="5"/>
      <c r="F213" s="5"/>
      <c r="G213" s="5"/>
      <c r="H213" s="5"/>
      <c r="I213" s="5">
        <v>23.32</v>
      </c>
      <c r="J213" s="5"/>
      <c r="K213" s="5"/>
      <c r="L213" s="5"/>
      <c r="M213" s="5"/>
      <c r="N213" s="5"/>
      <c r="O213" s="5"/>
      <c r="P213" s="5"/>
      <c r="Q213" s="14" t="s">
        <v>69</v>
      </c>
      <c r="X213" t="s">
        <v>51</v>
      </c>
      <c r="Y213" t="s">
        <v>52</v>
      </c>
      <c r="Z213" t="s">
        <v>3</v>
      </c>
    </row>
    <row r="214" spans="1:26" ht="14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 t="s">
        <v>1951</v>
      </c>
      <c r="K214" s="5"/>
      <c r="L214" s="5"/>
      <c r="M214" s="5"/>
      <c r="N214" s="5"/>
      <c r="O214" s="5"/>
      <c r="P214" s="5"/>
      <c r="Q214" s="14" t="s">
        <v>69</v>
      </c>
      <c r="X214" t="s">
        <v>51</v>
      </c>
      <c r="Y214" t="s">
        <v>52</v>
      </c>
      <c r="Z214" t="s">
        <v>3</v>
      </c>
    </row>
    <row r="215" spans="1:26" ht="14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 t="s">
        <v>1951</v>
      </c>
      <c r="L215" s="5"/>
      <c r="M215" s="5"/>
      <c r="N215" s="5"/>
      <c r="O215" s="5"/>
      <c r="P215" s="5"/>
      <c r="Q215" s="14" t="s">
        <v>69</v>
      </c>
      <c r="X215" t="s">
        <v>51</v>
      </c>
      <c r="Y215" t="s">
        <v>52</v>
      </c>
      <c r="Z215" t="s">
        <v>3</v>
      </c>
    </row>
    <row r="216" spans="1:26" ht="14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 t="s">
        <v>1929</v>
      </c>
      <c r="M216" s="5"/>
      <c r="N216" s="5"/>
      <c r="O216" s="5"/>
      <c r="P216" s="5"/>
      <c r="Q216" s="14" t="s">
        <v>69</v>
      </c>
      <c r="X216" t="s">
        <v>51</v>
      </c>
      <c r="Y216" t="s">
        <v>52</v>
      </c>
      <c r="Z216" t="s">
        <v>3</v>
      </c>
    </row>
    <row r="217" spans="1:2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>
        <v>60</v>
      </c>
      <c r="N217" s="5"/>
      <c r="O217" s="5"/>
      <c r="P217" s="5"/>
      <c r="Q217" s="14" t="s">
        <v>69</v>
      </c>
      <c r="X217" t="s">
        <v>51</v>
      </c>
      <c r="Y217" t="s">
        <v>52</v>
      </c>
      <c r="Z217" t="s">
        <v>3</v>
      </c>
    </row>
    <row r="218" spans="1:26" ht="14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 t="s">
        <v>93</v>
      </c>
      <c r="O218" s="5"/>
      <c r="P218" s="5"/>
      <c r="Q218" s="14" t="s">
        <v>69</v>
      </c>
      <c r="X218" t="s">
        <v>51</v>
      </c>
      <c r="Y218" t="s">
        <v>52</v>
      </c>
      <c r="Z218" t="s">
        <v>3</v>
      </c>
    </row>
    <row r="219" spans="1:2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4" t="s">
        <v>69</v>
      </c>
      <c r="X219" t="s">
        <v>51</v>
      </c>
      <c r="Y219" t="s">
        <v>52</v>
      </c>
      <c r="Z219" t="s">
        <v>3</v>
      </c>
    </row>
    <row r="220" spans="1:2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4" t="s">
        <v>69</v>
      </c>
      <c r="X220" t="s">
        <v>51</v>
      </c>
      <c r="Y220" t="s">
        <v>52</v>
      </c>
      <c r="Z220" t="s">
        <v>3</v>
      </c>
    </row>
    <row r="221" spans="1:26" ht="14" x14ac:dyDescent="0.15">
      <c r="A221" s="5" t="s">
        <v>1971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4" t="s">
        <v>69</v>
      </c>
      <c r="X221" t="s">
        <v>51</v>
      </c>
      <c r="Y221" t="s">
        <v>52</v>
      </c>
      <c r="Z221" t="s">
        <v>3</v>
      </c>
    </row>
    <row r="222" spans="1:26" ht="14" x14ac:dyDescent="0.15">
      <c r="A222" s="5"/>
      <c r="B222" s="5" t="s">
        <v>93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4" t="s">
        <v>69</v>
      </c>
      <c r="X222" t="s">
        <v>51</v>
      </c>
      <c r="Y222" t="s">
        <v>52</v>
      </c>
      <c r="Z222" t="s">
        <v>3</v>
      </c>
    </row>
    <row r="223" spans="1:26" ht="14" x14ac:dyDescent="0.15">
      <c r="A223" s="5"/>
      <c r="B223" s="5"/>
      <c r="C223" s="5" t="s">
        <v>1508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4" t="s">
        <v>69</v>
      </c>
      <c r="X223" t="s">
        <v>51</v>
      </c>
      <c r="Y223" t="s">
        <v>52</v>
      </c>
      <c r="Z223" t="s">
        <v>3</v>
      </c>
    </row>
    <row r="224" spans="1:26" ht="14" x14ac:dyDescent="0.15">
      <c r="A224" s="5"/>
      <c r="B224" s="5"/>
      <c r="C224" s="5"/>
      <c r="D224" s="5" t="s">
        <v>1943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4" t="s">
        <v>69</v>
      </c>
      <c r="X224" t="s">
        <v>51</v>
      </c>
      <c r="Y224" t="s">
        <v>52</v>
      </c>
      <c r="Z224" t="s">
        <v>3</v>
      </c>
    </row>
    <row r="225" spans="1:26" x14ac:dyDescent="0.15">
      <c r="A225" s="5"/>
      <c r="B225" s="5"/>
      <c r="C225" s="5"/>
      <c r="D225" s="5"/>
      <c r="E225" s="5">
        <v>14304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4" t="s">
        <v>69</v>
      </c>
      <c r="X225" t="s">
        <v>51</v>
      </c>
      <c r="Y225" t="s">
        <v>52</v>
      </c>
      <c r="Z225" t="s">
        <v>3</v>
      </c>
    </row>
    <row r="226" spans="1:26" x14ac:dyDescent="0.15">
      <c r="A226" s="5"/>
      <c r="B226" s="5"/>
      <c r="C226" s="5"/>
      <c r="D226" s="5"/>
      <c r="E226" s="5"/>
      <c r="F226" s="5">
        <v>8040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4" t="s">
        <v>69</v>
      </c>
      <c r="X226" t="s">
        <v>51</v>
      </c>
      <c r="Y226" t="s">
        <v>52</v>
      </c>
      <c r="Z226" t="s">
        <v>3</v>
      </c>
    </row>
    <row r="227" spans="1:26" ht="14" x14ac:dyDescent="0.15">
      <c r="A227" s="5"/>
      <c r="B227" s="5"/>
      <c r="C227" s="5"/>
      <c r="D227" s="5"/>
      <c r="E227" s="5"/>
      <c r="F227" s="5"/>
      <c r="G227" s="5" t="s">
        <v>1895</v>
      </c>
      <c r="H227" s="5"/>
      <c r="I227" s="5"/>
      <c r="J227" s="5"/>
      <c r="K227" s="5"/>
      <c r="L227" s="5"/>
      <c r="M227" s="5"/>
      <c r="N227" s="5"/>
      <c r="O227" s="5"/>
      <c r="P227" s="5"/>
      <c r="Q227" s="14" t="s">
        <v>69</v>
      </c>
      <c r="X227" t="s">
        <v>51</v>
      </c>
      <c r="Y227" t="s">
        <v>52</v>
      </c>
      <c r="Z227" t="s">
        <v>3</v>
      </c>
    </row>
    <row r="228" spans="1:26" x14ac:dyDescent="0.15">
      <c r="A228" s="5"/>
      <c r="B228" s="5"/>
      <c r="C228" s="5"/>
      <c r="D228" s="5"/>
      <c r="E228" s="5"/>
      <c r="F228" s="5"/>
      <c r="G228" s="5"/>
      <c r="H228" s="5">
        <v>41.48</v>
      </c>
      <c r="I228" s="5"/>
      <c r="J228" s="5"/>
      <c r="K228" s="5"/>
      <c r="L228" s="5"/>
      <c r="M228" s="5"/>
      <c r="N228" s="5"/>
      <c r="O228" s="5"/>
      <c r="P228" s="5"/>
      <c r="Q228" s="14" t="s">
        <v>69</v>
      </c>
      <c r="X228" t="s">
        <v>51</v>
      </c>
      <c r="Y228" t="s">
        <v>52</v>
      </c>
      <c r="Z228" t="s">
        <v>3</v>
      </c>
    </row>
    <row r="229" spans="1:26" x14ac:dyDescent="0.15">
      <c r="A229" s="5"/>
      <c r="B229" s="5"/>
      <c r="C229" s="5"/>
      <c r="D229" s="5"/>
      <c r="E229" s="5"/>
      <c r="F229" s="5"/>
      <c r="G229" s="5"/>
      <c r="H229" s="5"/>
      <c r="I229" s="5">
        <v>23.32</v>
      </c>
      <c r="J229" s="5"/>
      <c r="K229" s="5"/>
      <c r="L229" s="5"/>
      <c r="M229" s="5"/>
      <c r="N229" s="5"/>
      <c r="O229" s="5"/>
      <c r="P229" s="5"/>
      <c r="Q229" s="14" t="s">
        <v>69</v>
      </c>
      <c r="X229" t="s">
        <v>51</v>
      </c>
      <c r="Y229" t="s">
        <v>52</v>
      </c>
      <c r="Z229" t="s">
        <v>3</v>
      </c>
    </row>
    <row r="230" spans="1:26" ht="14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 t="s">
        <v>1973</v>
      </c>
      <c r="K230" s="5"/>
      <c r="L230" s="5"/>
      <c r="M230" s="5"/>
      <c r="N230" s="5"/>
      <c r="O230" s="5"/>
      <c r="P230" s="5"/>
      <c r="Q230" s="14" t="s">
        <v>69</v>
      </c>
      <c r="X230" t="s">
        <v>51</v>
      </c>
      <c r="Y230" t="s">
        <v>52</v>
      </c>
      <c r="Z230" t="s">
        <v>3</v>
      </c>
    </row>
    <row r="231" spans="1:26" ht="14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 t="s">
        <v>1951</v>
      </c>
      <c r="L231" s="5"/>
      <c r="M231" s="5"/>
      <c r="N231" s="5"/>
      <c r="O231" s="5"/>
      <c r="P231" s="5"/>
      <c r="Q231" s="14" t="s">
        <v>69</v>
      </c>
      <c r="X231" t="s">
        <v>51</v>
      </c>
      <c r="Y231" t="s">
        <v>52</v>
      </c>
      <c r="Z231" t="s">
        <v>3</v>
      </c>
    </row>
    <row r="232" spans="1:26" ht="14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 t="s">
        <v>1929</v>
      </c>
      <c r="M232" s="5"/>
      <c r="N232" s="5"/>
      <c r="O232" s="5"/>
      <c r="P232" s="5"/>
      <c r="Q232" s="14" t="s">
        <v>69</v>
      </c>
      <c r="X232" t="s">
        <v>51</v>
      </c>
      <c r="Y232" t="s">
        <v>52</v>
      </c>
      <c r="Z232" t="s">
        <v>3</v>
      </c>
    </row>
    <row r="233" spans="1:2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>
        <v>60</v>
      </c>
      <c r="N233" s="5"/>
      <c r="O233" s="5"/>
      <c r="P233" s="5"/>
      <c r="Q233" s="14" t="s">
        <v>69</v>
      </c>
      <c r="X233" t="s">
        <v>51</v>
      </c>
      <c r="Y233" t="s">
        <v>52</v>
      </c>
      <c r="Z233" t="s">
        <v>3</v>
      </c>
    </row>
    <row r="234" spans="1:26" ht="14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 t="s">
        <v>93</v>
      </c>
      <c r="O234" s="5"/>
      <c r="P234" s="5"/>
      <c r="Q234" s="14" t="s">
        <v>69</v>
      </c>
      <c r="X234" t="s">
        <v>51</v>
      </c>
      <c r="Y234" t="s">
        <v>52</v>
      </c>
      <c r="Z234" t="s">
        <v>3</v>
      </c>
    </row>
    <row r="235" spans="1:2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4" t="s">
        <v>69</v>
      </c>
      <c r="X235" t="s">
        <v>51</v>
      </c>
      <c r="Y235" t="s">
        <v>52</v>
      </c>
      <c r="Z235" t="s">
        <v>3</v>
      </c>
    </row>
    <row r="236" spans="1:2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4" t="s">
        <v>69</v>
      </c>
      <c r="X236" t="s">
        <v>51</v>
      </c>
      <c r="Y236" t="s">
        <v>52</v>
      </c>
      <c r="Z236" t="s">
        <v>3</v>
      </c>
    </row>
    <row r="237" spans="1:26" ht="14" x14ac:dyDescent="0.15">
      <c r="A237" s="5" t="s">
        <v>1971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4" t="s">
        <v>69</v>
      </c>
      <c r="X237" t="s">
        <v>51</v>
      </c>
      <c r="Y237" t="s">
        <v>52</v>
      </c>
      <c r="Z237" t="s">
        <v>3</v>
      </c>
    </row>
    <row r="238" spans="1:26" ht="14" x14ac:dyDescent="0.15">
      <c r="A238" s="5"/>
      <c r="B238" s="5" t="s">
        <v>93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4" t="s">
        <v>69</v>
      </c>
      <c r="X238" t="s">
        <v>51</v>
      </c>
      <c r="Y238" t="s">
        <v>52</v>
      </c>
      <c r="Z238" t="s">
        <v>3</v>
      </c>
    </row>
    <row r="239" spans="1:26" ht="14" x14ac:dyDescent="0.15">
      <c r="A239" s="5"/>
      <c r="B239" s="5"/>
      <c r="C239" s="5" t="s">
        <v>1508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4" t="s">
        <v>69</v>
      </c>
      <c r="X239" t="s">
        <v>51</v>
      </c>
      <c r="Y239" t="s">
        <v>52</v>
      </c>
      <c r="Z239" t="s">
        <v>3</v>
      </c>
    </row>
    <row r="240" spans="1:26" ht="14" x14ac:dyDescent="0.15">
      <c r="A240" s="5"/>
      <c r="B240" s="5"/>
      <c r="C240" s="5"/>
      <c r="D240" s="5" t="s">
        <v>1945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4" t="s">
        <v>69</v>
      </c>
      <c r="X240" t="s">
        <v>51</v>
      </c>
      <c r="Y240" t="s">
        <v>52</v>
      </c>
      <c r="Z240" t="s">
        <v>3</v>
      </c>
    </row>
    <row r="241" spans="1:26" x14ac:dyDescent="0.15">
      <c r="A241" s="5"/>
      <c r="B241" s="5"/>
      <c r="C241" s="5"/>
      <c r="D241" s="5"/>
      <c r="E241" s="5">
        <v>12288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4" t="s">
        <v>69</v>
      </c>
      <c r="X241" t="s">
        <v>51</v>
      </c>
      <c r="Y241" t="s">
        <v>52</v>
      </c>
      <c r="Z241" t="s">
        <v>3</v>
      </c>
    </row>
    <row r="242" spans="1:26" x14ac:dyDescent="0.15">
      <c r="A242" s="5"/>
      <c r="B242" s="5"/>
      <c r="C242" s="5"/>
      <c r="D242" s="5"/>
      <c r="E242" s="5"/>
      <c r="F242" s="5">
        <v>8040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4" t="s">
        <v>69</v>
      </c>
      <c r="X242" t="s">
        <v>51</v>
      </c>
      <c r="Y242" t="s">
        <v>52</v>
      </c>
      <c r="Z242" t="s">
        <v>3</v>
      </c>
    </row>
    <row r="243" spans="1:26" ht="14" x14ac:dyDescent="0.15">
      <c r="A243" s="5"/>
      <c r="B243" s="5"/>
      <c r="C243" s="5"/>
      <c r="D243" s="5"/>
      <c r="E243" s="5"/>
      <c r="F243" s="5"/>
      <c r="G243" s="5" t="s">
        <v>1892</v>
      </c>
      <c r="H243" s="5"/>
      <c r="I243" s="5"/>
      <c r="J243" s="5"/>
      <c r="K243" s="5"/>
      <c r="L243" s="5"/>
      <c r="M243" s="5"/>
      <c r="N243" s="5"/>
      <c r="O243" s="5"/>
      <c r="P243" s="5"/>
      <c r="Q243" s="14" t="s">
        <v>69</v>
      </c>
      <c r="X243" t="s">
        <v>51</v>
      </c>
      <c r="Y243" t="s">
        <v>52</v>
      </c>
      <c r="Z243" t="s">
        <v>3</v>
      </c>
    </row>
    <row r="244" spans="1:26" x14ac:dyDescent="0.15">
      <c r="A244" s="5"/>
      <c r="B244" s="5"/>
      <c r="C244" s="5"/>
      <c r="D244" s="5"/>
      <c r="E244" s="5"/>
      <c r="F244" s="5"/>
      <c r="G244" s="5"/>
      <c r="H244" s="5">
        <v>35.65</v>
      </c>
      <c r="I244" s="5"/>
      <c r="J244" s="5"/>
      <c r="K244" s="5"/>
      <c r="L244" s="5"/>
      <c r="M244" s="5"/>
      <c r="N244" s="5"/>
      <c r="O244" s="5"/>
      <c r="P244" s="5"/>
      <c r="Q244" s="14" t="s">
        <v>69</v>
      </c>
      <c r="X244" t="s">
        <v>51</v>
      </c>
      <c r="Y244" t="s">
        <v>52</v>
      </c>
      <c r="Z244" t="s">
        <v>3</v>
      </c>
    </row>
    <row r="245" spans="1:26" x14ac:dyDescent="0.15">
      <c r="A245" s="5"/>
      <c r="B245" s="5"/>
      <c r="C245" s="5"/>
      <c r="D245" s="5"/>
      <c r="E245" s="5"/>
      <c r="F245" s="5"/>
      <c r="G245" s="5"/>
      <c r="H245" s="5"/>
      <c r="I245" s="5">
        <v>23.32</v>
      </c>
      <c r="J245" s="5"/>
      <c r="K245" s="5"/>
      <c r="L245" s="5"/>
      <c r="M245" s="5"/>
      <c r="N245" s="5"/>
      <c r="O245" s="5"/>
      <c r="P245" s="5"/>
      <c r="Q245" s="14" t="s">
        <v>69</v>
      </c>
      <c r="X245" t="s">
        <v>51</v>
      </c>
      <c r="Y245" t="s">
        <v>52</v>
      </c>
      <c r="Z245" t="s">
        <v>3</v>
      </c>
    </row>
    <row r="246" spans="1:26" ht="14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 t="s">
        <v>1974</v>
      </c>
      <c r="K246" s="5"/>
      <c r="L246" s="5"/>
      <c r="M246" s="5"/>
      <c r="N246" s="5"/>
      <c r="O246" s="5"/>
      <c r="P246" s="5"/>
      <c r="Q246" s="14" t="s">
        <v>69</v>
      </c>
      <c r="X246" t="s">
        <v>51</v>
      </c>
      <c r="Y246" t="s">
        <v>52</v>
      </c>
      <c r="Z246" t="s">
        <v>3</v>
      </c>
    </row>
    <row r="247" spans="1:26" ht="14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 t="s">
        <v>1951</v>
      </c>
      <c r="L247" s="5"/>
      <c r="M247" s="5"/>
      <c r="N247" s="5"/>
      <c r="O247" s="5"/>
      <c r="P247" s="5"/>
      <c r="Q247" s="14" t="s">
        <v>69</v>
      </c>
      <c r="X247" t="s">
        <v>51</v>
      </c>
      <c r="Y247" t="s">
        <v>52</v>
      </c>
      <c r="Z247" t="s">
        <v>3</v>
      </c>
    </row>
    <row r="248" spans="1:26" ht="14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 t="s">
        <v>1929</v>
      </c>
      <c r="M248" s="5"/>
      <c r="N248" s="5"/>
      <c r="O248" s="5"/>
      <c r="P248" s="5"/>
      <c r="Q248" s="14" t="s">
        <v>69</v>
      </c>
      <c r="X248" t="s">
        <v>51</v>
      </c>
      <c r="Y248" t="s">
        <v>52</v>
      </c>
      <c r="Z248" t="s">
        <v>3</v>
      </c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>
        <v>60</v>
      </c>
      <c r="N249" s="5"/>
      <c r="O249" s="5"/>
      <c r="P249" s="5"/>
      <c r="Q249" s="14" t="s">
        <v>69</v>
      </c>
      <c r="X249" t="s">
        <v>51</v>
      </c>
      <c r="Y249" t="s">
        <v>52</v>
      </c>
      <c r="Z249" t="s">
        <v>3</v>
      </c>
    </row>
    <row r="250" spans="1:26" ht="14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 t="s">
        <v>93</v>
      </c>
      <c r="O250" s="5"/>
      <c r="P250" s="5"/>
      <c r="Q250" s="14" t="s">
        <v>69</v>
      </c>
      <c r="X250" t="s">
        <v>51</v>
      </c>
      <c r="Y250" t="s">
        <v>52</v>
      </c>
      <c r="Z250" t="s">
        <v>3</v>
      </c>
    </row>
    <row r="251" spans="1:26" x14ac:dyDescent="0.15">
      <c r="A251" t="s">
        <v>226</v>
      </c>
      <c r="B251" t="s">
        <v>49</v>
      </c>
      <c r="C251" t="s">
        <v>227</v>
      </c>
      <c r="D251" t="s">
        <v>1975</v>
      </c>
      <c r="E251">
        <v>6560</v>
      </c>
      <c r="F251">
        <v>3100</v>
      </c>
      <c r="G251" t="s">
        <v>1976</v>
      </c>
      <c r="H251">
        <v>54.12</v>
      </c>
      <c r="I251">
        <v>25.58</v>
      </c>
      <c r="J251">
        <v>1</v>
      </c>
      <c r="K251">
        <v>1</v>
      </c>
      <c r="L251" t="s">
        <v>1977</v>
      </c>
      <c r="M251">
        <v>60</v>
      </c>
      <c r="N251" t="s">
        <v>1682</v>
      </c>
      <c r="Q251" s="15" t="s">
        <v>228</v>
      </c>
      <c r="R251" t="s">
        <v>1513</v>
      </c>
      <c r="S251" t="s">
        <v>230</v>
      </c>
      <c r="T251" t="s">
        <v>231</v>
      </c>
      <c r="U251" t="s">
        <v>3</v>
      </c>
      <c r="V251" t="s">
        <v>54</v>
      </c>
      <c r="W251" t="s">
        <v>1978</v>
      </c>
      <c r="X251" t="s">
        <v>51</v>
      </c>
      <c r="Y251" t="s">
        <v>52</v>
      </c>
      <c r="Z251" t="s">
        <v>3</v>
      </c>
    </row>
    <row r="252" spans="1:26" x14ac:dyDescent="0.15">
      <c r="A252" t="s">
        <v>226</v>
      </c>
      <c r="B252" t="s">
        <v>49</v>
      </c>
      <c r="C252" t="s">
        <v>227</v>
      </c>
      <c r="D252" t="s">
        <v>1979</v>
      </c>
      <c r="E252">
        <v>5120</v>
      </c>
      <c r="F252">
        <v>3100</v>
      </c>
      <c r="G252" t="s">
        <v>1980</v>
      </c>
      <c r="H252">
        <v>42.24</v>
      </c>
      <c r="I252">
        <v>25.58</v>
      </c>
      <c r="J252">
        <v>0.78048780487804881</v>
      </c>
      <c r="K252">
        <v>1</v>
      </c>
      <c r="L252" t="s">
        <v>1977</v>
      </c>
      <c r="M252">
        <v>60</v>
      </c>
      <c r="N252" t="s">
        <v>1682</v>
      </c>
      <c r="Q252" s="15" t="s">
        <v>228</v>
      </c>
      <c r="R252" t="s">
        <v>1513</v>
      </c>
      <c r="S252" t="s">
        <v>230</v>
      </c>
      <c r="T252" t="s">
        <v>231</v>
      </c>
      <c r="U252" t="s">
        <v>3</v>
      </c>
      <c r="V252" t="s">
        <v>54</v>
      </c>
      <c r="W252" t="s">
        <v>1981</v>
      </c>
      <c r="X252" t="s">
        <v>51</v>
      </c>
      <c r="Y252" t="s">
        <v>52</v>
      </c>
      <c r="Z252" t="s">
        <v>3</v>
      </c>
    </row>
    <row r="253" spans="1:26" x14ac:dyDescent="0.15">
      <c r="A253" t="s">
        <v>226</v>
      </c>
      <c r="B253" t="s">
        <v>49</v>
      </c>
      <c r="C253" t="s">
        <v>227</v>
      </c>
      <c r="D253" t="s">
        <v>1982</v>
      </c>
      <c r="E253">
        <v>4448</v>
      </c>
      <c r="F253">
        <v>3096</v>
      </c>
      <c r="G253" t="s">
        <v>1892</v>
      </c>
      <c r="H253">
        <v>36.700000000000003</v>
      </c>
      <c r="I253">
        <v>25.54</v>
      </c>
      <c r="J253">
        <v>0.67812269031781236</v>
      </c>
      <c r="K253">
        <v>0.99843627834245507</v>
      </c>
      <c r="L253" t="s">
        <v>1977</v>
      </c>
      <c r="M253">
        <v>60</v>
      </c>
      <c r="N253" t="s">
        <v>1682</v>
      </c>
      <c r="Q253" s="15" t="s">
        <v>228</v>
      </c>
      <c r="R253" t="s">
        <v>1513</v>
      </c>
      <c r="S253" t="s">
        <v>230</v>
      </c>
      <c r="T253" t="s">
        <v>231</v>
      </c>
      <c r="U253" t="s">
        <v>3</v>
      </c>
      <c r="V253" t="s">
        <v>54</v>
      </c>
      <c r="W253" t="s">
        <v>1983</v>
      </c>
      <c r="X253" t="s">
        <v>51</v>
      </c>
      <c r="Y253" t="s">
        <v>52</v>
      </c>
      <c r="Z253" t="s">
        <v>3</v>
      </c>
    </row>
  </sheetData>
  <autoFilter ref="A1:W25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6" width="12" customWidth="1"/>
    <col min="7" max="7" width="18" customWidth="1"/>
    <col min="8" max="8" width="12" customWidth="1"/>
    <col min="9" max="9" width="15" customWidth="1"/>
    <col min="10" max="10" width="20" customWidth="1"/>
    <col min="11" max="11" width="28" customWidth="1"/>
    <col min="12" max="12" width="12" customWidth="1"/>
    <col min="13" max="13" width="26" customWidth="1"/>
    <col min="14" max="14" width="40" customWidth="1"/>
    <col min="15" max="15" width="18" customWidth="1"/>
    <col min="16" max="19" width="35" customWidth="1"/>
    <col min="20" max="20" width="20" customWidth="1"/>
    <col min="21" max="21" width="17" customWidth="1"/>
    <col min="22" max="22" width="55" customWidth="1"/>
    <col min="23" max="23" width="35" customWidth="1"/>
  </cols>
  <sheetData>
    <row r="1" spans="1:25" ht="28" customHeight="1" x14ac:dyDescent="0.15">
      <c r="A1" s="1" t="s">
        <v>1984</v>
      </c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1564</v>
      </c>
      <c r="H1" s="1" t="s">
        <v>1990</v>
      </c>
      <c r="I1" s="1" t="s">
        <v>1991</v>
      </c>
      <c r="J1" s="1" t="s">
        <v>1992</v>
      </c>
      <c r="K1" s="1" t="s">
        <v>1993</v>
      </c>
      <c r="L1" s="1" t="s">
        <v>1994</v>
      </c>
      <c r="M1" s="1" t="s">
        <v>1568</v>
      </c>
      <c r="N1" s="1" t="s">
        <v>1566</v>
      </c>
      <c r="O1" s="1" t="s">
        <v>1593</v>
      </c>
      <c r="P1" s="1" t="s">
        <v>39</v>
      </c>
      <c r="Q1" s="1" t="s">
        <v>41</v>
      </c>
      <c r="R1" s="1" t="s">
        <v>1594</v>
      </c>
      <c r="S1" s="1" t="s">
        <v>1595</v>
      </c>
      <c r="T1" s="1" t="s">
        <v>1596</v>
      </c>
      <c r="U1" s="1" t="s">
        <v>40</v>
      </c>
      <c r="V1" s="1" t="s">
        <v>1597</v>
      </c>
      <c r="W1" s="1" t="s">
        <v>37</v>
      </c>
      <c r="X1" s="1" t="s">
        <v>1598</v>
      </c>
      <c r="Y1" s="1" t="s">
        <v>44</v>
      </c>
    </row>
    <row r="2" spans="1:25" ht="28" x14ac:dyDescent="0.2">
      <c r="A2" s="5" t="s">
        <v>1413</v>
      </c>
      <c r="B2" s="5" t="s">
        <v>1995</v>
      </c>
      <c r="C2" s="5" t="s">
        <v>1414</v>
      </c>
      <c r="D2" s="5" t="s">
        <v>1996</v>
      </c>
      <c r="E2" s="5" t="s">
        <v>1997</v>
      </c>
      <c r="F2" s="5" t="s">
        <v>1917</v>
      </c>
      <c r="G2" s="5" t="s">
        <v>1998</v>
      </c>
      <c r="H2" s="5">
        <v>50</v>
      </c>
      <c r="I2" s="5" t="s">
        <v>1999</v>
      </c>
      <c r="J2" s="5" t="s">
        <v>2000</v>
      </c>
      <c r="K2" s="5" t="s">
        <v>2001</v>
      </c>
      <c r="L2" s="5" t="s">
        <v>2002</v>
      </c>
      <c r="M2" s="5" t="s">
        <v>2003</v>
      </c>
      <c r="N2" s="5" t="s">
        <v>1426</v>
      </c>
      <c r="O2" s="5" t="s">
        <v>2004</v>
      </c>
      <c r="P2" s="12" t="s">
        <v>53</v>
      </c>
      <c r="Q2" t="s">
        <v>1416</v>
      </c>
      <c r="R2" t="s">
        <v>1417</v>
      </c>
      <c r="S2" s="11" t="s">
        <v>1418</v>
      </c>
      <c r="T2" t="s">
        <v>1608</v>
      </c>
      <c r="U2" t="s">
        <v>54</v>
      </c>
      <c r="V2" t="s">
        <v>2005</v>
      </c>
      <c r="W2" t="s">
        <v>1415</v>
      </c>
      <c r="X2" t="s">
        <v>54</v>
      </c>
      <c r="Y2" t="s">
        <v>3</v>
      </c>
    </row>
    <row r="3" spans="1:25" ht="28" x14ac:dyDescent="0.2">
      <c r="A3" s="5" t="s">
        <v>1413</v>
      </c>
      <c r="B3" s="5" t="s">
        <v>1995</v>
      </c>
      <c r="C3" s="5" t="s">
        <v>1420</v>
      </c>
      <c r="D3" s="5" t="s">
        <v>2006</v>
      </c>
      <c r="E3" s="5" t="s">
        <v>2007</v>
      </c>
      <c r="F3" s="5" t="s">
        <v>1917</v>
      </c>
      <c r="G3" s="5" t="s">
        <v>1998</v>
      </c>
      <c r="H3" s="5">
        <v>200</v>
      </c>
      <c r="I3" s="5" t="s">
        <v>2008</v>
      </c>
      <c r="J3" s="5" t="s">
        <v>2000</v>
      </c>
      <c r="K3" s="5" t="s">
        <v>2001</v>
      </c>
      <c r="L3" s="5" t="s">
        <v>2002</v>
      </c>
      <c r="M3" s="5" t="s">
        <v>2009</v>
      </c>
      <c r="N3" s="5" t="s">
        <v>1426</v>
      </c>
      <c r="O3" s="5" t="s">
        <v>2004</v>
      </c>
      <c r="P3" s="12" t="s">
        <v>53</v>
      </c>
      <c r="Q3" t="s">
        <v>1416</v>
      </c>
      <c r="R3" t="s">
        <v>1421</v>
      </c>
      <c r="S3" s="11" t="s">
        <v>1422</v>
      </c>
      <c r="T3" t="s">
        <v>1608</v>
      </c>
      <c r="U3" t="s">
        <v>54</v>
      </c>
      <c r="V3" t="s">
        <v>2010</v>
      </c>
      <c r="W3" t="s">
        <v>1415</v>
      </c>
      <c r="X3" t="s">
        <v>54</v>
      </c>
      <c r="Y3" t="s">
        <v>3</v>
      </c>
    </row>
    <row r="4" spans="1:25" ht="28" x14ac:dyDescent="0.2">
      <c r="A4" s="5" t="s">
        <v>1413</v>
      </c>
      <c r="B4" s="5" t="s">
        <v>1995</v>
      </c>
      <c r="C4" s="5" t="s">
        <v>1424</v>
      </c>
      <c r="D4" s="5" t="s">
        <v>2011</v>
      </c>
      <c r="E4" s="5" t="s">
        <v>2012</v>
      </c>
      <c r="F4" s="5" t="s">
        <v>1917</v>
      </c>
      <c r="G4" s="5" t="s">
        <v>1998</v>
      </c>
      <c r="H4" s="5">
        <v>250</v>
      </c>
      <c r="I4" s="5" t="s">
        <v>1999</v>
      </c>
      <c r="J4" s="5" t="s">
        <v>2000</v>
      </c>
      <c r="K4" s="5" t="s">
        <v>2001</v>
      </c>
      <c r="L4" s="5" t="s">
        <v>2002</v>
      </c>
      <c r="M4" s="5" t="s">
        <v>2013</v>
      </c>
      <c r="N4" s="5" t="s">
        <v>1426</v>
      </c>
      <c r="O4" s="5" t="s">
        <v>2004</v>
      </c>
      <c r="P4" s="14" t="s">
        <v>69</v>
      </c>
      <c r="R4" t="s">
        <v>1425</v>
      </c>
      <c r="S4" s="11" t="s">
        <v>1426</v>
      </c>
      <c r="T4" t="s">
        <v>1608</v>
      </c>
      <c r="U4" t="s">
        <v>54</v>
      </c>
      <c r="V4" t="s">
        <v>2014</v>
      </c>
      <c r="W4" t="s">
        <v>1415</v>
      </c>
      <c r="X4" t="s">
        <v>54</v>
      </c>
      <c r="Y4" t="s">
        <v>3</v>
      </c>
    </row>
    <row r="5" spans="1:25" ht="28" x14ac:dyDescent="0.2">
      <c r="A5" s="5" t="s">
        <v>1413</v>
      </c>
      <c r="B5" s="5" t="s">
        <v>1995</v>
      </c>
      <c r="C5" s="5" t="s">
        <v>1428</v>
      </c>
      <c r="D5" s="5" t="s">
        <v>2015</v>
      </c>
      <c r="E5" s="5" t="s">
        <v>2016</v>
      </c>
      <c r="F5" s="5" t="s">
        <v>1917</v>
      </c>
      <c r="G5" s="5" t="s">
        <v>1998</v>
      </c>
      <c r="H5" s="5">
        <v>500</v>
      </c>
      <c r="I5" s="5" t="s">
        <v>2008</v>
      </c>
      <c r="J5" s="5" t="s">
        <v>2017</v>
      </c>
      <c r="K5" s="5" t="s">
        <v>2001</v>
      </c>
      <c r="L5" s="5" t="s">
        <v>2002</v>
      </c>
      <c r="M5" s="5" t="s">
        <v>2018</v>
      </c>
      <c r="N5" s="5" t="s">
        <v>1426</v>
      </c>
      <c r="O5" s="5" t="s">
        <v>2004</v>
      </c>
      <c r="P5" s="14" t="s">
        <v>69</v>
      </c>
      <c r="R5" t="s">
        <v>1425</v>
      </c>
      <c r="S5" s="11" t="s">
        <v>1426</v>
      </c>
      <c r="T5" t="s">
        <v>1608</v>
      </c>
      <c r="U5" t="s">
        <v>54</v>
      </c>
      <c r="V5" t="s">
        <v>2014</v>
      </c>
      <c r="W5" t="s">
        <v>1415</v>
      </c>
      <c r="X5" t="s">
        <v>54</v>
      </c>
      <c r="Y5" t="s">
        <v>3</v>
      </c>
    </row>
    <row r="6" spans="1:25" ht="28" x14ac:dyDescent="0.2">
      <c r="A6" s="5" t="s">
        <v>1413</v>
      </c>
      <c r="B6" s="5" t="s">
        <v>2019</v>
      </c>
      <c r="C6" s="5" t="s">
        <v>1430</v>
      </c>
      <c r="D6" s="5" t="s">
        <v>2020</v>
      </c>
      <c r="E6" s="5" t="s">
        <v>2021</v>
      </c>
      <c r="F6" s="5" t="s">
        <v>1917</v>
      </c>
      <c r="G6" s="5" t="s">
        <v>1998</v>
      </c>
      <c r="H6" s="5">
        <v>200</v>
      </c>
      <c r="I6" s="5" t="s">
        <v>1999</v>
      </c>
      <c r="J6" s="5" t="s">
        <v>2000</v>
      </c>
      <c r="K6" s="5" t="s">
        <v>2022</v>
      </c>
      <c r="L6" s="5" t="s">
        <v>2002</v>
      </c>
      <c r="M6" s="5" t="s">
        <v>2023</v>
      </c>
      <c r="N6" s="5" t="s">
        <v>1426</v>
      </c>
      <c r="O6" s="5" t="s">
        <v>2004</v>
      </c>
      <c r="P6" s="14" t="s">
        <v>69</v>
      </c>
      <c r="R6" t="s">
        <v>1425</v>
      </c>
      <c r="S6" s="11" t="s">
        <v>1426</v>
      </c>
      <c r="T6" t="s">
        <v>1608</v>
      </c>
      <c r="U6" t="s">
        <v>54</v>
      </c>
      <c r="V6" t="s">
        <v>2014</v>
      </c>
      <c r="W6" t="s">
        <v>1415</v>
      </c>
      <c r="X6" t="s">
        <v>54</v>
      </c>
      <c r="Y6" t="s">
        <v>3</v>
      </c>
    </row>
    <row r="7" spans="1:25" ht="28" x14ac:dyDescent="0.2">
      <c r="A7" s="5" t="s">
        <v>1413</v>
      </c>
      <c r="B7" s="5" t="s">
        <v>2024</v>
      </c>
      <c r="C7" s="5" t="s">
        <v>1432</v>
      </c>
      <c r="D7" s="5" t="s">
        <v>2025</v>
      </c>
      <c r="E7" s="5" t="s">
        <v>2026</v>
      </c>
      <c r="F7" s="5" t="s">
        <v>1917</v>
      </c>
      <c r="G7" s="5" t="s">
        <v>2027</v>
      </c>
      <c r="H7" s="5">
        <v>250</v>
      </c>
      <c r="I7" s="5" t="s">
        <v>2028</v>
      </c>
      <c r="J7" s="5" t="s">
        <v>2000</v>
      </c>
      <c r="K7" s="5" t="s">
        <v>2001</v>
      </c>
      <c r="L7" s="5" t="s">
        <v>2029</v>
      </c>
      <c r="M7" s="5" t="s">
        <v>2030</v>
      </c>
      <c r="N7" s="5" t="s">
        <v>1426</v>
      </c>
      <c r="O7" s="5" t="s">
        <v>2004</v>
      </c>
      <c r="P7" s="12" t="s">
        <v>53</v>
      </c>
      <c r="Q7" t="s">
        <v>1433</v>
      </c>
      <c r="R7" t="s">
        <v>1434</v>
      </c>
      <c r="S7" s="11" t="s">
        <v>1435</v>
      </c>
      <c r="T7" t="s">
        <v>1608</v>
      </c>
      <c r="U7" t="s">
        <v>54</v>
      </c>
      <c r="V7" t="s">
        <v>2031</v>
      </c>
      <c r="W7" t="s">
        <v>1415</v>
      </c>
      <c r="X7" t="s">
        <v>54</v>
      </c>
      <c r="Y7" t="s">
        <v>3</v>
      </c>
    </row>
    <row r="8" spans="1:25" ht="28" x14ac:dyDescent="0.2">
      <c r="A8" s="5" t="s">
        <v>1413</v>
      </c>
      <c r="B8" s="5" t="s">
        <v>2032</v>
      </c>
      <c r="C8" s="5" t="s">
        <v>1437</v>
      </c>
      <c r="D8" s="5" t="s">
        <v>2033</v>
      </c>
      <c r="E8" s="5" t="s">
        <v>2034</v>
      </c>
      <c r="F8" s="5" t="s">
        <v>2034</v>
      </c>
      <c r="G8" s="5" t="s">
        <v>2035</v>
      </c>
      <c r="H8" s="5">
        <v>100</v>
      </c>
      <c r="I8" s="5" t="s">
        <v>1999</v>
      </c>
      <c r="J8" s="5" t="s">
        <v>2036</v>
      </c>
      <c r="K8" s="5" t="s">
        <v>2037</v>
      </c>
      <c r="L8" s="5" t="s">
        <v>2029</v>
      </c>
      <c r="M8" s="5" t="s">
        <v>2038</v>
      </c>
      <c r="N8" s="5" t="s">
        <v>1440</v>
      </c>
      <c r="O8" s="5" t="s">
        <v>2004</v>
      </c>
      <c r="P8" s="12" t="s">
        <v>53</v>
      </c>
      <c r="Q8" t="s">
        <v>1438</v>
      </c>
      <c r="R8" t="s">
        <v>1439</v>
      </c>
      <c r="S8" s="11" t="s">
        <v>1440</v>
      </c>
      <c r="T8" t="s">
        <v>1608</v>
      </c>
      <c r="U8" t="s">
        <v>54</v>
      </c>
      <c r="V8" t="s">
        <v>2039</v>
      </c>
      <c r="W8" t="s">
        <v>1415</v>
      </c>
      <c r="X8" t="s">
        <v>54</v>
      </c>
      <c r="Y8" t="s">
        <v>3</v>
      </c>
    </row>
    <row r="9" spans="1:25" ht="28" x14ac:dyDescent="0.2">
      <c r="A9" s="5" t="s">
        <v>1413</v>
      </c>
      <c r="B9" s="5" t="s">
        <v>2040</v>
      </c>
      <c r="C9" s="5" t="s">
        <v>1442</v>
      </c>
      <c r="D9" s="5" t="s">
        <v>1917</v>
      </c>
      <c r="E9" s="5" t="s">
        <v>1442</v>
      </c>
      <c r="F9" s="5" t="s">
        <v>1442</v>
      </c>
      <c r="G9" s="5" t="s">
        <v>2041</v>
      </c>
      <c r="H9" s="5">
        <v>200</v>
      </c>
      <c r="I9" s="5" t="s">
        <v>1999</v>
      </c>
      <c r="J9" s="5" t="s">
        <v>2042</v>
      </c>
      <c r="K9" s="5" t="s">
        <v>2043</v>
      </c>
      <c r="L9" s="5" t="s">
        <v>2029</v>
      </c>
      <c r="M9" s="5" t="s">
        <v>2044</v>
      </c>
      <c r="N9" s="5" t="s">
        <v>1426</v>
      </c>
      <c r="O9" s="5" t="s">
        <v>2004</v>
      </c>
      <c r="P9" s="12" t="s">
        <v>53</v>
      </c>
      <c r="Q9" t="s">
        <v>1443</v>
      </c>
      <c r="R9" t="s">
        <v>1444</v>
      </c>
      <c r="S9" s="11" t="s">
        <v>1426</v>
      </c>
      <c r="T9" t="s">
        <v>1608</v>
      </c>
      <c r="U9" t="s">
        <v>54</v>
      </c>
      <c r="V9" t="s">
        <v>2045</v>
      </c>
      <c r="W9" t="s">
        <v>1415</v>
      </c>
      <c r="X9" t="s">
        <v>54</v>
      </c>
      <c r="Y9" t="s">
        <v>3</v>
      </c>
    </row>
    <row r="10" spans="1:25" ht="14" x14ac:dyDescent="0.15">
      <c r="A10" s="5"/>
      <c r="B10" s="5"/>
      <c r="C10" s="5"/>
      <c r="D10" s="5"/>
      <c r="E10" s="5"/>
      <c r="F10" s="5"/>
      <c r="G10" s="5" t="s">
        <v>2046</v>
      </c>
      <c r="H10" s="5"/>
      <c r="I10" s="5"/>
      <c r="J10" s="5" t="s">
        <v>2047</v>
      </c>
      <c r="K10" s="5"/>
      <c r="L10" s="5"/>
      <c r="M10" s="5"/>
      <c r="N10" s="5"/>
      <c r="O10" s="5"/>
      <c r="P10" s="14" t="s">
        <v>69</v>
      </c>
      <c r="W10" t="s">
        <v>1415</v>
      </c>
      <c r="X10" t="s">
        <v>54</v>
      </c>
      <c r="Y10" t="s">
        <v>3</v>
      </c>
    </row>
  </sheetData>
  <autoFilter ref="A1:V10" xr:uid="{00000000-0009-0000-0000-000009000000}"/>
  <hyperlinks>
    <hyperlink ref="S2" r:id="rId1" xr:uid="{00000000-0004-0000-0900-000000000000}"/>
    <hyperlink ref="S3" r:id="rId2" xr:uid="{00000000-0004-0000-0900-000001000000}"/>
    <hyperlink ref="S4" r:id="rId3" xr:uid="{00000000-0004-0000-0900-000002000000}"/>
    <hyperlink ref="S5" r:id="rId4" xr:uid="{00000000-0004-0000-0900-000003000000}"/>
    <hyperlink ref="S6" r:id="rId5" xr:uid="{00000000-0004-0000-0900-000004000000}"/>
    <hyperlink ref="S7" r:id="rId6" xr:uid="{00000000-0004-0000-0900-000005000000}"/>
    <hyperlink ref="S8" r:id="rId7" xr:uid="{00000000-0004-0000-0900-000006000000}"/>
    <hyperlink ref="S9" r:id="rId8" xr:uid="{00000000-0004-0000-0900-000007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11" customWidth="1"/>
    <col min="3" max="3" width="36" customWidth="1"/>
    <col min="4" max="5" width="48" customWidth="1"/>
    <col min="6" max="6" width="21" customWidth="1"/>
    <col min="7" max="7" width="22" customWidth="1"/>
  </cols>
  <sheetData>
    <row r="1" spans="1:7" ht="28" customHeight="1" x14ac:dyDescent="0.15">
      <c r="A1" s="3" t="s">
        <v>38</v>
      </c>
      <c r="B1" s="3" t="s">
        <v>2048</v>
      </c>
      <c r="C1" s="3" t="s">
        <v>2049</v>
      </c>
      <c r="D1" s="3" t="s">
        <v>2050</v>
      </c>
      <c r="E1" s="3" t="s">
        <v>2051</v>
      </c>
      <c r="F1" s="3" t="s">
        <v>2052</v>
      </c>
      <c r="G1" s="3" t="s">
        <v>1567</v>
      </c>
    </row>
    <row r="2" spans="1:7" ht="14" x14ac:dyDescent="0.15">
      <c r="A2" s="5" t="s">
        <v>54</v>
      </c>
      <c r="B2" s="5" t="s">
        <v>2053</v>
      </c>
      <c r="C2" s="5" t="s">
        <v>2054</v>
      </c>
      <c r="D2" s="5" t="s">
        <v>2055</v>
      </c>
      <c r="E2" s="5" t="s">
        <v>2056</v>
      </c>
      <c r="F2" s="5" t="s">
        <v>2057</v>
      </c>
      <c r="G2" s="5" t="s">
        <v>2058</v>
      </c>
    </row>
    <row r="3" spans="1:7" ht="14" x14ac:dyDescent="0.15">
      <c r="A3" s="5" t="s">
        <v>54</v>
      </c>
      <c r="B3" s="5" t="s">
        <v>2053</v>
      </c>
      <c r="C3" s="5" t="s">
        <v>2059</v>
      </c>
      <c r="D3" s="5" t="s">
        <v>2060</v>
      </c>
      <c r="E3" s="5" t="s">
        <v>2061</v>
      </c>
      <c r="F3" s="5" t="s">
        <v>2057</v>
      </c>
      <c r="G3" s="5" t="s">
        <v>2058</v>
      </c>
    </row>
    <row r="4" spans="1:7" ht="14" x14ac:dyDescent="0.15">
      <c r="A4" s="5" t="s">
        <v>54</v>
      </c>
      <c r="B4" s="5" t="s">
        <v>2062</v>
      </c>
      <c r="C4" s="5" t="s">
        <v>2063</v>
      </c>
      <c r="D4" s="5" t="s">
        <v>2064</v>
      </c>
      <c r="E4" s="5" t="s">
        <v>2058</v>
      </c>
      <c r="F4" s="5" t="s">
        <v>93</v>
      </c>
      <c r="G4" s="5" t="s">
        <v>2058</v>
      </c>
    </row>
    <row r="5" spans="1:7" ht="14" x14ac:dyDescent="0.15">
      <c r="A5" s="5" t="s">
        <v>54</v>
      </c>
      <c r="B5" s="5" t="s">
        <v>2053</v>
      </c>
      <c r="C5" s="5" t="s">
        <v>2065</v>
      </c>
      <c r="D5" s="5" t="s">
        <v>2066</v>
      </c>
      <c r="E5" s="5" t="s">
        <v>2067</v>
      </c>
      <c r="F5" s="5" t="s">
        <v>2057</v>
      </c>
      <c r="G5" s="5" t="s">
        <v>2068</v>
      </c>
    </row>
    <row r="6" spans="1:7" ht="14" x14ac:dyDescent="0.15">
      <c r="A6" s="5" t="s">
        <v>54</v>
      </c>
      <c r="B6" s="5" t="s">
        <v>2053</v>
      </c>
      <c r="C6" s="5" t="s">
        <v>1065</v>
      </c>
      <c r="D6" s="5" t="s">
        <v>2066</v>
      </c>
      <c r="E6" s="5" t="s">
        <v>2069</v>
      </c>
      <c r="F6" s="5" t="s">
        <v>2057</v>
      </c>
      <c r="G6" s="5" t="s">
        <v>2068</v>
      </c>
    </row>
    <row r="7" spans="1:7" ht="14" x14ac:dyDescent="0.15">
      <c r="A7" s="5" t="s">
        <v>191</v>
      </c>
      <c r="B7" s="5" t="s">
        <v>2053</v>
      </c>
      <c r="C7" s="5" t="s">
        <v>2070</v>
      </c>
      <c r="D7" s="5" t="s">
        <v>2071</v>
      </c>
      <c r="E7" s="5" t="s">
        <v>2072</v>
      </c>
      <c r="F7" s="5" t="s">
        <v>2073</v>
      </c>
      <c r="G7" s="5" t="s">
        <v>2074</v>
      </c>
    </row>
    <row r="8" spans="1:7" ht="14" x14ac:dyDescent="0.15">
      <c r="A8" s="5" t="s">
        <v>191</v>
      </c>
      <c r="B8" s="5" t="s">
        <v>2053</v>
      </c>
      <c r="C8" s="5" t="s">
        <v>2075</v>
      </c>
      <c r="D8" s="5" t="s">
        <v>2076</v>
      </c>
      <c r="E8" s="5" t="s">
        <v>2077</v>
      </c>
      <c r="F8" s="5" t="s">
        <v>2078</v>
      </c>
      <c r="G8" s="5" t="s">
        <v>2079</v>
      </c>
    </row>
    <row r="9" spans="1:7" ht="14" x14ac:dyDescent="0.15">
      <c r="A9" s="5" t="s">
        <v>191</v>
      </c>
      <c r="B9" s="5" t="s">
        <v>2062</v>
      </c>
      <c r="C9" s="5" t="s">
        <v>2080</v>
      </c>
      <c r="D9" s="5" t="s">
        <v>2081</v>
      </c>
      <c r="E9" s="5" t="s">
        <v>2082</v>
      </c>
      <c r="F9" s="5" t="s">
        <v>2083</v>
      </c>
      <c r="G9" s="5" t="s">
        <v>2084</v>
      </c>
    </row>
    <row r="10" spans="1:7" ht="14" x14ac:dyDescent="0.15">
      <c r="A10" s="5" t="s">
        <v>2085</v>
      </c>
      <c r="B10" s="5" t="s">
        <v>2086</v>
      </c>
      <c r="C10" s="5" t="s">
        <v>2087</v>
      </c>
      <c r="D10" s="5" t="s">
        <v>2088</v>
      </c>
      <c r="E10" s="5" t="s">
        <v>2089</v>
      </c>
      <c r="F10" s="5" t="s">
        <v>2083</v>
      </c>
      <c r="G10" s="5" t="s">
        <v>2090</v>
      </c>
    </row>
    <row r="11" spans="1:7" ht="14" x14ac:dyDescent="0.15">
      <c r="A11" s="5" t="s">
        <v>2085</v>
      </c>
      <c r="B11" s="5" t="s">
        <v>1412</v>
      </c>
      <c r="C11" s="5" t="s">
        <v>1993</v>
      </c>
      <c r="D11" s="5" t="s">
        <v>2091</v>
      </c>
      <c r="E11" s="5" t="s">
        <v>2092</v>
      </c>
      <c r="F11" s="5" t="s">
        <v>1413</v>
      </c>
      <c r="G11" s="5" t="s">
        <v>2093</v>
      </c>
    </row>
    <row r="12" spans="1:7" ht="28" x14ac:dyDescent="0.15">
      <c r="A12" s="5" t="s">
        <v>2094</v>
      </c>
      <c r="B12" s="5" t="s">
        <v>2062</v>
      </c>
      <c r="C12" s="5" t="s">
        <v>2095</v>
      </c>
      <c r="D12" s="5" t="s">
        <v>2096</v>
      </c>
      <c r="E12" s="5" t="s">
        <v>2097</v>
      </c>
      <c r="F12" s="5" t="s">
        <v>2098</v>
      </c>
      <c r="G12" s="5" t="s">
        <v>2099</v>
      </c>
    </row>
    <row r="13" spans="1:7" ht="28" x14ac:dyDescent="0.15">
      <c r="A13" s="5" t="s">
        <v>2094</v>
      </c>
      <c r="B13" s="5" t="s">
        <v>2062</v>
      </c>
      <c r="C13" s="5" t="s">
        <v>2100</v>
      </c>
      <c r="D13" s="5" t="s">
        <v>2101</v>
      </c>
      <c r="E13" s="5" t="s">
        <v>2102</v>
      </c>
      <c r="F13" s="5" t="s">
        <v>93</v>
      </c>
      <c r="G13" s="5" t="s">
        <v>2103</v>
      </c>
    </row>
    <row r="14" spans="1:7" ht="14" x14ac:dyDescent="0.15">
      <c r="A14" s="5" t="s">
        <v>2094</v>
      </c>
      <c r="B14" s="5" t="s">
        <v>2062</v>
      </c>
      <c r="C14" s="5" t="s">
        <v>2104</v>
      </c>
      <c r="D14" s="5" t="s">
        <v>2105</v>
      </c>
      <c r="E14" s="5" t="s">
        <v>2106</v>
      </c>
      <c r="F14" s="5" t="s">
        <v>49</v>
      </c>
      <c r="G14" s="5" t="s">
        <v>2103</v>
      </c>
    </row>
    <row r="15" spans="1:7" ht="14" x14ac:dyDescent="0.15">
      <c r="A15" s="5" t="s">
        <v>2107</v>
      </c>
      <c r="B15" s="5" t="s">
        <v>2053</v>
      </c>
      <c r="C15" s="5" t="s">
        <v>2108</v>
      </c>
      <c r="D15" s="5" t="s">
        <v>2109</v>
      </c>
      <c r="E15" s="5" t="s">
        <v>2110</v>
      </c>
      <c r="F15" s="5" t="s">
        <v>2057</v>
      </c>
      <c r="G15" s="5" t="s">
        <v>2111</v>
      </c>
    </row>
    <row r="16" spans="1:7" ht="28" x14ac:dyDescent="0.15">
      <c r="A16" s="5" t="s">
        <v>2107</v>
      </c>
      <c r="B16" s="5" t="s">
        <v>2053</v>
      </c>
      <c r="C16" s="5" t="s">
        <v>2112</v>
      </c>
      <c r="D16" s="5" t="s">
        <v>2113</v>
      </c>
      <c r="E16" s="5" t="s">
        <v>2114</v>
      </c>
      <c r="F16" s="5" t="s">
        <v>2115</v>
      </c>
      <c r="G16" s="5" t="s">
        <v>2116</v>
      </c>
    </row>
    <row r="17" spans="1:7" ht="28" x14ac:dyDescent="0.15">
      <c r="A17" s="5" t="s">
        <v>2107</v>
      </c>
      <c r="B17" s="5" t="s">
        <v>2053</v>
      </c>
      <c r="C17" s="5" t="s">
        <v>2117</v>
      </c>
      <c r="D17" s="5" t="s">
        <v>2118</v>
      </c>
      <c r="E17" s="5" t="s">
        <v>2119</v>
      </c>
      <c r="F17" s="5" t="s">
        <v>2120</v>
      </c>
      <c r="G17" s="5" t="s">
        <v>2116</v>
      </c>
    </row>
    <row r="18" spans="1:7" ht="28" x14ac:dyDescent="0.15">
      <c r="A18" s="5" t="s">
        <v>2094</v>
      </c>
      <c r="B18" s="5" t="s">
        <v>2121</v>
      </c>
      <c r="C18" s="5" t="s">
        <v>2122</v>
      </c>
      <c r="D18" s="5" t="s">
        <v>2123</v>
      </c>
      <c r="E18" s="5" t="s">
        <v>2124</v>
      </c>
      <c r="F18" s="5" t="s">
        <v>2122</v>
      </c>
      <c r="G18" s="5" t="s">
        <v>2125</v>
      </c>
    </row>
    <row r="19" spans="1:7" ht="14" x14ac:dyDescent="0.15">
      <c r="A19" s="5" t="s">
        <v>2094</v>
      </c>
      <c r="B19" s="5" t="s">
        <v>2053</v>
      </c>
      <c r="C19" s="5" t="s">
        <v>2126</v>
      </c>
      <c r="D19" s="5" t="s">
        <v>2127</v>
      </c>
      <c r="E19" s="5" t="s">
        <v>2128</v>
      </c>
      <c r="F19" s="5" t="s">
        <v>2057</v>
      </c>
      <c r="G19" s="5" t="s">
        <v>2116</v>
      </c>
    </row>
    <row r="20" spans="1:7" ht="14" x14ac:dyDescent="0.15">
      <c r="A20" s="5" t="s">
        <v>2107</v>
      </c>
      <c r="B20" s="5" t="s">
        <v>2053</v>
      </c>
      <c r="C20" s="5" t="s">
        <v>2129</v>
      </c>
      <c r="D20" s="5" t="s">
        <v>2130</v>
      </c>
      <c r="E20" s="5" t="s">
        <v>2131</v>
      </c>
      <c r="F20" s="5" t="s">
        <v>2057</v>
      </c>
      <c r="G20" s="5" t="s">
        <v>2111</v>
      </c>
    </row>
    <row r="21" spans="1:7" ht="14" x14ac:dyDescent="0.15">
      <c r="A21" s="5" t="s">
        <v>2107</v>
      </c>
      <c r="B21" s="5" t="s">
        <v>2053</v>
      </c>
      <c r="C21" s="5" t="s">
        <v>2132</v>
      </c>
      <c r="D21" s="5" t="s">
        <v>2133</v>
      </c>
      <c r="E21" s="5" t="s">
        <v>2134</v>
      </c>
      <c r="F21" s="5" t="s">
        <v>2057</v>
      </c>
      <c r="G21" s="5" t="s">
        <v>2111</v>
      </c>
    </row>
  </sheetData>
  <autoFilter ref="A1:G2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4" customWidth="1"/>
    <col min="2" max="2" width="46" customWidth="1"/>
    <col min="3" max="3" width="11" customWidth="1"/>
    <col min="4" max="4" width="48" customWidth="1"/>
  </cols>
  <sheetData>
    <row r="1" spans="1:4" ht="28" customHeight="1" x14ac:dyDescent="0.15">
      <c r="A1" s="3" t="s">
        <v>1566</v>
      </c>
      <c r="B1" s="3" t="s">
        <v>2135</v>
      </c>
      <c r="C1" s="3" t="s">
        <v>38</v>
      </c>
      <c r="D1" s="3" t="s">
        <v>1568</v>
      </c>
    </row>
    <row r="2" spans="1:4" ht="14" x14ac:dyDescent="0.15">
      <c r="A2" s="5" t="s">
        <v>49</v>
      </c>
      <c r="B2" s="5" t="s">
        <v>2136</v>
      </c>
      <c r="C2" s="5" t="s">
        <v>54</v>
      </c>
      <c r="D2" s="5" t="s">
        <v>2137</v>
      </c>
    </row>
    <row r="3" spans="1:4" ht="14" x14ac:dyDescent="0.15">
      <c r="A3" s="5" t="s">
        <v>183</v>
      </c>
      <c r="B3" s="5" t="s">
        <v>2138</v>
      </c>
      <c r="C3" s="5" t="s">
        <v>54</v>
      </c>
      <c r="D3" s="5" t="s">
        <v>2137</v>
      </c>
    </row>
    <row r="4" spans="1:4" ht="14" x14ac:dyDescent="0.15">
      <c r="A4" s="5" t="s">
        <v>235</v>
      </c>
      <c r="B4" s="5" t="s">
        <v>2139</v>
      </c>
      <c r="C4" s="5" t="s">
        <v>54</v>
      </c>
      <c r="D4" s="5" t="s">
        <v>2137</v>
      </c>
    </row>
    <row r="5" spans="1:4" ht="14" x14ac:dyDescent="0.15">
      <c r="A5" s="5" t="s">
        <v>2140</v>
      </c>
      <c r="B5" s="5" t="s">
        <v>2141</v>
      </c>
      <c r="C5" s="5" t="s">
        <v>54</v>
      </c>
      <c r="D5" s="5" t="s">
        <v>2142</v>
      </c>
    </row>
    <row r="6" spans="1:4" ht="14" x14ac:dyDescent="0.15">
      <c r="A6" s="5" t="s">
        <v>2143</v>
      </c>
      <c r="B6" s="5" t="s">
        <v>2144</v>
      </c>
      <c r="C6" s="5" t="s">
        <v>54</v>
      </c>
      <c r="D6" s="5" t="s">
        <v>2145</v>
      </c>
    </row>
    <row r="7" spans="1:4" ht="14" x14ac:dyDescent="0.15">
      <c r="A7" s="5" t="s">
        <v>2146</v>
      </c>
      <c r="B7" s="5" t="s">
        <v>2147</v>
      </c>
      <c r="C7" s="5" t="s">
        <v>54</v>
      </c>
      <c r="D7" s="5" t="s">
        <v>2148</v>
      </c>
    </row>
    <row r="8" spans="1:4" ht="14" x14ac:dyDescent="0.15">
      <c r="A8" s="5" t="s">
        <v>2149</v>
      </c>
      <c r="B8" s="5" t="s">
        <v>2150</v>
      </c>
      <c r="C8" s="5" t="s">
        <v>191</v>
      </c>
      <c r="D8" s="5" t="s">
        <v>2148</v>
      </c>
    </row>
    <row r="9" spans="1:4" ht="14" x14ac:dyDescent="0.15">
      <c r="A9" s="5" t="s">
        <v>2151</v>
      </c>
      <c r="B9" s="5" t="s">
        <v>2150</v>
      </c>
      <c r="C9" s="5" t="s">
        <v>191</v>
      </c>
      <c r="D9" s="5" t="s">
        <v>2152</v>
      </c>
    </row>
    <row r="10" spans="1:4" ht="14" x14ac:dyDescent="0.15">
      <c r="A10" s="5" t="s">
        <v>1413</v>
      </c>
      <c r="B10" s="5" t="s">
        <v>2153</v>
      </c>
      <c r="C10" s="5" t="s">
        <v>54</v>
      </c>
      <c r="D10" s="5" t="s">
        <v>2137</v>
      </c>
    </row>
    <row r="11" spans="1:4" ht="14" x14ac:dyDescent="0.15">
      <c r="A11" s="5" t="s">
        <v>2154</v>
      </c>
      <c r="B11" s="5" t="s">
        <v>2155</v>
      </c>
      <c r="C11" s="5" t="s">
        <v>191</v>
      </c>
      <c r="D11" s="5" t="s">
        <v>2156</v>
      </c>
    </row>
    <row r="12" spans="1:4" ht="42" x14ac:dyDescent="0.15">
      <c r="A12" s="5" t="s">
        <v>2157</v>
      </c>
      <c r="B12" s="5" t="s">
        <v>2158</v>
      </c>
      <c r="C12" s="5" t="s">
        <v>2094</v>
      </c>
      <c r="D12" s="5" t="s">
        <v>2159</v>
      </c>
    </row>
    <row r="13" spans="1:4" ht="14" x14ac:dyDescent="0.15">
      <c r="A13" s="5" t="s">
        <v>2160</v>
      </c>
      <c r="B13" s="5" t="s">
        <v>2161</v>
      </c>
      <c r="C13" s="5" t="s">
        <v>2094</v>
      </c>
      <c r="D13" s="5" t="s">
        <v>2162</v>
      </c>
    </row>
  </sheetData>
  <autoFilter ref="A1:D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1" customWidth="1"/>
    <col min="2" max="2" width="22" customWidth="1"/>
    <col min="3" max="4" width="11" customWidth="1"/>
    <col min="5" max="5" width="13" customWidth="1"/>
    <col min="6" max="6" width="14" customWidth="1"/>
    <col min="7" max="7" width="15" customWidth="1"/>
    <col min="8" max="8" width="25" customWidth="1"/>
    <col min="9" max="9" width="11" customWidth="1"/>
  </cols>
  <sheetData>
    <row r="1" spans="1:9" ht="28" customHeight="1" x14ac:dyDescent="0.15">
      <c r="A1" s="3" t="s">
        <v>1985</v>
      </c>
      <c r="B1" s="3" t="s">
        <v>1992</v>
      </c>
      <c r="C1" s="3" t="s">
        <v>2163</v>
      </c>
      <c r="D1" s="3" t="s">
        <v>2164</v>
      </c>
      <c r="E1" s="3" t="s">
        <v>2165</v>
      </c>
      <c r="F1" s="3" t="s">
        <v>1882</v>
      </c>
      <c r="G1" s="3" t="s">
        <v>2166</v>
      </c>
      <c r="H1" s="3" t="s">
        <v>1568</v>
      </c>
      <c r="I1" s="3" t="s">
        <v>1566</v>
      </c>
    </row>
    <row r="2" spans="1:9" ht="14" x14ac:dyDescent="0.15">
      <c r="A2" s="5" t="s">
        <v>2167</v>
      </c>
      <c r="B2" s="5" t="s">
        <v>2168</v>
      </c>
      <c r="C2" s="5">
        <v>10.26</v>
      </c>
      <c r="D2" s="5">
        <v>7.49</v>
      </c>
      <c r="E2" s="5">
        <v>12.7</v>
      </c>
      <c r="F2" s="5" t="s">
        <v>2169</v>
      </c>
      <c r="G2" s="5" t="s">
        <v>2170</v>
      </c>
      <c r="H2" s="5" t="s">
        <v>2171</v>
      </c>
      <c r="I2" s="5" t="s">
        <v>2122</v>
      </c>
    </row>
    <row r="3" spans="1:9" ht="14" x14ac:dyDescent="0.15">
      <c r="A3" s="5" t="s">
        <v>2167</v>
      </c>
      <c r="B3" s="5" t="s">
        <v>2172</v>
      </c>
      <c r="C3" s="5">
        <v>12.52</v>
      </c>
      <c r="D3" s="5">
        <v>7.42</v>
      </c>
      <c r="E3" s="5">
        <v>14.55</v>
      </c>
      <c r="F3" s="5" t="s">
        <v>2173</v>
      </c>
      <c r="G3" s="5" t="s">
        <v>2170</v>
      </c>
      <c r="H3" s="5" t="s">
        <v>2174</v>
      </c>
      <c r="I3" s="5" t="s">
        <v>2122</v>
      </c>
    </row>
    <row r="4" spans="1:9" ht="14" x14ac:dyDescent="0.15">
      <c r="A4" s="5" t="s">
        <v>2167</v>
      </c>
      <c r="B4" s="5" t="s">
        <v>2175</v>
      </c>
      <c r="C4" s="5">
        <v>22</v>
      </c>
      <c r="D4" s="5">
        <v>9.4700000000000006</v>
      </c>
      <c r="E4" s="5">
        <v>23.95</v>
      </c>
      <c r="F4" s="5" t="s">
        <v>1908</v>
      </c>
      <c r="G4" s="5" t="s">
        <v>2176</v>
      </c>
      <c r="H4" s="5" t="s">
        <v>2177</v>
      </c>
      <c r="I4" s="5" t="s">
        <v>2122</v>
      </c>
    </row>
    <row r="5" spans="1:9" ht="14" x14ac:dyDescent="0.15">
      <c r="A5" s="5" t="s">
        <v>2167</v>
      </c>
      <c r="B5" s="5" t="s">
        <v>2178</v>
      </c>
      <c r="C5" s="5">
        <v>22</v>
      </c>
      <c r="D5" s="5">
        <v>13</v>
      </c>
      <c r="E5" s="5">
        <v>25.55</v>
      </c>
      <c r="F5" s="5" t="s">
        <v>2173</v>
      </c>
      <c r="G5" s="5" t="s">
        <v>2179</v>
      </c>
      <c r="H5" s="5" t="s">
        <v>2180</v>
      </c>
      <c r="I5" s="5" t="s">
        <v>2122</v>
      </c>
    </row>
    <row r="6" spans="1:9" ht="14" x14ac:dyDescent="0.15">
      <c r="A6" s="5" t="s">
        <v>2167</v>
      </c>
      <c r="B6" s="5" t="s">
        <v>2181</v>
      </c>
      <c r="C6" s="5">
        <v>21.95</v>
      </c>
      <c r="D6" s="5">
        <v>16</v>
      </c>
      <c r="E6" s="5">
        <v>27.16</v>
      </c>
      <c r="F6" s="5" t="s">
        <v>2169</v>
      </c>
      <c r="G6" s="5" t="s">
        <v>2182</v>
      </c>
      <c r="H6" s="5" t="s">
        <v>2183</v>
      </c>
      <c r="I6" s="5" t="s">
        <v>2122</v>
      </c>
    </row>
    <row r="7" spans="1:9" ht="14" x14ac:dyDescent="0.15">
      <c r="A7" s="5" t="s">
        <v>2167</v>
      </c>
      <c r="B7" s="5" t="s">
        <v>2184</v>
      </c>
      <c r="C7" s="5">
        <v>24.89</v>
      </c>
      <c r="D7" s="5">
        <v>18.670000000000002</v>
      </c>
      <c r="E7" s="5">
        <v>31.11</v>
      </c>
      <c r="F7" s="5" t="s">
        <v>2185</v>
      </c>
      <c r="G7" s="5" t="s">
        <v>2182</v>
      </c>
      <c r="H7" s="5" t="s">
        <v>2186</v>
      </c>
      <c r="I7" s="5" t="s">
        <v>2122</v>
      </c>
    </row>
    <row r="8" spans="1:9" ht="14" x14ac:dyDescent="0.15">
      <c r="A8" s="5" t="s">
        <v>2167</v>
      </c>
      <c r="B8" s="5" t="s">
        <v>2187</v>
      </c>
      <c r="C8" s="5">
        <v>37.72</v>
      </c>
      <c r="D8" s="5">
        <v>24.92</v>
      </c>
      <c r="E8" s="5">
        <v>45.21</v>
      </c>
      <c r="F8" s="5" t="s">
        <v>2188</v>
      </c>
      <c r="G8" s="5" t="s">
        <v>2189</v>
      </c>
      <c r="H8" s="5" t="s">
        <v>2190</v>
      </c>
      <c r="I8" s="5" t="s">
        <v>2122</v>
      </c>
    </row>
    <row r="9" spans="1:9" ht="14" x14ac:dyDescent="0.15">
      <c r="A9" s="5" t="s">
        <v>2167</v>
      </c>
      <c r="B9" s="5" t="s">
        <v>2191</v>
      </c>
      <c r="C9" s="5">
        <v>48.56</v>
      </c>
      <c r="D9" s="5">
        <v>22.1</v>
      </c>
      <c r="E9" s="5">
        <v>53.36</v>
      </c>
      <c r="F9" s="5" t="s">
        <v>2192</v>
      </c>
      <c r="G9" s="5" t="s">
        <v>2193</v>
      </c>
      <c r="H9" s="5" t="s">
        <v>2194</v>
      </c>
      <c r="I9" s="5" t="s">
        <v>2122</v>
      </c>
    </row>
    <row r="10" spans="1:9" ht="14" x14ac:dyDescent="0.15">
      <c r="A10" s="5" t="s">
        <v>2167</v>
      </c>
      <c r="B10" s="5" t="s">
        <v>2195</v>
      </c>
      <c r="C10" s="5">
        <v>48.59</v>
      </c>
      <c r="D10" s="5">
        <v>22.1</v>
      </c>
      <c r="E10" s="5">
        <v>53.38</v>
      </c>
      <c r="F10" s="5" t="s">
        <v>2192</v>
      </c>
      <c r="G10" s="5" t="s">
        <v>2193</v>
      </c>
      <c r="H10" s="5" t="s">
        <v>2196</v>
      </c>
      <c r="I10" s="5" t="s">
        <v>2122</v>
      </c>
    </row>
    <row r="11" spans="1:9" ht="14" x14ac:dyDescent="0.15">
      <c r="A11" s="5" t="s">
        <v>2167</v>
      </c>
      <c r="B11" s="5" t="s">
        <v>2197</v>
      </c>
      <c r="C11" s="5">
        <v>70.41</v>
      </c>
      <c r="D11" s="5">
        <v>52.63</v>
      </c>
      <c r="E11" s="5">
        <v>87.9</v>
      </c>
      <c r="F11" s="5" t="s">
        <v>2198</v>
      </c>
      <c r="G11" s="5" t="s">
        <v>2199</v>
      </c>
      <c r="H11" s="5" t="s">
        <v>2200</v>
      </c>
      <c r="I11" s="5" t="s">
        <v>2122</v>
      </c>
    </row>
    <row r="12" spans="1:9" ht="14" x14ac:dyDescent="0.15">
      <c r="A12" s="5" t="s">
        <v>2201</v>
      </c>
      <c r="B12" s="5" t="s">
        <v>2202</v>
      </c>
      <c r="C12" s="5">
        <v>36</v>
      </c>
      <c r="D12" s="5">
        <v>24</v>
      </c>
      <c r="E12" s="5">
        <v>43.27</v>
      </c>
      <c r="F12" s="5" t="s">
        <v>2203</v>
      </c>
      <c r="G12" s="5" t="s">
        <v>2204</v>
      </c>
      <c r="H12" s="5" t="s">
        <v>2205</v>
      </c>
      <c r="I12" s="5" t="s">
        <v>2122</v>
      </c>
    </row>
    <row r="13" spans="1:9" ht="14" x14ac:dyDescent="0.15">
      <c r="A13" s="5" t="s">
        <v>2201</v>
      </c>
      <c r="B13" s="5" t="s">
        <v>2206</v>
      </c>
      <c r="C13" s="5">
        <v>24.89</v>
      </c>
      <c r="D13" s="5">
        <v>18.670000000000002</v>
      </c>
      <c r="E13" s="5">
        <v>31.11</v>
      </c>
      <c r="F13" s="5" t="s">
        <v>2185</v>
      </c>
      <c r="G13" s="5" t="s">
        <v>2204</v>
      </c>
      <c r="H13" s="5" t="s">
        <v>2207</v>
      </c>
      <c r="I13" s="5" t="s">
        <v>2122</v>
      </c>
    </row>
  </sheetData>
  <autoFilter ref="A1:I1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3" customWidth="1"/>
    <col min="2" max="3" width="37" customWidth="1"/>
    <col min="4" max="4" width="42" customWidth="1"/>
    <col min="5" max="5" width="14" customWidth="1"/>
    <col min="6" max="6" width="13" customWidth="1"/>
  </cols>
  <sheetData>
    <row r="1" spans="1:6" ht="28" customHeight="1" x14ac:dyDescent="0.15">
      <c r="A1" s="3" t="s">
        <v>2208</v>
      </c>
      <c r="B1" s="3" t="s">
        <v>2209</v>
      </c>
      <c r="C1" s="3" t="s">
        <v>2210</v>
      </c>
      <c r="D1" s="3" t="s">
        <v>1566</v>
      </c>
      <c r="E1" s="3" t="s">
        <v>2211</v>
      </c>
    </row>
    <row r="2" spans="1:6" ht="14" x14ac:dyDescent="0.15">
      <c r="A2" s="5" t="s">
        <v>2212</v>
      </c>
      <c r="B2" s="5" t="s">
        <v>2213</v>
      </c>
      <c r="C2" s="5" t="s">
        <v>2214</v>
      </c>
      <c r="D2" s="5" t="s">
        <v>2215</v>
      </c>
      <c r="E2" s="5" t="s">
        <v>2216</v>
      </c>
    </row>
    <row r="3" spans="1:6" ht="14" x14ac:dyDescent="0.15">
      <c r="A3" s="5" t="s">
        <v>2217</v>
      </c>
      <c r="B3" s="5" t="s">
        <v>2218</v>
      </c>
      <c r="C3" s="5" t="s">
        <v>2219</v>
      </c>
      <c r="D3" s="5" t="s">
        <v>2220</v>
      </c>
      <c r="E3" s="5" t="s">
        <v>2216</v>
      </c>
    </row>
    <row r="4" spans="1:6" ht="14" x14ac:dyDescent="0.15">
      <c r="A4" s="5" t="s">
        <v>2221</v>
      </c>
      <c r="B4" s="5" t="s">
        <v>2222</v>
      </c>
      <c r="C4" s="5" t="s">
        <v>2223</v>
      </c>
      <c r="D4" s="5" t="s">
        <v>2224</v>
      </c>
      <c r="E4" s="5" t="s">
        <v>2216</v>
      </c>
    </row>
    <row r="5" spans="1:6" ht="14" x14ac:dyDescent="0.15">
      <c r="A5" s="5" t="s">
        <v>2225</v>
      </c>
      <c r="B5" s="5" t="s">
        <v>2226</v>
      </c>
      <c r="C5" s="5" t="s">
        <v>2227</v>
      </c>
      <c r="D5" s="5" t="s">
        <v>2228</v>
      </c>
      <c r="E5" s="5" t="s">
        <v>2216</v>
      </c>
    </row>
    <row r="6" spans="1:6" ht="14" x14ac:dyDescent="0.15">
      <c r="A6" s="5" t="s">
        <v>2229</v>
      </c>
      <c r="B6" s="5" t="s">
        <v>2230</v>
      </c>
      <c r="C6" s="5" t="s">
        <v>2231</v>
      </c>
      <c r="D6" s="5" t="s">
        <v>2232</v>
      </c>
      <c r="E6" s="5" t="s">
        <v>2216</v>
      </c>
    </row>
    <row r="7" spans="1:6" ht="14" x14ac:dyDescent="0.15">
      <c r="A7" s="5" t="s">
        <v>2233</v>
      </c>
      <c r="B7" s="5" t="s">
        <v>2234</v>
      </c>
      <c r="C7" s="5" t="s">
        <v>2235</v>
      </c>
      <c r="D7" s="5" t="s">
        <v>2236</v>
      </c>
      <c r="E7" s="5" t="s">
        <v>2216</v>
      </c>
    </row>
    <row r="8" spans="1:6" ht="14" x14ac:dyDescent="0.15">
      <c r="A8" s="5" t="s">
        <v>2237</v>
      </c>
      <c r="B8" s="5" t="s">
        <v>2238</v>
      </c>
      <c r="C8" s="5" t="s">
        <v>2239</v>
      </c>
      <c r="D8" s="5" t="s">
        <v>2240</v>
      </c>
      <c r="E8" s="5" t="s">
        <v>2216</v>
      </c>
    </row>
    <row r="9" spans="1:6" ht="14" x14ac:dyDescent="0.15">
      <c r="A9" s="5" t="s">
        <v>2241</v>
      </c>
      <c r="B9" s="5" t="s">
        <v>2242</v>
      </c>
      <c r="C9" s="5" t="s">
        <v>2243</v>
      </c>
      <c r="D9" s="5" t="s">
        <v>2244</v>
      </c>
      <c r="E9" s="5" t="s">
        <v>2216</v>
      </c>
    </row>
    <row r="10" spans="1:6" ht="14" x14ac:dyDescent="0.15">
      <c r="A10" s="5" t="s">
        <v>2245</v>
      </c>
      <c r="B10" s="5" t="s">
        <v>2246</v>
      </c>
      <c r="C10" s="5" t="s">
        <v>2247</v>
      </c>
      <c r="D10" s="5" t="s">
        <v>2248</v>
      </c>
      <c r="E10" s="5" t="s">
        <v>2216</v>
      </c>
    </row>
    <row r="11" spans="1:6" ht="14" x14ac:dyDescent="0.15">
      <c r="A11" s="5" t="s">
        <v>2140</v>
      </c>
      <c r="B11" s="5" t="s">
        <v>2249</v>
      </c>
      <c r="C11" s="5" t="s">
        <v>2250</v>
      </c>
      <c r="D11" s="5" t="s">
        <v>1766</v>
      </c>
      <c r="E11" s="5" t="s">
        <v>2216</v>
      </c>
    </row>
    <row r="12" spans="1:6" ht="28" x14ac:dyDescent="0.15">
      <c r="A12" s="5" t="s">
        <v>2251</v>
      </c>
      <c r="B12" s="5" t="s">
        <v>2252</v>
      </c>
      <c r="C12" s="5" t="s">
        <v>2253</v>
      </c>
      <c r="D12" s="5" t="s">
        <v>2254</v>
      </c>
      <c r="E12" s="5" t="s">
        <v>2255</v>
      </c>
      <c r="F12" t="s">
        <v>2256</v>
      </c>
    </row>
    <row r="13" spans="1:6" ht="28" x14ac:dyDescent="0.15">
      <c r="A13" s="5" t="s">
        <v>2257</v>
      </c>
      <c r="B13" s="5" t="s">
        <v>2258</v>
      </c>
      <c r="C13" s="5" t="s">
        <v>2259</v>
      </c>
      <c r="D13" s="5" t="s">
        <v>2260</v>
      </c>
      <c r="E13" s="5" t="s">
        <v>2261</v>
      </c>
      <c r="F13" t="s">
        <v>2262</v>
      </c>
    </row>
    <row r="14" spans="1:6" ht="28" x14ac:dyDescent="0.15">
      <c r="A14" s="5" t="s">
        <v>2140</v>
      </c>
      <c r="B14" s="5" t="s">
        <v>2263</v>
      </c>
      <c r="C14" s="5" t="s">
        <v>2264</v>
      </c>
      <c r="D14" s="5" t="s">
        <v>1766</v>
      </c>
      <c r="E14" s="5" t="s">
        <v>2261</v>
      </c>
      <c r="F14" t="s">
        <v>2265</v>
      </c>
    </row>
    <row r="15" spans="1:6" ht="28" x14ac:dyDescent="0.15">
      <c r="A15" s="5" t="s">
        <v>2143</v>
      </c>
      <c r="B15" s="5" t="s">
        <v>2266</v>
      </c>
      <c r="C15" s="5" t="s">
        <v>2267</v>
      </c>
      <c r="D15" s="5" t="s">
        <v>2268</v>
      </c>
      <c r="E15" s="5" t="s">
        <v>2261</v>
      </c>
      <c r="F15" t="s">
        <v>2269</v>
      </c>
    </row>
    <row r="16" spans="1:6" ht="28" x14ac:dyDescent="0.15">
      <c r="A16" s="5" t="s">
        <v>2270</v>
      </c>
      <c r="B16" s="5" t="s">
        <v>2271</v>
      </c>
      <c r="C16" s="5" t="s">
        <v>2272</v>
      </c>
      <c r="D16" s="5" t="s">
        <v>2273</v>
      </c>
      <c r="E16" s="5" t="s">
        <v>2274</v>
      </c>
      <c r="F16" t="s">
        <v>2275</v>
      </c>
    </row>
    <row r="17" spans="1:6" ht="28" x14ac:dyDescent="0.15">
      <c r="A17" s="5" t="s">
        <v>2276</v>
      </c>
      <c r="B17" s="5" t="s">
        <v>2277</v>
      </c>
      <c r="C17" s="5" t="s">
        <v>2278</v>
      </c>
      <c r="D17" s="5" t="s">
        <v>2279</v>
      </c>
      <c r="E17" s="5" t="s">
        <v>2280</v>
      </c>
      <c r="F17" t="s">
        <v>2281</v>
      </c>
    </row>
    <row r="18" spans="1:6" ht="28" x14ac:dyDescent="0.15">
      <c r="A18" s="5" t="s">
        <v>2282</v>
      </c>
      <c r="B18" s="5" t="s">
        <v>2283</v>
      </c>
      <c r="C18" s="5" t="s">
        <v>2284</v>
      </c>
      <c r="D18" s="5" t="s">
        <v>2285</v>
      </c>
      <c r="E18" s="5" t="s">
        <v>2280</v>
      </c>
      <c r="F18" t="s">
        <v>2286</v>
      </c>
    </row>
    <row r="19" spans="1:6" ht="28" x14ac:dyDescent="0.15">
      <c r="A19" s="5" t="s">
        <v>2287</v>
      </c>
      <c r="B19" s="5" t="s">
        <v>2288</v>
      </c>
      <c r="C19" s="5" t="s">
        <v>2289</v>
      </c>
      <c r="D19" s="5" t="s">
        <v>1426</v>
      </c>
      <c r="E19" s="5" t="s">
        <v>2280</v>
      </c>
      <c r="F19" t="s">
        <v>2290</v>
      </c>
    </row>
  </sheetData>
  <autoFilter ref="A1:E1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8" customWidth="1"/>
    <col min="2" max="2" width="43" customWidth="1"/>
    <col min="3" max="3" width="41" customWidth="1"/>
    <col min="4" max="5" width="48" customWidth="1"/>
    <col min="6" max="6" width="22" customWidth="1"/>
  </cols>
  <sheetData>
    <row r="1" spans="1:6" ht="28" customHeight="1" x14ac:dyDescent="0.15">
      <c r="A1" s="3" t="s">
        <v>2291</v>
      </c>
      <c r="B1" s="3" t="s">
        <v>2292</v>
      </c>
      <c r="C1" s="3" t="s">
        <v>2293</v>
      </c>
      <c r="D1" s="3" t="s">
        <v>2294</v>
      </c>
      <c r="E1" s="3" t="s">
        <v>2295</v>
      </c>
      <c r="F1" s="3" t="s">
        <v>2296</v>
      </c>
    </row>
    <row r="2" spans="1:6" ht="28" x14ac:dyDescent="0.15">
      <c r="A2" s="5" t="s">
        <v>48</v>
      </c>
      <c r="B2" s="5" t="s">
        <v>2297</v>
      </c>
      <c r="C2" s="5" t="s">
        <v>2298</v>
      </c>
      <c r="D2" s="5" t="s">
        <v>2299</v>
      </c>
      <c r="E2" s="5" t="s">
        <v>2300</v>
      </c>
      <c r="F2" s="5" t="s">
        <v>2301</v>
      </c>
    </row>
    <row r="3" spans="1:6" ht="14" x14ac:dyDescent="0.15">
      <c r="A3" s="5" t="s">
        <v>48</v>
      </c>
      <c r="B3" s="5" t="s">
        <v>2302</v>
      </c>
      <c r="C3" s="5" t="s">
        <v>2303</v>
      </c>
      <c r="D3" s="5" t="s">
        <v>2304</v>
      </c>
      <c r="E3" s="5" t="s">
        <v>2305</v>
      </c>
      <c r="F3" s="5" t="s">
        <v>2301</v>
      </c>
    </row>
    <row r="4" spans="1:6" ht="14" x14ac:dyDescent="0.15">
      <c r="A4" s="5" t="s">
        <v>48</v>
      </c>
      <c r="B4" s="5" t="s">
        <v>2306</v>
      </c>
      <c r="C4" s="5" t="s">
        <v>2307</v>
      </c>
      <c r="D4" s="5" t="s">
        <v>2308</v>
      </c>
      <c r="E4" s="5" t="s">
        <v>2309</v>
      </c>
      <c r="F4" s="5" t="s">
        <v>2310</v>
      </c>
    </row>
    <row r="5" spans="1:6" ht="28" x14ac:dyDescent="0.15">
      <c r="A5" s="5" t="s">
        <v>48</v>
      </c>
      <c r="B5" s="5" t="s">
        <v>2311</v>
      </c>
      <c r="C5" s="5" t="s">
        <v>2312</v>
      </c>
      <c r="D5" s="5" t="s">
        <v>2313</v>
      </c>
      <c r="E5" s="5" t="s">
        <v>2314</v>
      </c>
      <c r="F5" s="5" t="s">
        <v>2301</v>
      </c>
    </row>
    <row r="6" spans="1:6" ht="28" x14ac:dyDescent="0.15">
      <c r="A6" s="5" t="s">
        <v>2315</v>
      </c>
      <c r="B6" s="5" t="s">
        <v>2316</v>
      </c>
      <c r="C6" s="5" t="s">
        <v>2317</v>
      </c>
      <c r="D6" s="5" t="s">
        <v>2318</v>
      </c>
      <c r="E6" s="5" t="s">
        <v>2319</v>
      </c>
      <c r="F6" s="5" t="s">
        <v>2301</v>
      </c>
    </row>
    <row r="7" spans="1:6" ht="14" x14ac:dyDescent="0.15">
      <c r="A7" s="5" t="s">
        <v>2315</v>
      </c>
      <c r="B7" s="5" t="s">
        <v>2320</v>
      </c>
      <c r="C7" s="5" t="s">
        <v>2321</v>
      </c>
      <c r="D7" s="5" t="s">
        <v>2322</v>
      </c>
      <c r="E7" s="5" t="s">
        <v>2323</v>
      </c>
      <c r="F7" s="5" t="s">
        <v>2301</v>
      </c>
    </row>
    <row r="8" spans="1:6" ht="14" x14ac:dyDescent="0.15">
      <c r="A8" s="5" t="s">
        <v>241</v>
      </c>
      <c r="B8" s="5" t="s">
        <v>2324</v>
      </c>
      <c r="C8" s="5" t="s">
        <v>2325</v>
      </c>
      <c r="D8" s="5" t="s">
        <v>2326</v>
      </c>
      <c r="E8" s="5" t="s">
        <v>2327</v>
      </c>
      <c r="F8" s="5" t="s">
        <v>2301</v>
      </c>
    </row>
    <row r="9" spans="1:6" ht="14" x14ac:dyDescent="0.15">
      <c r="A9" s="5" t="s">
        <v>241</v>
      </c>
      <c r="B9" s="5" t="s">
        <v>2328</v>
      </c>
      <c r="C9" s="5" t="s">
        <v>2329</v>
      </c>
      <c r="D9" s="5" t="s">
        <v>2330</v>
      </c>
      <c r="E9" s="5" t="s">
        <v>2331</v>
      </c>
      <c r="F9" s="5" t="s">
        <v>2301</v>
      </c>
    </row>
    <row r="10" spans="1:6" ht="14" x14ac:dyDescent="0.15">
      <c r="A10" s="5" t="s">
        <v>241</v>
      </c>
      <c r="B10" s="5" t="s">
        <v>2332</v>
      </c>
      <c r="C10" s="5" t="s">
        <v>2333</v>
      </c>
      <c r="D10" s="5" t="s">
        <v>2334</v>
      </c>
      <c r="E10" s="5" t="s">
        <v>2335</v>
      </c>
      <c r="F10" s="5" t="s">
        <v>2310</v>
      </c>
    </row>
    <row r="11" spans="1:6" ht="14" x14ac:dyDescent="0.15">
      <c r="A11" s="5" t="s">
        <v>241</v>
      </c>
      <c r="B11" s="5" t="s">
        <v>2336</v>
      </c>
      <c r="C11" s="5" t="s">
        <v>2337</v>
      </c>
      <c r="D11" s="5" t="s">
        <v>2338</v>
      </c>
      <c r="E11" s="5" t="s">
        <v>2339</v>
      </c>
      <c r="F11" s="5" t="s">
        <v>2301</v>
      </c>
    </row>
    <row r="12" spans="1:6" ht="14" x14ac:dyDescent="0.15">
      <c r="A12" s="5" t="s">
        <v>241</v>
      </c>
      <c r="B12" s="5" t="s">
        <v>2340</v>
      </c>
      <c r="C12" s="5" t="s">
        <v>2341</v>
      </c>
      <c r="D12" s="5" t="s">
        <v>2342</v>
      </c>
      <c r="E12" s="5" t="s">
        <v>2343</v>
      </c>
      <c r="F12" s="5" t="s">
        <v>2310</v>
      </c>
    </row>
    <row r="13" spans="1:6" ht="28" x14ac:dyDescent="0.15">
      <c r="A13" s="5" t="s">
        <v>241</v>
      </c>
      <c r="B13" s="5" t="s">
        <v>2344</v>
      </c>
      <c r="C13" s="5" t="s">
        <v>2345</v>
      </c>
      <c r="D13" s="5" t="s">
        <v>2346</v>
      </c>
      <c r="E13" s="5" t="s">
        <v>2347</v>
      </c>
      <c r="F13" s="5" t="s">
        <v>2301</v>
      </c>
    </row>
    <row r="14" spans="1:6" ht="14" x14ac:dyDescent="0.15">
      <c r="A14" s="5" t="s">
        <v>1187</v>
      </c>
      <c r="B14" s="5" t="s">
        <v>2348</v>
      </c>
      <c r="C14" s="5" t="s">
        <v>2349</v>
      </c>
      <c r="D14" s="5" t="s">
        <v>2350</v>
      </c>
      <c r="E14" s="5" t="s">
        <v>2351</v>
      </c>
      <c r="F14" s="5" t="s">
        <v>2301</v>
      </c>
    </row>
    <row r="15" spans="1:6" ht="28" x14ac:dyDescent="0.15">
      <c r="A15" s="5" t="s">
        <v>1187</v>
      </c>
      <c r="B15" s="5" t="s">
        <v>2352</v>
      </c>
      <c r="C15" s="5" t="s">
        <v>2353</v>
      </c>
      <c r="D15" s="5" t="s">
        <v>2354</v>
      </c>
      <c r="E15" s="5" t="s">
        <v>2355</v>
      </c>
      <c r="F15" s="5" t="s">
        <v>2310</v>
      </c>
    </row>
    <row r="16" spans="1:6" ht="14" x14ac:dyDescent="0.15">
      <c r="A16" s="5" t="s">
        <v>1412</v>
      </c>
      <c r="B16" s="5" t="s">
        <v>2356</v>
      </c>
      <c r="C16" s="5" t="s">
        <v>2357</v>
      </c>
      <c r="D16" s="5" t="s">
        <v>2358</v>
      </c>
      <c r="E16" s="5" t="s">
        <v>2359</v>
      </c>
      <c r="F16" s="5" t="s">
        <v>2301</v>
      </c>
    </row>
    <row r="17" spans="1:6" ht="14" x14ac:dyDescent="0.15">
      <c r="A17" s="5" t="s">
        <v>1412</v>
      </c>
      <c r="B17" s="5" t="s">
        <v>2360</v>
      </c>
      <c r="C17" s="5" t="s">
        <v>2361</v>
      </c>
      <c r="D17" s="5" t="s">
        <v>2362</v>
      </c>
      <c r="E17" s="5" t="s">
        <v>2363</v>
      </c>
      <c r="F17" s="5" t="s">
        <v>2310</v>
      </c>
    </row>
    <row r="18" spans="1:6" ht="14" x14ac:dyDescent="0.15">
      <c r="A18" s="5" t="s">
        <v>1412</v>
      </c>
      <c r="B18" s="5" t="s">
        <v>2364</v>
      </c>
      <c r="C18" s="5" t="s">
        <v>2365</v>
      </c>
      <c r="D18" s="5" t="s">
        <v>2366</v>
      </c>
      <c r="E18" s="5" t="s">
        <v>2367</v>
      </c>
      <c r="F18" s="5" t="s">
        <v>2301</v>
      </c>
    </row>
    <row r="19" spans="1:6" ht="28" x14ac:dyDescent="0.15">
      <c r="A19" s="5" t="s">
        <v>2368</v>
      </c>
      <c r="B19" s="5" t="s">
        <v>2369</v>
      </c>
      <c r="C19" s="5" t="s">
        <v>2370</v>
      </c>
      <c r="D19" s="5" t="s">
        <v>2371</v>
      </c>
      <c r="E19" s="5" t="s">
        <v>2372</v>
      </c>
      <c r="F19" s="5" t="s">
        <v>2301</v>
      </c>
    </row>
    <row r="20" spans="1:6" ht="14" x14ac:dyDescent="0.15">
      <c r="A20" s="5" t="s">
        <v>2368</v>
      </c>
      <c r="B20" s="5" t="s">
        <v>2373</v>
      </c>
      <c r="C20" s="5" t="s">
        <v>2374</v>
      </c>
      <c r="D20" s="5" t="s">
        <v>2375</v>
      </c>
      <c r="E20" s="5" t="s">
        <v>2376</v>
      </c>
      <c r="F20" s="5" t="s">
        <v>2310</v>
      </c>
    </row>
    <row r="21" spans="1:6" ht="28" x14ac:dyDescent="0.15">
      <c r="A21" s="5" t="s">
        <v>2377</v>
      </c>
      <c r="B21" s="5" t="s">
        <v>2378</v>
      </c>
      <c r="C21" s="5" t="s">
        <v>2379</v>
      </c>
      <c r="D21" s="5" t="s">
        <v>2380</v>
      </c>
      <c r="E21" s="5" t="s">
        <v>2381</v>
      </c>
      <c r="F21" s="5" t="s">
        <v>2310</v>
      </c>
    </row>
    <row r="22" spans="1:6" ht="28" x14ac:dyDescent="0.15">
      <c r="A22" s="5" t="s">
        <v>1187</v>
      </c>
      <c r="B22" s="5" t="s">
        <v>2382</v>
      </c>
      <c r="C22" s="5" t="s">
        <v>2383</v>
      </c>
      <c r="D22" s="5" t="s">
        <v>2384</v>
      </c>
      <c r="E22" s="5" t="s">
        <v>2385</v>
      </c>
      <c r="F22" s="5" t="s">
        <v>2301</v>
      </c>
    </row>
    <row r="23" spans="1:6" ht="14" x14ac:dyDescent="0.15">
      <c r="A23" s="5" t="s">
        <v>1187</v>
      </c>
      <c r="B23" s="5" t="s">
        <v>2386</v>
      </c>
      <c r="C23" s="5" t="s">
        <v>2387</v>
      </c>
      <c r="D23" s="5" t="s">
        <v>2388</v>
      </c>
      <c r="E23" s="5" t="s">
        <v>2389</v>
      </c>
      <c r="F23" s="5" t="s">
        <v>2310</v>
      </c>
    </row>
    <row r="24" spans="1:6" ht="14" x14ac:dyDescent="0.15">
      <c r="A24" s="5" t="s">
        <v>241</v>
      </c>
      <c r="B24" s="5" t="s">
        <v>2390</v>
      </c>
      <c r="C24" s="5" t="s">
        <v>2391</v>
      </c>
      <c r="D24" s="5" t="s">
        <v>2392</v>
      </c>
      <c r="E24" s="5" t="s">
        <v>2393</v>
      </c>
      <c r="F24" s="5" t="s">
        <v>2301</v>
      </c>
    </row>
    <row r="25" spans="1:6" ht="28" x14ac:dyDescent="0.15">
      <c r="A25" s="5" t="s">
        <v>241</v>
      </c>
      <c r="B25" s="5" t="s">
        <v>2394</v>
      </c>
      <c r="C25" s="5" t="s">
        <v>2395</v>
      </c>
      <c r="D25" s="5" t="s">
        <v>2396</v>
      </c>
      <c r="E25" s="5" t="s">
        <v>2397</v>
      </c>
      <c r="F25" s="5" t="s">
        <v>2398</v>
      </c>
    </row>
    <row r="26" spans="1:6" ht="28" x14ac:dyDescent="0.15">
      <c r="A26" s="5" t="s">
        <v>2399</v>
      </c>
      <c r="B26" s="5" t="s">
        <v>2400</v>
      </c>
      <c r="C26" s="5" t="s">
        <v>2401</v>
      </c>
      <c r="D26" s="5" t="s">
        <v>2402</v>
      </c>
      <c r="E26" s="5" t="s">
        <v>2403</v>
      </c>
      <c r="F26" s="5" t="s">
        <v>2301</v>
      </c>
    </row>
    <row r="27" spans="1:6" ht="14" x14ac:dyDescent="0.15">
      <c r="A27" s="5" t="s">
        <v>2404</v>
      </c>
      <c r="B27" s="5" t="s">
        <v>2405</v>
      </c>
      <c r="C27" s="5" t="s">
        <v>2406</v>
      </c>
      <c r="D27" s="5" t="s">
        <v>2407</v>
      </c>
      <c r="E27" s="5" t="s">
        <v>2408</v>
      </c>
      <c r="F27" s="5" t="s">
        <v>2310</v>
      </c>
    </row>
  </sheetData>
  <autoFilter ref="A1:F2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8" customWidth="1"/>
    <col min="2" max="2" width="48" customWidth="1"/>
    <col min="3" max="3" width="47" customWidth="1"/>
    <col min="4" max="4" width="29" customWidth="1"/>
    <col min="5" max="5" width="40" customWidth="1"/>
    <col min="6" max="6" width="18" customWidth="1"/>
  </cols>
  <sheetData>
    <row r="1" spans="1:6" ht="28" customHeight="1" x14ac:dyDescent="0.15">
      <c r="A1" s="3" t="s">
        <v>2409</v>
      </c>
      <c r="B1" s="3" t="s">
        <v>2410</v>
      </c>
      <c r="C1" s="3" t="s">
        <v>2411</v>
      </c>
      <c r="D1" s="3" t="s">
        <v>2412</v>
      </c>
      <c r="E1" s="3" t="s">
        <v>2413</v>
      </c>
      <c r="F1" s="3" t="s">
        <v>38</v>
      </c>
    </row>
    <row r="2" spans="1:6" ht="14" x14ac:dyDescent="0.15">
      <c r="A2" s="5">
        <v>1</v>
      </c>
      <c r="B2" s="5" t="s">
        <v>2414</v>
      </c>
      <c r="C2" s="5" t="s">
        <v>2415</v>
      </c>
      <c r="D2" s="5" t="s">
        <v>2416</v>
      </c>
      <c r="E2" s="5" t="s">
        <v>2417</v>
      </c>
      <c r="F2" s="5" t="s">
        <v>2418</v>
      </c>
    </row>
    <row r="3" spans="1:6" ht="14" x14ac:dyDescent="0.15">
      <c r="A3" s="5">
        <v>2</v>
      </c>
      <c r="B3" s="5" t="s">
        <v>2419</v>
      </c>
      <c r="C3" s="5" t="s">
        <v>2420</v>
      </c>
      <c r="D3" s="5" t="s">
        <v>2421</v>
      </c>
      <c r="E3" s="5" t="s">
        <v>2422</v>
      </c>
      <c r="F3" s="5" t="s">
        <v>2418</v>
      </c>
    </row>
    <row r="4" spans="1:6" ht="14" x14ac:dyDescent="0.15">
      <c r="A4" s="5">
        <v>3</v>
      </c>
      <c r="B4" s="5" t="s">
        <v>2423</v>
      </c>
      <c r="C4" s="5" t="s">
        <v>2424</v>
      </c>
      <c r="D4" s="5" t="s">
        <v>2425</v>
      </c>
      <c r="E4" s="5" t="s">
        <v>2426</v>
      </c>
      <c r="F4" s="5" t="s">
        <v>2418</v>
      </c>
    </row>
    <row r="5" spans="1:6" ht="14" x14ac:dyDescent="0.15">
      <c r="A5" s="5">
        <v>4</v>
      </c>
      <c r="B5" s="5" t="s">
        <v>2427</v>
      </c>
      <c r="C5" s="5" t="s">
        <v>2428</v>
      </c>
      <c r="D5" s="5" t="s">
        <v>2429</v>
      </c>
      <c r="E5" s="5" t="s">
        <v>2430</v>
      </c>
      <c r="F5" s="5" t="s">
        <v>2418</v>
      </c>
    </row>
    <row r="6" spans="1:6" ht="14" x14ac:dyDescent="0.15">
      <c r="A6" s="5">
        <v>5</v>
      </c>
      <c r="B6" s="5" t="s">
        <v>2431</v>
      </c>
      <c r="C6" s="5" t="s">
        <v>2432</v>
      </c>
      <c r="D6" s="5" t="s">
        <v>2433</v>
      </c>
      <c r="E6" s="5" t="s">
        <v>2434</v>
      </c>
      <c r="F6" s="5" t="s">
        <v>2418</v>
      </c>
    </row>
    <row r="7" spans="1:6" ht="14" x14ac:dyDescent="0.15">
      <c r="A7" s="5">
        <v>6</v>
      </c>
      <c r="B7" s="5" t="s">
        <v>2435</v>
      </c>
      <c r="C7" s="5" t="s">
        <v>2436</v>
      </c>
      <c r="D7" s="5" t="s">
        <v>2437</v>
      </c>
      <c r="E7" s="5" t="s">
        <v>2438</v>
      </c>
      <c r="F7" s="5" t="s">
        <v>2094</v>
      </c>
    </row>
    <row r="8" spans="1:6" ht="14" x14ac:dyDescent="0.15">
      <c r="A8" s="5">
        <v>7</v>
      </c>
      <c r="B8" s="5" t="s">
        <v>2439</v>
      </c>
      <c r="C8" s="5" t="s">
        <v>2440</v>
      </c>
      <c r="D8" s="5" t="s">
        <v>2441</v>
      </c>
      <c r="E8" s="5" t="s">
        <v>2442</v>
      </c>
      <c r="F8" s="5" t="s">
        <v>2094</v>
      </c>
    </row>
    <row r="9" spans="1:6" ht="14" x14ac:dyDescent="0.15">
      <c r="A9" s="5">
        <v>8</v>
      </c>
      <c r="B9" s="5" t="s">
        <v>2443</v>
      </c>
      <c r="C9" s="5" t="s">
        <v>2444</v>
      </c>
      <c r="D9" s="5" t="s">
        <v>2445</v>
      </c>
      <c r="E9" s="5" t="s">
        <v>2446</v>
      </c>
      <c r="F9" s="5" t="s">
        <v>2094</v>
      </c>
    </row>
    <row r="10" spans="1:6" ht="14" x14ac:dyDescent="0.15">
      <c r="A10" s="5">
        <v>9</v>
      </c>
      <c r="B10" s="5" t="s">
        <v>2447</v>
      </c>
      <c r="C10" s="5" t="s">
        <v>2448</v>
      </c>
      <c r="D10" s="5" t="s">
        <v>2449</v>
      </c>
      <c r="E10" s="5" t="s">
        <v>2450</v>
      </c>
      <c r="F10" s="5" t="s">
        <v>2418</v>
      </c>
    </row>
    <row r="11" spans="1:6" ht="14" x14ac:dyDescent="0.15">
      <c r="A11" s="5">
        <v>10</v>
      </c>
      <c r="B11" s="5" t="s">
        <v>2451</v>
      </c>
      <c r="C11" s="5" t="s">
        <v>2452</v>
      </c>
      <c r="D11" s="5" t="s">
        <v>2453</v>
      </c>
      <c r="E11" s="5" t="s">
        <v>2454</v>
      </c>
      <c r="F11" s="5" t="s">
        <v>2094</v>
      </c>
    </row>
    <row r="12" spans="1:6" ht="14" x14ac:dyDescent="0.15">
      <c r="A12" s="5">
        <v>11</v>
      </c>
      <c r="B12" s="5" t="s">
        <v>2455</v>
      </c>
      <c r="C12" s="5" t="s">
        <v>2456</v>
      </c>
      <c r="D12" s="5" t="s">
        <v>2457</v>
      </c>
      <c r="E12" s="5" t="s">
        <v>2458</v>
      </c>
      <c r="F12" s="5" t="s">
        <v>2418</v>
      </c>
    </row>
    <row r="13" spans="1:6" ht="14" x14ac:dyDescent="0.15">
      <c r="A13" s="5">
        <v>12</v>
      </c>
      <c r="B13" s="5" t="s">
        <v>2459</v>
      </c>
      <c r="C13" s="5" t="s">
        <v>2460</v>
      </c>
      <c r="D13" s="5" t="s">
        <v>2461</v>
      </c>
      <c r="E13" s="5" t="s">
        <v>2462</v>
      </c>
      <c r="F13" s="5" t="s">
        <v>2418</v>
      </c>
    </row>
    <row r="14" spans="1:6" ht="28" x14ac:dyDescent="0.15">
      <c r="A14" s="5" t="s">
        <v>2463</v>
      </c>
      <c r="B14" s="5" t="s">
        <v>2464</v>
      </c>
      <c r="C14" s="5" t="s">
        <v>2465</v>
      </c>
      <c r="D14" s="5" t="s">
        <v>2466</v>
      </c>
      <c r="E14" s="5" t="s">
        <v>2467</v>
      </c>
      <c r="F14" s="5" t="s">
        <v>2418</v>
      </c>
    </row>
    <row r="15" spans="1:6" ht="28" x14ac:dyDescent="0.15">
      <c r="A15" s="5" t="s">
        <v>2468</v>
      </c>
      <c r="B15" s="5" t="s">
        <v>2469</v>
      </c>
      <c r="C15" s="5" t="s">
        <v>2470</v>
      </c>
      <c r="D15" s="5" t="s">
        <v>2471</v>
      </c>
      <c r="E15" s="5" t="s">
        <v>2472</v>
      </c>
      <c r="F15" s="5" t="s">
        <v>2094</v>
      </c>
    </row>
    <row r="16" spans="1:6" ht="14" x14ac:dyDescent="0.15">
      <c r="A16" s="5" t="s">
        <v>2473</v>
      </c>
      <c r="B16" s="5" t="s">
        <v>2474</v>
      </c>
      <c r="C16" s="5" t="s">
        <v>2475</v>
      </c>
      <c r="D16" s="5" t="s">
        <v>2476</v>
      </c>
      <c r="E16" s="5" t="s">
        <v>2477</v>
      </c>
      <c r="F16" s="5" t="s">
        <v>2094</v>
      </c>
    </row>
    <row r="17" spans="1:6" ht="28" x14ac:dyDescent="0.15">
      <c r="A17" s="5" t="s">
        <v>2478</v>
      </c>
      <c r="B17" s="5" t="s">
        <v>2479</v>
      </c>
      <c r="C17" s="5" t="s">
        <v>2480</v>
      </c>
      <c r="D17" s="5" t="s">
        <v>2481</v>
      </c>
      <c r="E17" s="5" t="s">
        <v>2482</v>
      </c>
      <c r="F17" s="5" t="s">
        <v>2418</v>
      </c>
    </row>
    <row r="18" spans="1:6" ht="28" x14ac:dyDescent="0.15">
      <c r="A18" s="5" t="s">
        <v>2483</v>
      </c>
      <c r="B18" s="5" t="s">
        <v>2484</v>
      </c>
      <c r="C18" s="5" t="s">
        <v>2485</v>
      </c>
      <c r="D18" s="5" t="s">
        <v>2486</v>
      </c>
      <c r="E18" s="5" t="s">
        <v>2487</v>
      </c>
      <c r="F18" s="5" t="s">
        <v>2094</v>
      </c>
    </row>
  </sheetData>
  <autoFilter ref="A1:F1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4" customWidth="1"/>
    <col min="2" max="2" width="26" customWidth="1"/>
    <col min="3" max="4" width="48" customWidth="1"/>
    <col min="5" max="5" width="37" customWidth="1"/>
    <col min="6" max="6" width="29" customWidth="1"/>
    <col min="7" max="7" width="45" customWidth="1"/>
    <col min="8" max="8" width="48" customWidth="1"/>
    <col min="9" max="9" width="18" customWidth="1"/>
  </cols>
  <sheetData>
    <row r="1" spans="1:9" ht="28" customHeight="1" x14ac:dyDescent="0.15">
      <c r="A1" s="3" t="s">
        <v>1566</v>
      </c>
      <c r="B1" s="3" t="s">
        <v>1564</v>
      </c>
      <c r="C1" s="3" t="s">
        <v>2488</v>
      </c>
      <c r="D1" s="3" t="s">
        <v>2489</v>
      </c>
      <c r="E1" s="3" t="s">
        <v>2490</v>
      </c>
      <c r="F1" s="3" t="s">
        <v>2211</v>
      </c>
      <c r="G1" s="3" t="s">
        <v>2491</v>
      </c>
      <c r="H1" s="3" t="s">
        <v>2492</v>
      </c>
      <c r="I1" s="3" t="s">
        <v>2493</v>
      </c>
    </row>
    <row r="2" spans="1:9" ht="28" x14ac:dyDescent="0.15">
      <c r="A2" s="5" t="s">
        <v>2140</v>
      </c>
      <c r="B2" s="5" t="s">
        <v>2494</v>
      </c>
      <c r="C2" s="5" t="s">
        <v>2053</v>
      </c>
      <c r="D2" s="5" t="s">
        <v>2495</v>
      </c>
      <c r="E2" s="5" t="s">
        <v>2496</v>
      </c>
      <c r="F2" s="5" t="s">
        <v>2261</v>
      </c>
      <c r="G2" s="5" t="s">
        <v>2497</v>
      </c>
      <c r="H2" s="5" t="s">
        <v>2498</v>
      </c>
      <c r="I2" s="5" t="s">
        <v>1608</v>
      </c>
    </row>
    <row r="3" spans="1:9" ht="14" x14ac:dyDescent="0.15">
      <c r="A3" s="5" t="s">
        <v>2499</v>
      </c>
      <c r="B3" s="5" t="s">
        <v>2494</v>
      </c>
      <c r="C3" s="5" t="s">
        <v>2500</v>
      </c>
      <c r="D3" s="5" t="s">
        <v>2501</v>
      </c>
      <c r="E3" s="5" t="s">
        <v>2502</v>
      </c>
      <c r="F3" s="5" t="s">
        <v>2261</v>
      </c>
      <c r="G3" s="5" t="s">
        <v>2503</v>
      </c>
      <c r="H3" s="5" t="s">
        <v>2504</v>
      </c>
      <c r="I3" s="5" t="s">
        <v>1608</v>
      </c>
    </row>
    <row r="4" spans="1:9" ht="14" x14ac:dyDescent="0.15">
      <c r="A4" s="5" t="s">
        <v>2505</v>
      </c>
      <c r="B4" s="5" t="s">
        <v>2494</v>
      </c>
      <c r="C4" s="5" t="s">
        <v>2506</v>
      </c>
      <c r="D4" s="5" t="s">
        <v>2507</v>
      </c>
      <c r="E4" s="5" t="s">
        <v>2508</v>
      </c>
      <c r="F4" s="5" t="s">
        <v>2261</v>
      </c>
      <c r="G4" s="5" t="s">
        <v>2509</v>
      </c>
      <c r="H4" s="5" t="s">
        <v>2510</v>
      </c>
      <c r="I4" s="5" t="s">
        <v>1608</v>
      </c>
    </row>
    <row r="5" spans="1:9" ht="14" x14ac:dyDescent="0.15">
      <c r="A5" s="5" t="s">
        <v>2151</v>
      </c>
      <c r="B5" s="5" t="s">
        <v>2511</v>
      </c>
      <c r="C5" s="5" t="s">
        <v>2512</v>
      </c>
      <c r="D5" s="5" t="s">
        <v>2513</v>
      </c>
      <c r="E5" s="5" t="s">
        <v>2514</v>
      </c>
      <c r="F5" s="5" t="s">
        <v>2515</v>
      </c>
      <c r="G5" s="5" t="s">
        <v>2516</v>
      </c>
      <c r="H5" s="5" t="s">
        <v>2517</v>
      </c>
      <c r="I5" s="5" t="s">
        <v>1608</v>
      </c>
    </row>
    <row r="6" spans="1:9" ht="14" x14ac:dyDescent="0.15">
      <c r="A6" s="5" t="s">
        <v>2518</v>
      </c>
      <c r="B6" s="5" t="s">
        <v>2519</v>
      </c>
      <c r="C6" s="5" t="s">
        <v>2520</v>
      </c>
      <c r="D6" s="5" t="s">
        <v>2521</v>
      </c>
      <c r="E6" s="5" t="s">
        <v>2522</v>
      </c>
      <c r="F6" s="5" t="s">
        <v>2523</v>
      </c>
      <c r="G6" s="5" t="s">
        <v>2524</v>
      </c>
      <c r="H6" s="5" t="s">
        <v>2525</v>
      </c>
      <c r="I6" s="5" t="s">
        <v>1608</v>
      </c>
    </row>
    <row r="7" spans="1:9" ht="14" x14ac:dyDescent="0.15">
      <c r="A7" s="5" t="s">
        <v>2526</v>
      </c>
      <c r="B7" s="5" t="s">
        <v>2527</v>
      </c>
      <c r="C7" s="5" t="s">
        <v>2528</v>
      </c>
      <c r="D7" s="5" t="s">
        <v>2529</v>
      </c>
      <c r="E7" s="5" t="s">
        <v>2530</v>
      </c>
      <c r="F7" s="5" t="s">
        <v>2280</v>
      </c>
      <c r="G7" s="5" t="s">
        <v>2531</v>
      </c>
      <c r="H7" s="5" t="s">
        <v>2532</v>
      </c>
      <c r="I7" s="5" t="s">
        <v>1608</v>
      </c>
    </row>
    <row r="8" spans="1:9" ht="14" x14ac:dyDescent="0.15">
      <c r="A8" s="5" t="s">
        <v>2533</v>
      </c>
      <c r="B8" s="5" t="s">
        <v>2534</v>
      </c>
      <c r="C8" s="5" t="s">
        <v>2535</v>
      </c>
      <c r="D8" s="5" t="s">
        <v>2536</v>
      </c>
      <c r="E8" s="5" t="s">
        <v>2537</v>
      </c>
      <c r="F8" s="5" t="s">
        <v>2216</v>
      </c>
      <c r="G8" s="5" t="s">
        <v>2538</v>
      </c>
      <c r="H8" s="5" t="s">
        <v>2539</v>
      </c>
      <c r="I8" s="5" t="s">
        <v>1608</v>
      </c>
    </row>
    <row r="9" spans="1:9" ht="14" x14ac:dyDescent="0.15">
      <c r="A9" s="5" t="s">
        <v>2251</v>
      </c>
      <c r="B9" s="5" t="s">
        <v>2540</v>
      </c>
      <c r="C9" s="5" t="s">
        <v>2541</v>
      </c>
      <c r="D9" s="5" t="s">
        <v>2542</v>
      </c>
      <c r="E9" s="5" t="s">
        <v>2543</v>
      </c>
      <c r="F9" s="5" t="s">
        <v>2254</v>
      </c>
      <c r="G9" s="5" t="s">
        <v>2544</v>
      </c>
      <c r="H9" s="5" t="s">
        <v>2545</v>
      </c>
      <c r="I9" s="5" t="s">
        <v>1608</v>
      </c>
    </row>
    <row r="10" spans="1:9" ht="28" x14ac:dyDescent="0.15">
      <c r="A10" s="5" t="s">
        <v>2257</v>
      </c>
      <c r="B10" s="5" t="s">
        <v>2494</v>
      </c>
      <c r="C10" s="5" t="s">
        <v>2546</v>
      </c>
      <c r="D10" s="5" t="s">
        <v>2547</v>
      </c>
      <c r="E10" s="5" t="s">
        <v>2548</v>
      </c>
      <c r="F10" s="5" t="s">
        <v>2260</v>
      </c>
      <c r="G10" s="5" t="s">
        <v>2503</v>
      </c>
      <c r="H10" s="5" t="s">
        <v>2549</v>
      </c>
      <c r="I10" s="5" t="s">
        <v>1608</v>
      </c>
    </row>
    <row r="11" spans="1:9" ht="28" x14ac:dyDescent="0.15">
      <c r="A11" s="5" t="s">
        <v>2140</v>
      </c>
      <c r="B11" s="5" t="s">
        <v>2494</v>
      </c>
      <c r="C11" s="5" t="s">
        <v>2053</v>
      </c>
      <c r="D11" s="5" t="s">
        <v>2550</v>
      </c>
      <c r="E11" s="5" t="s">
        <v>2496</v>
      </c>
      <c r="F11" s="5" t="s">
        <v>1766</v>
      </c>
      <c r="G11" s="5" t="s">
        <v>2551</v>
      </c>
      <c r="H11" s="5" t="s">
        <v>2552</v>
      </c>
      <c r="I11" s="5" t="s">
        <v>1608</v>
      </c>
    </row>
    <row r="12" spans="1:9" ht="28" x14ac:dyDescent="0.15">
      <c r="A12" s="5" t="s">
        <v>2143</v>
      </c>
      <c r="B12" s="5" t="s">
        <v>2553</v>
      </c>
      <c r="C12" s="5" t="s">
        <v>2554</v>
      </c>
      <c r="D12" s="5" t="s">
        <v>2555</v>
      </c>
      <c r="E12" s="5" t="s">
        <v>2556</v>
      </c>
      <c r="F12" s="5" t="s">
        <v>2268</v>
      </c>
      <c r="G12" s="5" t="s">
        <v>2557</v>
      </c>
      <c r="H12" s="5" t="s">
        <v>2558</v>
      </c>
      <c r="I12" s="5" t="s">
        <v>1608</v>
      </c>
    </row>
    <row r="13" spans="1:9" ht="14" x14ac:dyDescent="0.15">
      <c r="A13" s="5" t="s">
        <v>2270</v>
      </c>
      <c r="B13" s="5" t="s">
        <v>2553</v>
      </c>
      <c r="C13" s="5" t="s">
        <v>2559</v>
      </c>
      <c r="D13" s="5" t="s">
        <v>2560</v>
      </c>
      <c r="E13" s="5" t="s">
        <v>2556</v>
      </c>
      <c r="F13" s="5" t="s">
        <v>2273</v>
      </c>
      <c r="G13" s="5" t="s">
        <v>2561</v>
      </c>
      <c r="H13" s="5" t="s">
        <v>2562</v>
      </c>
      <c r="I13" s="5" t="s">
        <v>1608</v>
      </c>
    </row>
    <row r="14" spans="1:9" ht="28" x14ac:dyDescent="0.15">
      <c r="A14" s="5" t="s">
        <v>2276</v>
      </c>
      <c r="B14" s="5" t="s">
        <v>2563</v>
      </c>
      <c r="C14" s="5" t="s">
        <v>1187</v>
      </c>
      <c r="D14" s="5" t="s">
        <v>2564</v>
      </c>
      <c r="E14" s="5" t="s">
        <v>2565</v>
      </c>
      <c r="F14" s="5" t="s">
        <v>2279</v>
      </c>
      <c r="G14" s="5" t="s">
        <v>2566</v>
      </c>
      <c r="H14" s="5" t="s">
        <v>2567</v>
      </c>
      <c r="I14" s="5" t="s">
        <v>1608</v>
      </c>
    </row>
    <row r="15" spans="1:9" ht="14" x14ac:dyDescent="0.15">
      <c r="A15" s="5" t="s">
        <v>2282</v>
      </c>
      <c r="B15" s="5" t="s">
        <v>1846</v>
      </c>
      <c r="C15" s="5" t="s">
        <v>2568</v>
      </c>
      <c r="D15" s="5" t="s">
        <v>2569</v>
      </c>
      <c r="E15" s="5" t="s">
        <v>2570</v>
      </c>
      <c r="F15" s="5" t="s">
        <v>2285</v>
      </c>
      <c r="G15" s="5" t="s">
        <v>2571</v>
      </c>
      <c r="H15" s="5" t="s">
        <v>2572</v>
      </c>
      <c r="I15" s="5" t="s">
        <v>1608</v>
      </c>
    </row>
    <row r="16" spans="1:9" ht="28" x14ac:dyDescent="0.15">
      <c r="A16" s="5" t="s">
        <v>2287</v>
      </c>
      <c r="B16" s="5" t="s">
        <v>1846</v>
      </c>
      <c r="C16" s="5" t="s">
        <v>1412</v>
      </c>
      <c r="D16" s="5" t="s">
        <v>2573</v>
      </c>
      <c r="E16" s="5" t="s">
        <v>2574</v>
      </c>
      <c r="F16" s="5" t="s">
        <v>1426</v>
      </c>
      <c r="G16" s="5" t="s">
        <v>2575</v>
      </c>
      <c r="H16" s="5" t="s">
        <v>2576</v>
      </c>
      <c r="I16" s="5" t="s">
        <v>1608</v>
      </c>
    </row>
  </sheetData>
  <autoFilter ref="A1:I8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3" width="18" customWidth="1"/>
    <col min="4" max="4" width="21" customWidth="1"/>
    <col min="5" max="5" width="23" customWidth="1"/>
    <col min="6" max="6" width="48" customWidth="1"/>
    <col min="7" max="7" width="25" customWidth="1"/>
    <col min="8" max="8" width="18" customWidth="1"/>
    <col min="9" max="9" width="48" customWidth="1"/>
    <col min="10" max="11" width="18" customWidth="1"/>
  </cols>
  <sheetData>
    <row r="1" spans="1:11" ht="28" customHeight="1" x14ac:dyDescent="0.15">
      <c r="A1" s="3" t="s">
        <v>2577</v>
      </c>
      <c r="B1" s="3" t="s">
        <v>2048</v>
      </c>
      <c r="C1" s="3" t="s">
        <v>2578</v>
      </c>
      <c r="D1" s="3" t="s">
        <v>2579</v>
      </c>
      <c r="E1" s="3" t="s">
        <v>2580</v>
      </c>
      <c r="F1" s="3" t="s">
        <v>2581</v>
      </c>
      <c r="G1" s="3" t="s">
        <v>2582</v>
      </c>
      <c r="H1" s="3" t="s">
        <v>1567</v>
      </c>
      <c r="I1" s="3" t="s">
        <v>2051</v>
      </c>
      <c r="J1" s="3" t="s">
        <v>2583</v>
      </c>
      <c r="K1" s="3" t="s">
        <v>2584</v>
      </c>
    </row>
    <row r="2" spans="1:11" ht="28" x14ac:dyDescent="0.15">
      <c r="A2" s="5" t="s">
        <v>2585</v>
      </c>
      <c r="B2" s="5" t="s">
        <v>2053</v>
      </c>
      <c r="C2" s="5" t="s">
        <v>1695</v>
      </c>
      <c r="D2" s="5" t="s">
        <v>2586</v>
      </c>
      <c r="E2" s="5" t="s">
        <v>1784</v>
      </c>
      <c r="F2" s="5" t="s">
        <v>2587</v>
      </c>
      <c r="G2" s="5" t="s">
        <v>2588</v>
      </c>
      <c r="H2" s="5" t="s">
        <v>22</v>
      </c>
      <c r="I2" s="5" t="s">
        <v>2589</v>
      </c>
      <c r="J2" s="5" t="s">
        <v>2094</v>
      </c>
      <c r="K2" s="5" t="s">
        <v>1608</v>
      </c>
    </row>
    <row r="3" spans="1:11" ht="14" x14ac:dyDescent="0.15">
      <c r="A3" s="5" t="s">
        <v>2590</v>
      </c>
      <c r="B3" s="5" t="s">
        <v>2053</v>
      </c>
      <c r="C3" s="5" t="s">
        <v>2591</v>
      </c>
      <c r="D3" s="5" t="s">
        <v>1099</v>
      </c>
      <c r="E3" s="5" t="s">
        <v>2592</v>
      </c>
      <c r="F3" s="5" t="s">
        <v>2593</v>
      </c>
      <c r="G3" s="5" t="s">
        <v>2594</v>
      </c>
      <c r="H3" s="5" t="s">
        <v>22</v>
      </c>
      <c r="I3" s="5" t="s">
        <v>2595</v>
      </c>
      <c r="J3" s="5" t="s">
        <v>2107</v>
      </c>
      <c r="K3" s="5" t="s">
        <v>1608</v>
      </c>
    </row>
    <row r="4" spans="1:11" ht="28" x14ac:dyDescent="0.15">
      <c r="A4" s="5" t="s">
        <v>2596</v>
      </c>
      <c r="B4" s="5" t="s">
        <v>2053</v>
      </c>
      <c r="C4" s="5" t="s">
        <v>2597</v>
      </c>
      <c r="D4" s="5" t="s">
        <v>2598</v>
      </c>
      <c r="E4" s="5" t="s">
        <v>2599</v>
      </c>
      <c r="F4" s="5" t="s">
        <v>2600</v>
      </c>
      <c r="G4" s="5" t="s">
        <v>1846</v>
      </c>
      <c r="H4" s="5" t="s">
        <v>22</v>
      </c>
      <c r="I4" s="5" t="s">
        <v>2601</v>
      </c>
      <c r="J4" s="5" t="s">
        <v>2602</v>
      </c>
      <c r="K4" s="5" t="s">
        <v>1608</v>
      </c>
    </row>
    <row r="5" spans="1:11" ht="28" x14ac:dyDescent="0.15">
      <c r="A5" s="5" t="s">
        <v>2603</v>
      </c>
      <c r="B5" s="5" t="s">
        <v>1412</v>
      </c>
      <c r="C5" s="5" t="s">
        <v>2166</v>
      </c>
      <c r="D5" s="5" t="s">
        <v>2604</v>
      </c>
      <c r="E5" s="5" t="s">
        <v>2605</v>
      </c>
      <c r="F5" s="5" t="s">
        <v>2606</v>
      </c>
      <c r="G5" s="5" t="s">
        <v>2607</v>
      </c>
      <c r="H5" s="5" t="s">
        <v>22</v>
      </c>
      <c r="I5" s="5" t="s">
        <v>2576</v>
      </c>
      <c r="J5" s="5" t="s">
        <v>2094</v>
      </c>
      <c r="K5" s="5" t="s">
        <v>1608</v>
      </c>
    </row>
    <row r="6" spans="1:11" ht="28" x14ac:dyDescent="0.15">
      <c r="A6" s="5" t="s">
        <v>2608</v>
      </c>
      <c r="B6" s="5" t="s">
        <v>2062</v>
      </c>
      <c r="C6" s="5" t="s">
        <v>2609</v>
      </c>
      <c r="D6" s="5" t="s">
        <v>2610</v>
      </c>
      <c r="E6" s="5" t="s">
        <v>2611</v>
      </c>
      <c r="F6" s="5" t="s">
        <v>2612</v>
      </c>
      <c r="G6" s="5" t="s">
        <v>2613</v>
      </c>
      <c r="H6" s="5" t="s">
        <v>22</v>
      </c>
      <c r="I6" s="5" t="s">
        <v>2614</v>
      </c>
      <c r="J6" s="5" t="s">
        <v>2094</v>
      </c>
      <c r="K6" s="5" t="s">
        <v>1608</v>
      </c>
    </row>
    <row r="7" spans="1:11" ht="28" x14ac:dyDescent="0.15">
      <c r="A7" s="5" t="s">
        <v>2615</v>
      </c>
      <c r="B7" s="5" t="s">
        <v>2616</v>
      </c>
      <c r="C7" s="5" t="s">
        <v>2617</v>
      </c>
      <c r="D7" s="5" t="s">
        <v>2618</v>
      </c>
      <c r="E7" s="5" t="s">
        <v>2611</v>
      </c>
      <c r="F7" s="5" t="s">
        <v>2619</v>
      </c>
      <c r="G7" s="5" t="s">
        <v>2620</v>
      </c>
      <c r="H7" s="5" t="s">
        <v>22</v>
      </c>
      <c r="I7" s="5" t="s">
        <v>2621</v>
      </c>
      <c r="J7" s="5" t="s">
        <v>2418</v>
      </c>
      <c r="K7" s="5" t="s">
        <v>1608</v>
      </c>
    </row>
    <row r="8" spans="1:11" ht="14" x14ac:dyDescent="0.15">
      <c r="A8" s="5" t="s">
        <v>2622</v>
      </c>
      <c r="B8" s="5" t="s">
        <v>2086</v>
      </c>
      <c r="C8" s="5" t="s">
        <v>2087</v>
      </c>
      <c r="D8" s="5" t="s">
        <v>2623</v>
      </c>
      <c r="E8" s="5" t="s">
        <v>2599</v>
      </c>
      <c r="F8" s="5" t="s">
        <v>2624</v>
      </c>
      <c r="G8" s="5" t="s">
        <v>2625</v>
      </c>
      <c r="H8" s="5" t="s">
        <v>22</v>
      </c>
      <c r="I8" s="5" t="s">
        <v>2626</v>
      </c>
      <c r="J8" s="5" t="s">
        <v>2107</v>
      </c>
      <c r="K8" s="5" t="s">
        <v>1608</v>
      </c>
    </row>
    <row r="9" spans="1:11" ht="28" x14ac:dyDescent="0.15">
      <c r="A9" s="5" t="s">
        <v>2627</v>
      </c>
      <c r="B9" s="5" t="s">
        <v>2122</v>
      </c>
      <c r="C9" s="5" t="s">
        <v>2211</v>
      </c>
      <c r="D9" s="5" t="s">
        <v>2518</v>
      </c>
      <c r="E9" s="5" t="s">
        <v>2216</v>
      </c>
      <c r="F9" s="5" t="s">
        <v>2628</v>
      </c>
      <c r="G9" s="5" t="s">
        <v>2122</v>
      </c>
      <c r="H9" s="5" t="s">
        <v>2125</v>
      </c>
      <c r="I9" s="5" t="s">
        <v>2629</v>
      </c>
      <c r="J9" s="5" t="s">
        <v>2107</v>
      </c>
      <c r="K9" s="5" t="s">
        <v>1608</v>
      </c>
    </row>
    <row r="10" spans="1:11" x14ac:dyDescent="0.15">
      <c r="A10" t="s">
        <v>2630</v>
      </c>
      <c r="B10" t="s">
        <v>2062</v>
      </c>
      <c r="C10" t="s">
        <v>1590</v>
      </c>
      <c r="D10" t="s">
        <v>2104</v>
      </c>
      <c r="E10" t="s">
        <v>2631</v>
      </c>
      <c r="F10" t="s">
        <v>2632</v>
      </c>
      <c r="G10" t="s">
        <v>2633</v>
      </c>
      <c r="H10" t="s">
        <v>2634</v>
      </c>
      <c r="I10" t="s">
        <v>2635</v>
      </c>
      <c r="J10" t="s">
        <v>2418</v>
      </c>
      <c r="K10" t="s">
        <v>1608</v>
      </c>
    </row>
    <row r="11" spans="1:11" x14ac:dyDescent="0.15">
      <c r="A11" t="s">
        <v>2636</v>
      </c>
      <c r="B11" t="s">
        <v>2062</v>
      </c>
      <c r="C11" t="s">
        <v>2637</v>
      </c>
      <c r="D11" t="s">
        <v>2638</v>
      </c>
      <c r="E11" t="s">
        <v>2639</v>
      </c>
      <c r="F11" t="s">
        <v>2640</v>
      </c>
      <c r="G11" t="s">
        <v>235</v>
      </c>
      <c r="H11" t="s">
        <v>2641</v>
      </c>
      <c r="I11" t="s">
        <v>2642</v>
      </c>
      <c r="J11" t="s">
        <v>2418</v>
      </c>
      <c r="K11" t="s">
        <v>1608</v>
      </c>
    </row>
    <row r="12" spans="1:11" x14ac:dyDescent="0.15">
      <c r="A12" t="s">
        <v>2643</v>
      </c>
      <c r="B12" t="s">
        <v>2062</v>
      </c>
      <c r="C12" t="s">
        <v>1592</v>
      </c>
      <c r="D12" t="s">
        <v>2644</v>
      </c>
      <c r="E12" t="s">
        <v>2645</v>
      </c>
      <c r="F12" t="s">
        <v>2646</v>
      </c>
      <c r="G12" t="s">
        <v>235</v>
      </c>
      <c r="H12" t="s">
        <v>2641</v>
      </c>
      <c r="I12" t="s">
        <v>2647</v>
      </c>
      <c r="J12" t="s">
        <v>2094</v>
      </c>
      <c r="K12" t="s">
        <v>1608</v>
      </c>
    </row>
    <row r="13" spans="1:11" x14ac:dyDescent="0.15">
      <c r="A13" t="s">
        <v>2648</v>
      </c>
      <c r="B13" t="s">
        <v>2062</v>
      </c>
      <c r="C13" t="s">
        <v>2649</v>
      </c>
      <c r="D13" t="s">
        <v>2650</v>
      </c>
      <c r="E13" t="s">
        <v>2651</v>
      </c>
      <c r="F13" t="s">
        <v>2652</v>
      </c>
      <c r="G13" t="s">
        <v>183</v>
      </c>
      <c r="H13" t="s">
        <v>22</v>
      </c>
      <c r="I13" t="s">
        <v>2653</v>
      </c>
      <c r="J13" t="s">
        <v>2418</v>
      </c>
      <c r="K13" t="s">
        <v>1608</v>
      </c>
    </row>
    <row r="14" spans="1:11" x14ac:dyDescent="0.15">
      <c r="A14" t="s">
        <v>2654</v>
      </c>
      <c r="B14" t="s">
        <v>1412</v>
      </c>
      <c r="C14" t="s">
        <v>1990</v>
      </c>
      <c r="D14" t="s">
        <v>2655</v>
      </c>
      <c r="E14" t="s">
        <v>2656</v>
      </c>
      <c r="F14" t="s">
        <v>2657</v>
      </c>
      <c r="G14" t="s">
        <v>1413</v>
      </c>
      <c r="H14" t="s">
        <v>22</v>
      </c>
      <c r="I14" t="s">
        <v>2658</v>
      </c>
      <c r="J14" t="s">
        <v>2094</v>
      </c>
      <c r="K14" t="s">
        <v>1608</v>
      </c>
    </row>
    <row r="15" spans="1:11" x14ac:dyDescent="0.15">
      <c r="A15" t="s">
        <v>2659</v>
      </c>
      <c r="B15" t="s">
        <v>1412</v>
      </c>
      <c r="C15" t="s">
        <v>1990</v>
      </c>
      <c r="D15" t="s">
        <v>2660</v>
      </c>
      <c r="E15" t="s">
        <v>2661</v>
      </c>
      <c r="F15" t="s">
        <v>2657</v>
      </c>
      <c r="G15" t="s">
        <v>1413</v>
      </c>
      <c r="H15" t="s">
        <v>22</v>
      </c>
      <c r="I15" t="s">
        <v>2658</v>
      </c>
      <c r="J15" t="s">
        <v>2094</v>
      </c>
      <c r="K15" t="s">
        <v>1608</v>
      </c>
    </row>
  </sheetData>
  <autoFilter ref="A1:K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0" customWidth="1"/>
    <col min="2" max="2" width="37" customWidth="1"/>
    <col min="3" max="3" width="32" customWidth="1"/>
    <col min="4" max="4" width="46" customWidth="1"/>
    <col min="5" max="5" width="25" customWidth="1"/>
    <col min="6" max="7" width="18" customWidth="1"/>
  </cols>
  <sheetData>
    <row r="1" spans="1:10" ht="28" customHeight="1" x14ac:dyDescent="0.15">
      <c r="A1" s="3" t="s">
        <v>2662</v>
      </c>
      <c r="B1" s="3" t="s">
        <v>2663</v>
      </c>
      <c r="C1" s="3" t="s">
        <v>2664</v>
      </c>
      <c r="D1" s="3" t="s">
        <v>2665</v>
      </c>
      <c r="E1" s="3" t="s">
        <v>2666</v>
      </c>
      <c r="F1" s="3" t="s">
        <v>38</v>
      </c>
      <c r="G1" s="3" t="s">
        <v>1567</v>
      </c>
      <c r="H1" t="s">
        <v>37</v>
      </c>
      <c r="I1" t="s">
        <v>2667</v>
      </c>
      <c r="J1" t="s">
        <v>44</v>
      </c>
    </row>
    <row r="2" spans="1:10" ht="14" x14ac:dyDescent="0.15">
      <c r="A2" s="5" t="s">
        <v>2668</v>
      </c>
      <c r="B2" s="5" t="s">
        <v>2669</v>
      </c>
      <c r="C2" s="5" t="s">
        <v>2670</v>
      </c>
      <c r="D2" s="5" t="s">
        <v>2671</v>
      </c>
      <c r="E2" s="5" t="s">
        <v>2672</v>
      </c>
      <c r="F2" s="5" t="s">
        <v>2418</v>
      </c>
      <c r="G2" s="5" t="s">
        <v>2673</v>
      </c>
      <c r="H2" t="s">
        <v>2674</v>
      </c>
      <c r="I2" t="s">
        <v>2675</v>
      </c>
      <c r="J2" t="s">
        <v>3</v>
      </c>
    </row>
    <row r="3" spans="1:10" ht="14" x14ac:dyDescent="0.15">
      <c r="A3" s="5" t="s">
        <v>2676</v>
      </c>
      <c r="B3" s="5" t="s">
        <v>2677</v>
      </c>
      <c r="C3" s="5" t="s">
        <v>2678</v>
      </c>
      <c r="D3" s="5" t="s">
        <v>2679</v>
      </c>
      <c r="E3" s="5" t="s">
        <v>2680</v>
      </c>
      <c r="F3" s="5" t="s">
        <v>2418</v>
      </c>
      <c r="G3" s="5" t="s">
        <v>2673</v>
      </c>
      <c r="H3" t="s">
        <v>2674</v>
      </c>
      <c r="I3" t="s">
        <v>2675</v>
      </c>
      <c r="J3" t="s">
        <v>3</v>
      </c>
    </row>
    <row r="4" spans="1:10" ht="14" x14ac:dyDescent="0.15">
      <c r="A4" s="5" t="s">
        <v>2681</v>
      </c>
      <c r="B4" s="5" t="s">
        <v>2682</v>
      </c>
      <c r="C4" s="5" t="s">
        <v>2683</v>
      </c>
      <c r="D4" s="5" t="s">
        <v>2684</v>
      </c>
      <c r="E4" s="5" t="s">
        <v>2685</v>
      </c>
      <c r="F4" s="5" t="s">
        <v>2418</v>
      </c>
      <c r="G4" s="5" t="s">
        <v>2673</v>
      </c>
      <c r="H4" t="s">
        <v>2674</v>
      </c>
      <c r="I4" t="s">
        <v>2675</v>
      </c>
      <c r="J4" t="s">
        <v>3</v>
      </c>
    </row>
    <row r="5" spans="1:10" ht="14" x14ac:dyDescent="0.15">
      <c r="A5" s="5" t="s">
        <v>2686</v>
      </c>
      <c r="B5" s="5" t="s">
        <v>2687</v>
      </c>
      <c r="C5" s="5" t="s">
        <v>2688</v>
      </c>
      <c r="D5" s="5" t="s">
        <v>2689</v>
      </c>
      <c r="E5" s="5" t="s">
        <v>2690</v>
      </c>
      <c r="F5" s="5" t="s">
        <v>2418</v>
      </c>
      <c r="G5" s="5" t="s">
        <v>2673</v>
      </c>
      <c r="H5" t="s">
        <v>2674</v>
      </c>
      <c r="I5" t="s">
        <v>2675</v>
      </c>
      <c r="J5" t="s">
        <v>3</v>
      </c>
    </row>
    <row r="6" spans="1:10" ht="14" x14ac:dyDescent="0.15">
      <c r="A6" s="5" t="s">
        <v>2691</v>
      </c>
      <c r="B6" s="5" t="s">
        <v>2692</v>
      </c>
      <c r="C6" s="5" t="s">
        <v>2693</v>
      </c>
      <c r="D6" s="5" t="s">
        <v>2694</v>
      </c>
      <c r="E6" s="5" t="s">
        <v>2695</v>
      </c>
      <c r="F6" s="5" t="s">
        <v>2094</v>
      </c>
      <c r="G6" s="5" t="s">
        <v>2673</v>
      </c>
      <c r="H6" t="s">
        <v>2674</v>
      </c>
      <c r="I6" t="s">
        <v>2675</v>
      </c>
      <c r="J6" t="s">
        <v>3</v>
      </c>
    </row>
    <row r="7" spans="1:10" ht="14" x14ac:dyDescent="0.15">
      <c r="A7" s="5" t="s">
        <v>2231</v>
      </c>
      <c r="B7" s="5" t="s">
        <v>2696</v>
      </c>
      <c r="C7" s="5" t="s">
        <v>2697</v>
      </c>
      <c r="D7" s="5" t="s">
        <v>2698</v>
      </c>
      <c r="E7" s="5" t="s">
        <v>2699</v>
      </c>
      <c r="F7" s="5" t="s">
        <v>2418</v>
      </c>
      <c r="G7" s="5" t="s">
        <v>2673</v>
      </c>
      <c r="H7" t="s">
        <v>2674</v>
      </c>
      <c r="I7" t="s">
        <v>2675</v>
      </c>
      <c r="J7" t="s">
        <v>3</v>
      </c>
    </row>
    <row r="8" spans="1:10" ht="14" x14ac:dyDescent="0.15">
      <c r="A8" s="5" t="s">
        <v>2700</v>
      </c>
      <c r="B8" s="5" t="s">
        <v>2701</v>
      </c>
      <c r="C8" s="5" t="s">
        <v>2702</v>
      </c>
      <c r="D8" s="5" t="s">
        <v>2703</v>
      </c>
      <c r="E8" s="5" t="s">
        <v>2704</v>
      </c>
      <c r="F8" s="5" t="s">
        <v>2094</v>
      </c>
      <c r="G8" s="5" t="s">
        <v>2673</v>
      </c>
      <c r="H8" t="s">
        <v>2674</v>
      </c>
      <c r="I8" t="s">
        <v>2675</v>
      </c>
      <c r="J8" t="s">
        <v>3</v>
      </c>
    </row>
    <row r="9" spans="1:10" ht="14" x14ac:dyDescent="0.15">
      <c r="A9" s="5" t="s">
        <v>2705</v>
      </c>
      <c r="B9" s="5" t="s">
        <v>2706</v>
      </c>
      <c r="C9" s="5" t="s">
        <v>2707</v>
      </c>
      <c r="D9" s="5" t="s">
        <v>2708</v>
      </c>
      <c r="E9" s="5" t="s">
        <v>2709</v>
      </c>
      <c r="F9" s="5" t="s">
        <v>2094</v>
      </c>
      <c r="G9" s="5" t="s">
        <v>2673</v>
      </c>
      <c r="H9" t="s">
        <v>2674</v>
      </c>
      <c r="I9" t="s">
        <v>2675</v>
      </c>
      <c r="J9" t="s">
        <v>3</v>
      </c>
    </row>
    <row r="10" spans="1:10" ht="14" x14ac:dyDescent="0.15">
      <c r="A10" s="5" t="s">
        <v>2710</v>
      </c>
      <c r="B10" s="5" t="s">
        <v>2711</v>
      </c>
      <c r="C10" s="5" t="s">
        <v>2712</v>
      </c>
      <c r="D10" s="5" t="s">
        <v>2713</v>
      </c>
      <c r="E10" s="5" t="s">
        <v>2714</v>
      </c>
      <c r="F10" s="5" t="s">
        <v>2094</v>
      </c>
      <c r="G10" s="5" t="s">
        <v>2673</v>
      </c>
      <c r="H10" t="s">
        <v>2674</v>
      </c>
      <c r="I10" t="s">
        <v>2675</v>
      </c>
      <c r="J10" t="s">
        <v>3</v>
      </c>
    </row>
    <row r="11" spans="1:10" ht="14" x14ac:dyDescent="0.15">
      <c r="A11" s="5" t="s">
        <v>2715</v>
      </c>
      <c r="B11" s="5" t="s">
        <v>2716</v>
      </c>
      <c r="C11" s="5" t="s">
        <v>2717</v>
      </c>
      <c r="D11" s="5" t="s">
        <v>2718</v>
      </c>
      <c r="E11" s="5" t="s">
        <v>2719</v>
      </c>
      <c r="F11" s="5" t="s">
        <v>2107</v>
      </c>
      <c r="G11" s="5" t="s">
        <v>2720</v>
      </c>
      <c r="H11" t="s">
        <v>2674</v>
      </c>
      <c r="I11" t="s">
        <v>2675</v>
      </c>
      <c r="J11" t="s">
        <v>3</v>
      </c>
    </row>
    <row r="12" spans="1:10" ht="14" x14ac:dyDescent="0.15">
      <c r="A12" s="5" t="s">
        <v>2721</v>
      </c>
      <c r="B12" s="5" t="s">
        <v>2722</v>
      </c>
      <c r="C12" s="5" t="s">
        <v>2723</v>
      </c>
      <c r="D12" s="5" t="s">
        <v>2724</v>
      </c>
      <c r="E12" s="5" t="s">
        <v>2725</v>
      </c>
      <c r="F12" s="5" t="s">
        <v>2107</v>
      </c>
      <c r="G12" s="5" t="s">
        <v>2720</v>
      </c>
      <c r="H12" t="s">
        <v>2674</v>
      </c>
      <c r="I12" t="s">
        <v>2675</v>
      </c>
      <c r="J12" t="s">
        <v>3</v>
      </c>
    </row>
    <row r="13" spans="1:10" ht="14" x14ac:dyDescent="0.15">
      <c r="A13" s="5" t="s">
        <v>2726</v>
      </c>
      <c r="B13" s="5" t="s">
        <v>2727</v>
      </c>
      <c r="C13" s="5" t="s">
        <v>2728</v>
      </c>
      <c r="D13" s="5" t="s">
        <v>2729</v>
      </c>
      <c r="E13" s="5" t="s">
        <v>2730</v>
      </c>
      <c r="F13" s="5" t="s">
        <v>2418</v>
      </c>
      <c r="G13" s="5" t="s">
        <v>2720</v>
      </c>
      <c r="H13" t="s">
        <v>2674</v>
      </c>
      <c r="I13" t="s">
        <v>2675</v>
      </c>
      <c r="J13" t="s">
        <v>3</v>
      </c>
    </row>
    <row r="14" spans="1:10" ht="14" x14ac:dyDescent="0.15">
      <c r="A14" s="5" t="s">
        <v>2731</v>
      </c>
      <c r="B14" s="5" t="s">
        <v>2732</v>
      </c>
      <c r="C14" s="5" t="s">
        <v>2733</v>
      </c>
      <c r="D14" s="5" t="s">
        <v>2734</v>
      </c>
      <c r="E14" s="5" t="s">
        <v>2735</v>
      </c>
      <c r="F14" s="5" t="s">
        <v>2418</v>
      </c>
      <c r="G14" s="5" t="s">
        <v>2736</v>
      </c>
      <c r="H14" t="s">
        <v>2674</v>
      </c>
      <c r="I14" t="s">
        <v>2675</v>
      </c>
      <c r="J14" t="s">
        <v>3</v>
      </c>
    </row>
    <row r="15" spans="1:10" ht="28" x14ac:dyDescent="0.15">
      <c r="A15" s="5" t="s">
        <v>2737</v>
      </c>
      <c r="B15" s="5" t="s">
        <v>2738</v>
      </c>
      <c r="C15" s="5" t="s">
        <v>2739</v>
      </c>
      <c r="D15" s="5" t="s">
        <v>2740</v>
      </c>
      <c r="E15" s="5" t="s">
        <v>2741</v>
      </c>
      <c r="F15" s="5" t="s">
        <v>2418</v>
      </c>
      <c r="G15" s="5" t="s">
        <v>2742</v>
      </c>
      <c r="H15" t="s">
        <v>2674</v>
      </c>
      <c r="I15" t="s">
        <v>2675</v>
      </c>
      <c r="J15" t="s">
        <v>3</v>
      </c>
    </row>
    <row r="16" spans="1:10" ht="28" x14ac:dyDescent="0.15">
      <c r="A16" s="5" t="s">
        <v>2743</v>
      </c>
      <c r="B16" s="5" t="s">
        <v>2744</v>
      </c>
      <c r="C16" s="5" t="s">
        <v>2745</v>
      </c>
      <c r="D16" s="5" t="s">
        <v>2746</v>
      </c>
      <c r="E16" s="5" t="s">
        <v>2747</v>
      </c>
      <c r="F16" s="5" t="s">
        <v>2094</v>
      </c>
      <c r="G16" s="5" t="s">
        <v>2742</v>
      </c>
      <c r="H16" t="s">
        <v>2674</v>
      </c>
      <c r="I16" t="s">
        <v>2675</v>
      </c>
      <c r="J16" t="s">
        <v>3</v>
      </c>
    </row>
    <row r="17" spans="1:10" ht="28" x14ac:dyDescent="0.15">
      <c r="A17" s="5" t="s">
        <v>2748</v>
      </c>
      <c r="B17" s="5" t="s">
        <v>2749</v>
      </c>
      <c r="C17" s="5" t="s">
        <v>2750</v>
      </c>
      <c r="D17" s="5" t="s">
        <v>2751</v>
      </c>
      <c r="E17" s="5" t="s">
        <v>2752</v>
      </c>
      <c r="F17" s="5" t="s">
        <v>2418</v>
      </c>
      <c r="G17" s="5" t="s">
        <v>2742</v>
      </c>
      <c r="H17" t="s">
        <v>2674</v>
      </c>
      <c r="I17" t="s">
        <v>2675</v>
      </c>
      <c r="J17" t="s">
        <v>3</v>
      </c>
    </row>
    <row r="18" spans="1:10" ht="28" x14ac:dyDescent="0.15">
      <c r="A18" s="5" t="s">
        <v>2753</v>
      </c>
      <c r="B18" s="5" t="s">
        <v>2754</v>
      </c>
      <c r="C18" s="5" t="s">
        <v>2755</v>
      </c>
      <c r="D18" s="5" t="s">
        <v>2756</v>
      </c>
      <c r="E18" s="5" t="s">
        <v>2757</v>
      </c>
      <c r="F18" s="5" t="s">
        <v>2418</v>
      </c>
      <c r="G18" s="5" t="s">
        <v>2742</v>
      </c>
      <c r="H18" t="s">
        <v>2674</v>
      </c>
      <c r="I18" t="s">
        <v>2675</v>
      </c>
      <c r="J18" t="s">
        <v>3</v>
      </c>
    </row>
    <row r="19" spans="1:10" ht="28" x14ac:dyDescent="0.15">
      <c r="A19" s="5" t="s">
        <v>2758</v>
      </c>
      <c r="B19" s="5" t="s">
        <v>2759</v>
      </c>
      <c r="C19" s="5" t="s">
        <v>2760</v>
      </c>
      <c r="D19" s="5" t="s">
        <v>2761</v>
      </c>
      <c r="E19" s="5" t="s">
        <v>2762</v>
      </c>
      <c r="F19" s="5" t="s">
        <v>2418</v>
      </c>
      <c r="G19" s="5" t="s">
        <v>2742</v>
      </c>
      <c r="H19" t="s">
        <v>2674</v>
      </c>
      <c r="I19" t="s">
        <v>2675</v>
      </c>
      <c r="J19" t="s">
        <v>3</v>
      </c>
    </row>
    <row r="20" spans="1:10" ht="28" x14ac:dyDescent="0.15">
      <c r="A20" s="5" t="s">
        <v>2763</v>
      </c>
      <c r="B20" s="5" t="s">
        <v>2764</v>
      </c>
      <c r="C20" s="5" t="s">
        <v>2765</v>
      </c>
      <c r="D20" s="5" t="s">
        <v>2766</v>
      </c>
      <c r="E20" s="5" t="s">
        <v>2767</v>
      </c>
      <c r="F20" s="5" t="s">
        <v>2094</v>
      </c>
      <c r="G20" s="5" t="s">
        <v>2742</v>
      </c>
      <c r="H20" t="s">
        <v>2674</v>
      </c>
      <c r="I20" t="s">
        <v>2675</v>
      </c>
      <c r="J20" t="s">
        <v>3</v>
      </c>
    </row>
    <row r="21" spans="1:10" ht="28" x14ac:dyDescent="0.15">
      <c r="A21" s="5" t="s">
        <v>2768</v>
      </c>
      <c r="B21" s="5" t="s">
        <v>2769</v>
      </c>
      <c r="C21" s="5" t="s">
        <v>2770</v>
      </c>
      <c r="D21" s="5" t="s">
        <v>2771</v>
      </c>
      <c r="E21" s="5" t="s">
        <v>2772</v>
      </c>
      <c r="F21" s="5" t="s">
        <v>2094</v>
      </c>
      <c r="G21" s="5" t="s">
        <v>2742</v>
      </c>
      <c r="H21" t="s">
        <v>2674</v>
      </c>
      <c r="I21" t="s">
        <v>2675</v>
      </c>
      <c r="J21" t="s">
        <v>3</v>
      </c>
    </row>
    <row r="22" spans="1:10" ht="28" x14ac:dyDescent="0.15">
      <c r="A22" s="5" t="s">
        <v>2773</v>
      </c>
      <c r="B22" s="5" t="s">
        <v>2774</v>
      </c>
      <c r="C22" s="5" t="s">
        <v>2775</v>
      </c>
      <c r="D22" s="5" t="s">
        <v>2776</v>
      </c>
      <c r="E22" s="5" t="s">
        <v>2777</v>
      </c>
      <c r="F22" s="5" t="s">
        <v>2094</v>
      </c>
      <c r="G22" s="5" t="s">
        <v>2742</v>
      </c>
      <c r="H22" t="s">
        <v>2674</v>
      </c>
      <c r="I22" t="s">
        <v>2675</v>
      </c>
      <c r="J22" t="s">
        <v>3</v>
      </c>
    </row>
    <row r="23" spans="1:10" ht="28" x14ac:dyDescent="0.15">
      <c r="A23" s="5" t="s">
        <v>2778</v>
      </c>
      <c r="B23" s="5" t="s">
        <v>2779</v>
      </c>
      <c r="C23" s="5" t="s">
        <v>2780</v>
      </c>
      <c r="D23" s="5" t="s">
        <v>2781</v>
      </c>
      <c r="E23" s="5" t="s">
        <v>2782</v>
      </c>
      <c r="F23" s="5" t="s">
        <v>2094</v>
      </c>
      <c r="G23" s="5" t="s">
        <v>2742</v>
      </c>
      <c r="H23" t="s">
        <v>2674</v>
      </c>
      <c r="I23" t="s">
        <v>2675</v>
      </c>
      <c r="J23" t="s">
        <v>3</v>
      </c>
    </row>
    <row r="24" spans="1:10" ht="28" x14ac:dyDescent="0.15">
      <c r="A24" s="5" t="s">
        <v>2783</v>
      </c>
      <c r="B24" s="5" t="s">
        <v>2784</v>
      </c>
      <c r="C24" s="5" t="s">
        <v>2785</v>
      </c>
      <c r="D24" s="5" t="s">
        <v>2786</v>
      </c>
      <c r="E24" s="5" t="s">
        <v>2787</v>
      </c>
      <c r="F24" s="5" t="s">
        <v>2418</v>
      </c>
      <c r="G24" s="5" t="s">
        <v>2742</v>
      </c>
      <c r="H24" t="s">
        <v>2674</v>
      </c>
      <c r="I24" t="s">
        <v>2675</v>
      </c>
      <c r="J24" t="s">
        <v>3</v>
      </c>
    </row>
    <row r="25" spans="1:10" ht="14" x14ac:dyDescent="0.15">
      <c r="A25" s="5" t="s">
        <v>2788</v>
      </c>
      <c r="B25" s="5" t="s">
        <v>2789</v>
      </c>
      <c r="C25" s="5" t="s">
        <v>2790</v>
      </c>
      <c r="D25" s="5" t="s">
        <v>2791</v>
      </c>
      <c r="E25" s="5" t="s">
        <v>2792</v>
      </c>
      <c r="F25" s="5" t="s">
        <v>2418</v>
      </c>
      <c r="G25" s="5" t="s">
        <v>2742</v>
      </c>
      <c r="H25" t="s">
        <v>2674</v>
      </c>
      <c r="I25" t="s">
        <v>2675</v>
      </c>
      <c r="J25" t="s">
        <v>3</v>
      </c>
    </row>
    <row r="26" spans="1:10" ht="14" x14ac:dyDescent="0.15">
      <c r="A26" s="5" t="s">
        <v>2793</v>
      </c>
      <c r="B26" s="5" t="s">
        <v>2794</v>
      </c>
      <c r="C26" s="5" t="s">
        <v>2795</v>
      </c>
      <c r="D26" s="5" t="s">
        <v>2796</v>
      </c>
      <c r="E26" s="5" t="s">
        <v>2797</v>
      </c>
      <c r="F26" s="5" t="s">
        <v>2418</v>
      </c>
      <c r="G26" s="5" t="s">
        <v>2742</v>
      </c>
      <c r="H26" t="s">
        <v>2674</v>
      </c>
      <c r="I26" t="s">
        <v>2675</v>
      </c>
      <c r="J26" t="s">
        <v>3</v>
      </c>
    </row>
    <row r="27" spans="1:10" ht="28" x14ac:dyDescent="0.15">
      <c r="A27" s="5" t="s">
        <v>2798</v>
      </c>
      <c r="B27" s="5" t="s">
        <v>2799</v>
      </c>
      <c r="C27" s="5" t="s">
        <v>2800</v>
      </c>
      <c r="D27" s="5" t="s">
        <v>2801</v>
      </c>
      <c r="E27" s="5" t="s">
        <v>2802</v>
      </c>
      <c r="F27" s="5" t="s">
        <v>2094</v>
      </c>
      <c r="G27" s="5" t="s">
        <v>2742</v>
      </c>
      <c r="H27" t="s">
        <v>2674</v>
      </c>
      <c r="I27" t="s">
        <v>2675</v>
      </c>
      <c r="J27" t="s">
        <v>3</v>
      </c>
    </row>
    <row r="28" spans="1:10" ht="28" x14ac:dyDescent="0.15">
      <c r="A28" s="5" t="s">
        <v>2803</v>
      </c>
      <c r="B28" s="5" t="s">
        <v>2804</v>
      </c>
      <c r="C28" s="5" t="s">
        <v>2805</v>
      </c>
      <c r="D28" s="5" t="s">
        <v>2806</v>
      </c>
      <c r="E28" s="5" t="s">
        <v>2807</v>
      </c>
      <c r="F28" s="5" t="s">
        <v>2418</v>
      </c>
      <c r="G28" s="5" t="s">
        <v>2742</v>
      </c>
      <c r="H28" t="s">
        <v>2674</v>
      </c>
      <c r="I28" t="s">
        <v>2675</v>
      </c>
      <c r="J28" t="s">
        <v>3</v>
      </c>
    </row>
    <row r="29" spans="1:10" ht="28" x14ac:dyDescent="0.15">
      <c r="A29" s="5" t="s">
        <v>2808</v>
      </c>
      <c r="B29" s="5" t="s">
        <v>2809</v>
      </c>
      <c r="C29" s="5" t="s">
        <v>2810</v>
      </c>
      <c r="D29" s="5" t="s">
        <v>2811</v>
      </c>
      <c r="E29" s="5" t="s">
        <v>2812</v>
      </c>
      <c r="F29" s="5" t="s">
        <v>2094</v>
      </c>
      <c r="G29" s="5" t="s">
        <v>2742</v>
      </c>
      <c r="H29" t="s">
        <v>2674</v>
      </c>
      <c r="I29" t="s">
        <v>2675</v>
      </c>
      <c r="J29" t="s">
        <v>3</v>
      </c>
    </row>
    <row r="30" spans="1:10" ht="28" x14ac:dyDescent="0.15">
      <c r="A30" s="5" t="s">
        <v>2813</v>
      </c>
      <c r="B30" s="5" t="s">
        <v>2814</v>
      </c>
      <c r="C30" s="5" t="s">
        <v>2815</v>
      </c>
      <c r="D30" s="5" t="s">
        <v>2816</v>
      </c>
      <c r="E30" s="5" t="s">
        <v>2817</v>
      </c>
      <c r="F30" s="5" t="s">
        <v>2094</v>
      </c>
      <c r="G30" s="5" t="s">
        <v>2742</v>
      </c>
      <c r="H30" t="s">
        <v>2674</v>
      </c>
      <c r="I30" t="s">
        <v>2675</v>
      </c>
      <c r="J30" t="s">
        <v>3</v>
      </c>
    </row>
    <row r="31" spans="1:10" ht="28" x14ac:dyDescent="0.15">
      <c r="A31" s="5" t="s">
        <v>2818</v>
      </c>
      <c r="B31" s="5" t="s">
        <v>2819</v>
      </c>
      <c r="C31" s="5" t="s">
        <v>2820</v>
      </c>
      <c r="D31" s="5" t="s">
        <v>2821</v>
      </c>
      <c r="E31" s="5" t="s">
        <v>2822</v>
      </c>
      <c r="F31" s="5" t="s">
        <v>2107</v>
      </c>
      <c r="G31" s="5" t="s">
        <v>2742</v>
      </c>
      <c r="H31" t="s">
        <v>2674</v>
      </c>
      <c r="I31" t="s">
        <v>2675</v>
      </c>
      <c r="J31" t="s">
        <v>3</v>
      </c>
    </row>
    <row r="32" spans="1:10" x14ac:dyDescent="0.15">
      <c r="A32" t="s">
        <v>2823</v>
      </c>
      <c r="B32" t="s">
        <v>2824</v>
      </c>
      <c r="C32" t="s">
        <v>2825</v>
      </c>
      <c r="D32" t="s">
        <v>2826</v>
      </c>
      <c r="E32" t="s">
        <v>2827</v>
      </c>
      <c r="F32" t="s">
        <v>2094</v>
      </c>
      <c r="G32" t="s">
        <v>17</v>
      </c>
      <c r="H32" t="s">
        <v>2674</v>
      </c>
      <c r="I32" t="s">
        <v>2675</v>
      </c>
      <c r="J32" t="s">
        <v>3</v>
      </c>
    </row>
    <row r="33" spans="1:10" x14ac:dyDescent="0.15">
      <c r="A33" t="s">
        <v>2828</v>
      </c>
      <c r="B33" t="s">
        <v>2829</v>
      </c>
      <c r="C33" t="s">
        <v>2830</v>
      </c>
      <c r="D33" t="s">
        <v>2831</v>
      </c>
      <c r="E33" t="s">
        <v>2832</v>
      </c>
      <c r="F33" t="s">
        <v>2094</v>
      </c>
      <c r="G33" t="s">
        <v>17</v>
      </c>
      <c r="H33" t="s">
        <v>2674</v>
      </c>
      <c r="I33" t="s">
        <v>2675</v>
      </c>
      <c r="J33" t="s">
        <v>3</v>
      </c>
    </row>
    <row r="34" spans="1:10" x14ac:dyDescent="0.15">
      <c r="A34" t="s">
        <v>2833</v>
      </c>
      <c r="B34" t="s">
        <v>2834</v>
      </c>
      <c r="C34" t="s">
        <v>2835</v>
      </c>
      <c r="D34" t="s">
        <v>2836</v>
      </c>
      <c r="E34" t="s">
        <v>2685</v>
      </c>
      <c r="F34" t="s">
        <v>2094</v>
      </c>
      <c r="G34" t="s">
        <v>17</v>
      </c>
      <c r="H34" t="s">
        <v>2674</v>
      </c>
      <c r="I34" t="s">
        <v>2675</v>
      </c>
      <c r="J34" t="s">
        <v>3</v>
      </c>
    </row>
    <row r="35" spans="1:10" x14ac:dyDescent="0.15">
      <c r="A35" t="s">
        <v>2837</v>
      </c>
      <c r="B35" t="s">
        <v>2838</v>
      </c>
      <c r="C35" t="s">
        <v>2839</v>
      </c>
      <c r="D35" t="s">
        <v>2840</v>
      </c>
      <c r="E35" t="s">
        <v>2841</v>
      </c>
      <c r="F35" t="s">
        <v>2094</v>
      </c>
      <c r="G35" t="s">
        <v>17</v>
      </c>
      <c r="H35" t="s">
        <v>2674</v>
      </c>
      <c r="I35" t="s">
        <v>2675</v>
      </c>
      <c r="J35" t="s">
        <v>3</v>
      </c>
    </row>
    <row r="36" spans="1:10" x14ac:dyDescent="0.15">
      <c r="A36" t="s">
        <v>2842</v>
      </c>
      <c r="B36" t="s">
        <v>2843</v>
      </c>
      <c r="C36" t="s">
        <v>2844</v>
      </c>
      <c r="D36" t="s">
        <v>2845</v>
      </c>
      <c r="E36" t="s">
        <v>2817</v>
      </c>
      <c r="F36" t="s">
        <v>2094</v>
      </c>
      <c r="G36" t="s">
        <v>17</v>
      </c>
      <c r="H36" t="s">
        <v>2674</v>
      </c>
      <c r="I36" t="s">
        <v>2675</v>
      </c>
      <c r="J36" t="s">
        <v>3</v>
      </c>
    </row>
  </sheetData>
  <autoFilter ref="A1:G1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18" customWidth="1"/>
    <col min="3" max="3" width="24" customWidth="1"/>
    <col min="4" max="4" width="48" customWidth="1"/>
    <col min="5" max="5" width="43" customWidth="1"/>
    <col min="6" max="6" width="23" customWidth="1"/>
  </cols>
  <sheetData>
    <row r="1" spans="1:9" ht="28" customHeight="1" x14ac:dyDescent="0.15">
      <c r="A1" s="3" t="s">
        <v>2846</v>
      </c>
      <c r="B1" s="3" t="s">
        <v>38</v>
      </c>
      <c r="C1" s="3" t="s">
        <v>2847</v>
      </c>
      <c r="D1" s="3" t="s">
        <v>2848</v>
      </c>
      <c r="E1" s="3" t="s">
        <v>2849</v>
      </c>
      <c r="F1" s="3" t="s">
        <v>2850</v>
      </c>
      <c r="G1" t="s">
        <v>37</v>
      </c>
      <c r="H1" t="s">
        <v>2667</v>
      </c>
      <c r="I1" t="s">
        <v>44</v>
      </c>
    </row>
    <row r="2" spans="1:9" ht="28" x14ac:dyDescent="0.15">
      <c r="A2" s="5" t="s">
        <v>2062</v>
      </c>
      <c r="B2" s="5" t="s">
        <v>2418</v>
      </c>
      <c r="C2" s="5" t="s">
        <v>2851</v>
      </c>
      <c r="D2" s="5" t="s">
        <v>2852</v>
      </c>
      <c r="E2" s="5" t="s">
        <v>2853</v>
      </c>
      <c r="F2" s="5" t="s">
        <v>2854</v>
      </c>
      <c r="G2" t="s">
        <v>2674</v>
      </c>
      <c r="H2" t="s">
        <v>2675</v>
      </c>
      <c r="I2" t="s">
        <v>3</v>
      </c>
    </row>
    <row r="3" spans="1:9" ht="14" x14ac:dyDescent="0.15">
      <c r="A3" s="5" t="s">
        <v>2062</v>
      </c>
      <c r="B3" s="5" t="s">
        <v>2094</v>
      </c>
      <c r="C3" s="5" t="s">
        <v>2855</v>
      </c>
      <c r="D3" s="5" t="s">
        <v>2856</v>
      </c>
      <c r="E3" s="5" t="s">
        <v>49</v>
      </c>
      <c r="F3" s="5" t="s">
        <v>1636</v>
      </c>
      <c r="G3" t="s">
        <v>2674</v>
      </c>
      <c r="H3" t="s">
        <v>2675</v>
      </c>
      <c r="I3" t="s">
        <v>3</v>
      </c>
    </row>
    <row r="4" spans="1:9" ht="28" x14ac:dyDescent="0.15">
      <c r="A4" s="5" t="s">
        <v>2053</v>
      </c>
      <c r="B4" s="5" t="s">
        <v>2418</v>
      </c>
      <c r="C4" s="5" t="s">
        <v>2065</v>
      </c>
      <c r="D4" s="5" t="s">
        <v>2857</v>
      </c>
      <c r="E4" s="5" t="s">
        <v>2858</v>
      </c>
      <c r="F4" s="5" t="s">
        <v>2859</v>
      </c>
      <c r="G4" t="s">
        <v>2674</v>
      </c>
      <c r="H4" t="s">
        <v>2675</v>
      </c>
      <c r="I4" t="s">
        <v>3</v>
      </c>
    </row>
    <row r="5" spans="1:9" ht="14" x14ac:dyDescent="0.15">
      <c r="A5" s="5" t="s">
        <v>2053</v>
      </c>
      <c r="B5" s="5" t="s">
        <v>2094</v>
      </c>
      <c r="C5" s="5" t="s">
        <v>2860</v>
      </c>
      <c r="D5" s="5" t="s">
        <v>2861</v>
      </c>
      <c r="E5" s="5" t="s">
        <v>2862</v>
      </c>
      <c r="F5" s="5" t="s">
        <v>2863</v>
      </c>
      <c r="G5" t="s">
        <v>2674</v>
      </c>
      <c r="H5" t="s">
        <v>2675</v>
      </c>
      <c r="I5" t="s">
        <v>3</v>
      </c>
    </row>
    <row r="6" spans="1:9" ht="14" x14ac:dyDescent="0.15">
      <c r="A6" s="5" t="s">
        <v>1187</v>
      </c>
      <c r="B6" s="5" t="s">
        <v>2094</v>
      </c>
      <c r="C6" s="5" t="s">
        <v>2864</v>
      </c>
      <c r="D6" s="5" t="s">
        <v>2865</v>
      </c>
      <c r="E6" s="5" t="s">
        <v>49</v>
      </c>
      <c r="F6" s="5" t="s">
        <v>2866</v>
      </c>
      <c r="G6" t="s">
        <v>2674</v>
      </c>
      <c r="H6" t="s">
        <v>2675</v>
      </c>
      <c r="I6" t="s">
        <v>3</v>
      </c>
    </row>
    <row r="7" spans="1:9" ht="14" x14ac:dyDescent="0.15">
      <c r="A7" s="5" t="s">
        <v>1187</v>
      </c>
      <c r="B7" s="5" t="s">
        <v>2107</v>
      </c>
      <c r="C7" s="5" t="s">
        <v>1306</v>
      </c>
      <c r="D7" s="5" t="s">
        <v>2867</v>
      </c>
      <c r="E7" s="5" t="s">
        <v>1306</v>
      </c>
      <c r="F7" s="5" t="s">
        <v>2868</v>
      </c>
      <c r="G7" t="s">
        <v>2674</v>
      </c>
      <c r="H7" t="s">
        <v>2675</v>
      </c>
      <c r="I7" t="s">
        <v>3</v>
      </c>
    </row>
    <row r="8" spans="1:9" ht="14" x14ac:dyDescent="0.15">
      <c r="A8" s="5" t="s">
        <v>2869</v>
      </c>
      <c r="B8" s="5" t="s">
        <v>2418</v>
      </c>
      <c r="C8" s="5" t="s">
        <v>2870</v>
      </c>
      <c r="D8" s="5" t="s">
        <v>2871</v>
      </c>
      <c r="E8" s="5" t="s">
        <v>1413</v>
      </c>
      <c r="F8" s="5" t="s">
        <v>2872</v>
      </c>
      <c r="G8" t="s">
        <v>2674</v>
      </c>
      <c r="H8" t="s">
        <v>2675</v>
      </c>
      <c r="I8" t="s">
        <v>3</v>
      </c>
    </row>
    <row r="9" spans="1:9" ht="14" x14ac:dyDescent="0.15">
      <c r="A9" s="5" t="s">
        <v>2869</v>
      </c>
      <c r="B9" s="5" t="s">
        <v>2094</v>
      </c>
      <c r="C9" s="5" t="s">
        <v>2873</v>
      </c>
      <c r="D9" s="5" t="s">
        <v>2874</v>
      </c>
      <c r="E9" s="5" t="s">
        <v>1413</v>
      </c>
      <c r="F9" s="5" t="s">
        <v>2875</v>
      </c>
      <c r="G9" t="s">
        <v>2674</v>
      </c>
      <c r="H9" t="s">
        <v>2675</v>
      </c>
      <c r="I9" t="s">
        <v>3</v>
      </c>
    </row>
    <row r="10" spans="1:9" ht="28" x14ac:dyDescent="0.15">
      <c r="A10" s="5" t="s">
        <v>1187</v>
      </c>
      <c r="B10" s="5" t="s">
        <v>2418</v>
      </c>
      <c r="C10" s="5" t="s">
        <v>2276</v>
      </c>
      <c r="D10" s="5" t="s">
        <v>2876</v>
      </c>
      <c r="E10" s="5" t="s">
        <v>2877</v>
      </c>
      <c r="F10" s="5" t="s">
        <v>2878</v>
      </c>
      <c r="G10" t="s">
        <v>2674</v>
      </c>
      <c r="H10" t="s">
        <v>2675</v>
      </c>
      <c r="I10" t="s">
        <v>3</v>
      </c>
    </row>
    <row r="11" spans="1:9" ht="28" x14ac:dyDescent="0.15">
      <c r="A11" s="5" t="s">
        <v>2879</v>
      </c>
      <c r="B11" s="5" t="s">
        <v>2418</v>
      </c>
      <c r="C11" s="5" t="s">
        <v>2251</v>
      </c>
      <c r="D11" s="5" t="s">
        <v>2880</v>
      </c>
      <c r="E11" s="5" t="s">
        <v>2881</v>
      </c>
      <c r="F11" s="5" t="s">
        <v>2882</v>
      </c>
      <c r="G11" t="s">
        <v>2674</v>
      </c>
      <c r="H11" t="s">
        <v>2675</v>
      </c>
      <c r="I11" t="s">
        <v>3</v>
      </c>
    </row>
    <row r="12" spans="1:9" ht="14" x14ac:dyDescent="0.15">
      <c r="A12" s="5" t="s">
        <v>2883</v>
      </c>
      <c r="B12" s="5" t="s">
        <v>2094</v>
      </c>
      <c r="C12" s="5" t="s">
        <v>2884</v>
      </c>
      <c r="D12" s="5" t="s">
        <v>2885</v>
      </c>
      <c r="E12" s="5" t="s">
        <v>2886</v>
      </c>
      <c r="F12" s="5" t="s">
        <v>2887</v>
      </c>
      <c r="G12" t="s">
        <v>2674</v>
      </c>
      <c r="H12" t="s">
        <v>2675</v>
      </c>
      <c r="I12" t="s">
        <v>3</v>
      </c>
    </row>
    <row r="13" spans="1:9" ht="14" x14ac:dyDescent="0.15">
      <c r="A13" s="5" t="s">
        <v>2053</v>
      </c>
      <c r="B13" s="5" t="s">
        <v>2418</v>
      </c>
      <c r="C13" s="5" t="s">
        <v>2888</v>
      </c>
      <c r="D13" s="5" t="s">
        <v>2889</v>
      </c>
      <c r="E13" s="5" t="s">
        <v>2594</v>
      </c>
      <c r="F13" s="5" t="s">
        <v>2676</v>
      </c>
      <c r="G13" t="s">
        <v>2674</v>
      </c>
      <c r="H13" t="s">
        <v>2675</v>
      </c>
      <c r="I13" t="s">
        <v>3</v>
      </c>
    </row>
    <row r="14" spans="1:9" ht="28" x14ac:dyDescent="0.15">
      <c r="A14" s="5" t="s">
        <v>2399</v>
      </c>
      <c r="B14" s="5" t="s">
        <v>2418</v>
      </c>
      <c r="C14" s="5" t="s">
        <v>2890</v>
      </c>
      <c r="D14" s="5" t="s">
        <v>2891</v>
      </c>
      <c r="E14" s="5" t="s">
        <v>2892</v>
      </c>
      <c r="F14" s="5" t="s">
        <v>2893</v>
      </c>
      <c r="G14" t="s">
        <v>2674</v>
      </c>
      <c r="H14" t="s">
        <v>2675</v>
      </c>
      <c r="I14" t="s">
        <v>3</v>
      </c>
    </row>
    <row r="15" spans="1:9" ht="14" x14ac:dyDescent="0.15">
      <c r="A15" s="5" t="s">
        <v>2894</v>
      </c>
      <c r="B15" s="5" t="s">
        <v>2094</v>
      </c>
      <c r="C15" s="5" t="s">
        <v>2895</v>
      </c>
      <c r="D15" s="5" t="s">
        <v>2896</v>
      </c>
      <c r="E15" s="5" t="s">
        <v>2083</v>
      </c>
      <c r="F15" s="5" t="s">
        <v>2897</v>
      </c>
      <c r="G15" t="s">
        <v>2674</v>
      </c>
      <c r="H15" t="s">
        <v>2675</v>
      </c>
      <c r="I15" t="s">
        <v>3</v>
      </c>
    </row>
    <row r="16" spans="1:9" ht="28" x14ac:dyDescent="0.15">
      <c r="A16" s="5" t="s">
        <v>2898</v>
      </c>
      <c r="B16" s="5" t="s">
        <v>2094</v>
      </c>
      <c r="C16" s="5" t="s">
        <v>2899</v>
      </c>
      <c r="D16" s="5" t="s">
        <v>2900</v>
      </c>
      <c r="E16" s="5" t="s">
        <v>2901</v>
      </c>
      <c r="F16" s="5" t="s">
        <v>2902</v>
      </c>
      <c r="G16" t="s">
        <v>2674</v>
      </c>
      <c r="H16" t="s">
        <v>2675</v>
      </c>
      <c r="I16" t="s">
        <v>3</v>
      </c>
    </row>
    <row r="17" spans="1:9" ht="14" x14ac:dyDescent="0.15">
      <c r="A17" s="5" t="s">
        <v>2869</v>
      </c>
      <c r="B17" s="5" t="s">
        <v>2094</v>
      </c>
      <c r="C17" s="5" t="s">
        <v>2287</v>
      </c>
      <c r="D17" s="5" t="s">
        <v>2903</v>
      </c>
      <c r="E17" s="5" t="s">
        <v>2607</v>
      </c>
      <c r="F17" s="5" t="s">
        <v>2778</v>
      </c>
      <c r="G17" t="s">
        <v>2674</v>
      </c>
      <c r="H17" t="s">
        <v>2675</v>
      </c>
      <c r="I17" t="s">
        <v>3</v>
      </c>
    </row>
    <row r="18" spans="1:9" x14ac:dyDescent="0.15">
      <c r="A18" t="s">
        <v>2062</v>
      </c>
      <c r="B18" t="s">
        <v>2418</v>
      </c>
      <c r="C18" t="s">
        <v>2104</v>
      </c>
      <c r="D18" t="s">
        <v>2904</v>
      </c>
      <c r="E18" t="s">
        <v>2905</v>
      </c>
      <c r="F18" t="s">
        <v>2418</v>
      </c>
      <c r="G18" t="s">
        <v>2674</v>
      </c>
      <c r="H18" t="s">
        <v>2675</v>
      </c>
      <c r="I18" t="s">
        <v>3</v>
      </c>
    </row>
    <row r="19" spans="1:9" x14ac:dyDescent="0.15">
      <c r="A19" t="s">
        <v>2062</v>
      </c>
      <c r="B19" t="s">
        <v>2418</v>
      </c>
      <c r="C19" t="s">
        <v>2650</v>
      </c>
      <c r="D19" t="s">
        <v>2906</v>
      </c>
      <c r="E19" t="s">
        <v>2907</v>
      </c>
      <c r="F19" t="s">
        <v>2418</v>
      </c>
      <c r="G19" t="s">
        <v>2674</v>
      </c>
      <c r="H19" t="s">
        <v>2675</v>
      </c>
      <c r="I19" t="s">
        <v>3</v>
      </c>
    </row>
    <row r="20" spans="1:9" x14ac:dyDescent="0.15">
      <c r="A20" t="s">
        <v>2062</v>
      </c>
      <c r="B20" t="s">
        <v>2094</v>
      </c>
      <c r="C20" t="s">
        <v>2644</v>
      </c>
      <c r="D20" t="s">
        <v>2908</v>
      </c>
      <c r="E20" t="s">
        <v>2909</v>
      </c>
      <c r="F20" t="s">
        <v>2094</v>
      </c>
      <c r="G20" t="s">
        <v>2674</v>
      </c>
      <c r="H20" t="s">
        <v>2675</v>
      </c>
      <c r="I20" t="s">
        <v>3</v>
      </c>
    </row>
    <row r="21" spans="1:9" x14ac:dyDescent="0.15">
      <c r="A21" t="s">
        <v>1412</v>
      </c>
      <c r="B21" t="s">
        <v>2094</v>
      </c>
      <c r="C21" t="s">
        <v>2910</v>
      </c>
      <c r="D21" t="s">
        <v>2911</v>
      </c>
      <c r="E21" t="s">
        <v>2912</v>
      </c>
      <c r="F21" t="s">
        <v>2094</v>
      </c>
      <c r="G21" t="s">
        <v>2674</v>
      </c>
      <c r="H21" t="s">
        <v>2675</v>
      </c>
      <c r="I21" t="s">
        <v>3</v>
      </c>
    </row>
    <row r="22" spans="1:9" x14ac:dyDescent="0.15">
      <c r="A22" t="s">
        <v>1412</v>
      </c>
      <c r="B22" t="s">
        <v>2094</v>
      </c>
      <c r="C22" t="s">
        <v>2913</v>
      </c>
      <c r="D22" t="s">
        <v>2914</v>
      </c>
      <c r="E22" t="s">
        <v>2912</v>
      </c>
      <c r="F22" t="s">
        <v>2094</v>
      </c>
      <c r="G22" t="s">
        <v>2674</v>
      </c>
      <c r="H22" t="s">
        <v>2675</v>
      </c>
      <c r="I22" t="s">
        <v>3</v>
      </c>
    </row>
  </sheetData>
  <autoFilter ref="A1:F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5" customWidth="1"/>
    <col min="2" max="6" width="42" customWidth="1"/>
    <col min="7" max="7" width="12" customWidth="1"/>
    <col min="8" max="8" width="16" customWidth="1"/>
    <col min="9" max="9" width="34" customWidth="1"/>
  </cols>
  <sheetData>
    <row r="1" spans="1:12" ht="14" x14ac:dyDescent="0.15">
      <c r="A1" s="8" t="s">
        <v>2915</v>
      </c>
      <c r="B1" s="8" t="s">
        <v>2916</v>
      </c>
      <c r="C1" s="8" t="s">
        <v>2663</v>
      </c>
      <c r="D1" s="8" t="s">
        <v>2664</v>
      </c>
      <c r="E1" s="8" t="s">
        <v>2917</v>
      </c>
      <c r="F1" s="8" t="s">
        <v>2918</v>
      </c>
      <c r="G1" s="8" t="s">
        <v>38</v>
      </c>
      <c r="H1" s="8" t="s">
        <v>2919</v>
      </c>
      <c r="I1" s="8" t="s">
        <v>2920</v>
      </c>
      <c r="J1" t="s">
        <v>37</v>
      </c>
      <c r="K1" t="s">
        <v>2667</v>
      </c>
      <c r="L1" t="s">
        <v>44</v>
      </c>
    </row>
    <row r="2" spans="1:12" ht="28" x14ac:dyDescent="0.15">
      <c r="A2" s="9" t="s">
        <v>2882</v>
      </c>
      <c r="B2" s="9" t="s">
        <v>2921</v>
      </c>
      <c r="C2" s="9" t="s">
        <v>2922</v>
      </c>
      <c r="D2" s="9" t="s">
        <v>2923</v>
      </c>
      <c r="E2" s="9" t="s">
        <v>2924</v>
      </c>
      <c r="F2" s="9" t="s">
        <v>2925</v>
      </c>
      <c r="G2" s="9" t="s">
        <v>52</v>
      </c>
      <c r="H2" s="9" t="s">
        <v>2926</v>
      </c>
      <c r="I2" s="9" t="s">
        <v>2927</v>
      </c>
      <c r="J2" t="s">
        <v>2674</v>
      </c>
      <c r="K2" t="s">
        <v>2675</v>
      </c>
      <c r="L2" t="s">
        <v>3</v>
      </c>
    </row>
    <row r="3" spans="1:12" ht="28" x14ac:dyDescent="0.15">
      <c r="A3" s="9" t="s">
        <v>2887</v>
      </c>
      <c r="B3" s="9" t="s">
        <v>2928</v>
      </c>
      <c r="C3" s="9" t="s">
        <v>2929</v>
      </c>
      <c r="D3" s="9" t="s">
        <v>2930</v>
      </c>
      <c r="E3" s="9" t="s">
        <v>2931</v>
      </c>
      <c r="F3" s="9" t="s">
        <v>2932</v>
      </c>
      <c r="G3" s="9" t="s">
        <v>54</v>
      </c>
      <c r="H3" s="9" t="s">
        <v>2926</v>
      </c>
      <c r="I3" s="9" t="s">
        <v>2933</v>
      </c>
      <c r="J3" t="s">
        <v>2674</v>
      </c>
      <c r="K3" t="s">
        <v>2675</v>
      </c>
      <c r="L3" t="s">
        <v>3</v>
      </c>
    </row>
    <row r="4" spans="1:12" ht="28" x14ac:dyDescent="0.15">
      <c r="A4" s="9" t="s">
        <v>2902</v>
      </c>
      <c r="B4" s="9" t="s">
        <v>2934</v>
      </c>
      <c r="C4" s="9" t="s">
        <v>2935</v>
      </c>
      <c r="D4" s="9" t="s">
        <v>2936</v>
      </c>
      <c r="E4" s="9" t="s">
        <v>2937</v>
      </c>
      <c r="F4" s="9" t="s">
        <v>2938</v>
      </c>
      <c r="G4" s="9" t="s">
        <v>52</v>
      </c>
      <c r="H4" s="9" t="s">
        <v>2926</v>
      </c>
      <c r="I4" s="9" t="s">
        <v>2927</v>
      </c>
      <c r="J4" t="s">
        <v>2674</v>
      </c>
      <c r="K4" t="s">
        <v>2675</v>
      </c>
      <c r="L4" t="s">
        <v>3</v>
      </c>
    </row>
    <row r="5" spans="1:12" ht="28" x14ac:dyDescent="0.15">
      <c r="A5" s="9" t="s">
        <v>2939</v>
      </c>
      <c r="B5" s="9" t="s">
        <v>2940</v>
      </c>
      <c r="C5" s="9" t="s">
        <v>2941</v>
      </c>
      <c r="D5" s="9" t="s">
        <v>2942</v>
      </c>
      <c r="E5" s="9" t="s">
        <v>2943</v>
      </c>
      <c r="F5" s="9" t="s">
        <v>2944</v>
      </c>
      <c r="G5" s="9" t="s">
        <v>52</v>
      </c>
      <c r="H5" s="9" t="s">
        <v>2926</v>
      </c>
      <c r="I5" s="9" t="s">
        <v>2933</v>
      </c>
      <c r="J5" t="s">
        <v>2674</v>
      </c>
      <c r="K5" t="s">
        <v>2675</v>
      </c>
      <c r="L5" t="s">
        <v>3</v>
      </c>
    </row>
    <row r="6" spans="1:12" ht="14" x14ac:dyDescent="0.15">
      <c r="A6" s="9" t="s">
        <v>2945</v>
      </c>
      <c r="B6" s="9" t="s">
        <v>2946</v>
      </c>
      <c r="C6" s="9" t="s">
        <v>2947</v>
      </c>
      <c r="D6" s="9" t="s">
        <v>2948</v>
      </c>
      <c r="E6" s="9" t="s">
        <v>2949</v>
      </c>
      <c r="F6" s="9" t="s">
        <v>2950</v>
      </c>
      <c r="G6" s="9" t="s">
        <v>52</v>
      </c>
      <c r="H6" s="9" t="s">
        <v>2926</v>
      </c>
      <c r="I6" s="9" t="s">
        <v>2787</v>
      </c>
      <c r="J6" t="s">
        <v>2674</v>
      </c>
      <c r="K6" t="s">
        <v>2675</v>
      </c>
      <c r="L6" t="s">
        <v>3</v>
      </c>
    </row>
    <row r="7" spans="1:12" ht="28" x14ac:dyDescent="0.15">
      <c r="A7" s="9" t="s">
        <v>2951</v>
      </c>
      <c r="B7" s="9" t="s">
        <v>2952</v>
      </c>
      <c r="C7" s="9" t="s">
        <v>2953</v>
      </c>
      <c r="D7" s="9" t="s">
        <v>2954</v>
      </c>
      <c r="E7" s="9" t="s">
        <v>2955</v>
      </c>
      <c r="F7" s="9" t="s">
        <v>2956</v>
      </c>
      <c r="G7" s="9" t="s">
        <v>54</v>
      </c>
      <c r="H7" s="9" t="s">
        <v>2957</v>
      </c>
      <c r="I7" s="9" t="s">
        <v>2958</v>
      </c>
      <c r="J7" t="s">
        <v>2674</v>
      </c>
      <c r="K7" t="s">
        <v>2675</v>
      </c>
      <c r="L7" t="s">
        <v>3</v>
      </c>
    </row>
    <row r="8" spans="1:12" ht="14" x14ac:dyDescent="0.15">
      <c r="A8" s="9" t="s">
        <v>2959</v>
      </c>
      <c r="B8" s="9" t="s">
        <v>2960</v>
      </c>
      <c r="C8" s="9" t="s">
        <v>2961</v>
      </c>
      <c r="D8" s="9" t="s">
        <v>2962</v>
      </c>
      <c r="E8" s="9" t="s">
        <v>2963</v>
      </c>
      <c r="F8" s="9" t="s">
        <v>2964</v>
      </c>
      <c r="G8" s="9" t="s">
        <v>54</v>
      </c>
      <c r="H8" s="9" t="s">
        <v>2957</v>
      </c>
      <c r="I8" s="9" t="s">
        <v>2933</v>
      </c>
      <c r="J8" t="s">
        <v>2674</v>
      </c>
      <c r="K8" t="s">
        <v>2675</v>
      </c>
      <c r="L8" t="s">
        <v>3</v>
      </c>
    </row>
    <row r="9" spans="1:12" ht="28" x14ac:dyDescent="0.15">
      <c r="A9" s="9" t="s">
        <v>2965</v>
      </c>
      <c r="B9" s="9" t="s">
        <v>2966</v>
      </c>
      <c r="C9" s="9" t="s">
        <v>2967</v>
      </c>
      <c r="D9" s="9" t="s">
        <v>2968</v>
      </c>
      <c r="E9" s="9" t="s">
        <v>2969</v>
      </c>
      <c r="F9" s="9" t="s">
        <v>2970</v>
      </c>
      <c r="G9" s="9" t="s">
        <v>54</v>
      </c>
      <c r="H9" s="9" t="s">
        <v>2957</v>
      </c>
      <c r="I9" s="9" t="s">
        <v>2933</v>
      </c>
      <c r="J9" t="s">
        <v>2674</v>
      </c>
      <c r="K9" t="s">
        <v>2675</v>
      </c>
      <c r="L9" t="s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2" customWidth="1"/>
    <col min="2" max="2" width="25" customWidth="1"/>
    <col min="3" max="3" width="28" customWidth="1"/>
    <col min="4" max="4" width="42" customWidth="1"/>
    <col min="5" max="5" width="25" customWidth="1"/>
    <col min="6" max="6" width="32" customWidth="1"/>
    <col min="7" max="7" width="12" customWidth="1"/>
  </cols>
  <sheetData>
    <row r="1" spans="1:10" ht="14" x14ac:dyDescent="0.15">
      <c r="A1" s="8" t="s">
        <v>2971</v>
      </c>
      <c r="B1" s="8" t="s">
        <v>2972</v>
      </c>
      <c r="C1" s="8" t="s">
        <v>2973</v>
      </c>
      <c r="D1" s="8" t="s">
        <v>2974</v>
      </c>
      <c r="E1" s="8" t="s">
        <v>2975</v>
      </c>
      <c r="F1" s="8" t="s">
        <v>2666</v>
      </c>
      <c r="G1" s="8" t="s">
        <v>38</v>
      </c>
      <c r="H1" t="s">
        <v>37</v>
      </c>
      <c r="I1" t="s">
        <v>2667</v>
      </c>
      <c r="J1" t="s">
        <v>44</v>
      </c>
    </row>
    <row r="2" spans="1:10" ht="14" x14ac:dyDescent="0.15">
      <c r="A2" s="9" t="s">
        <v>2086</v>
      </c>
      <c r="B2" s="9" t="s">
        <v>2976</v>
      </c>
      <c r="C2" s="9" t="s">
        <v>2977</v>
      </c>
      <c r="D2" s="9" t="s">
        <v>2978</v>
      </c>
      <c r="E2" s="9" t="s">
        <v>2979</v>
      </c>
      <c r="F2" s="9" t="s">
        <v>2980</v>
      </c>
      <c r="G2" s="9" t="s">
        <v>52</v>
      </c>
      <c r="H2" t="s">
        <v>2674</v>
      </c>
      <c r="I2" t="s">
        <v>2675</v>
      </c>
      <c r="J2" t="s">
        <v>3</v>
      </c>
    </row>
    <row r="3" spans="1:10" ht="14" x14ac:dyDescent="0.15">
      <c r="A3" s="9" t="s">
        <v>2086</v>
      </c>
      <c r="B3" s="9" t="s">
        <v>2981</v>
      </c>
      <c r="C3" s="9" t="s">
        <v>2982</v>
      </c>
      <c r="D3" s="9" t="s">
        <v>2983</v>
      </c>
      <c r="E3" s="9" t="s">
        <v>2979</v>
      </c>
      <c r="F3" s="9" t="s">
        <v>2984</v>
      </c>
      <c r="G3" s="9" t="s">
        <v>54</v>
      </c>
      <c r="H3" t="s">
        <v>2674</v>
      </c>
      <c r="I3" t="s">
        <v>2675</v>
      </c>
      <c r="J3" t="s">
        <v>3</v>
      </c>
    </row>
    <row r="4" spans="1:10" ht="14" x14ac:dyDescent="0.15">
      <c r="A4" s="9" t="s">
        <v>2086</v>
      </c>
      <c r="B4" s="9" t="s">
        <v>2985</v>
      </c>
      <c r="C4" s="9" t="s">
        <v>2986</v>
      </c>
      <c r="D4" s="9" t="s">
        <v>2987</v>
      </c>
      <c r="E4" s="9" t="s">
        <v>2988</v>
      </c>
      <c r="F4" s="9" t="s">
        <v>2989</v>
      </c>
      <c r="G4" s="9" t="s">
        <v>54</v>
      </c>
      <c r="H4" t="s">
        <v>2674</v>
      </c>
      <c r="I4" t="s">
        <v>2675</v>
      </c>
      <c r="J4" t="s">
        <v>3</v>
      </c>
    </row>
    <row r="5" spans="1:10" ht="14" x14ac:dyDescent="0.15">
      <c r="A5" s="9" t="s">
        <v>2086</v>
      </c>
      <c r="B5" s="9" t="s">
        <v>2990</v>
      </c>
      <c r="C5" s="9" t="s">
        <v>2986</v>
      </c>
      <c r="D5" s="9" t="s">
        <v>2991</v>
      </c>
      <c r="E5" s="9" t="s">
        <v>2988</v>
      </c>
      <c r="F5" s="9" t="s">
        <v>2989</v>
      </c>
      <c r="G5" s="9" t="s">
        <v>54</v>
      </c>
      <c r="H5" t="s">
        <v>2674</v>
      </c>
      <c r="I5" t="s">
        <v>2675</v>
      </c>
      <c r="J5" t="s">
        <v>3</v>
      </c>
    </row>
    <row r="6" spans="1:10" ht="28" x14ac:dyDescent="0.15">
      <c r="A6" s="9" t="s">
        <v>2086</v>
      </c>
      <c r="B6" s="9" t="s">
        <v>2992</v>
      </c>
      <c r="C6" s="9" t="s">
        <v>2993</v>
      </c>
      <c r="D6" s="9" t="s">
        <v>2994</v>
      </c>
      <c r="E6" s="9" t="s">
        <v>1984</v>
      </c>
      <c r="F6" s="9" t="s">
        <v>2995</v>
      </c>
      <c r="G6" s="9" t="s">
        <v>54</v>
      </c>
      <c r="H6" t="s">
        <v>2674</v>
      </c>
      <c r="I6" t="s">
        <v>2675</v>
      </c>
      <c r="J6" t="s">
        <v>3</v>
      </c>
    </row>
    <row r="7" spans="1:10" ht="14" x14ac:dyDescent="0.15">
      <c r="A7" s="9" t="s">
        <v>2086</v>
      </c>
      <c r="B7" s="9" t="s">
        <v>2996</v>
      </c>
      <c r="C7" s="9" t="s">
        <v>2997</v>
      </c>
      <c r="D7" s="9" t="s">
        <v>2998</v>
      </c>
      <c r="E7" s="9" t="s">
        <v>1984</v>
      </c>
      <c r="F7" s="9" t="s">
        <v>2999</v>
      </c>
      <c r="G7" s="9" t="s">
        <v>52</v>
      </c>
      <c r="H7" t="s">
        <v>2674</v>
      </c>
      <c r="I7" t="s">
        <v>2675</v>
      </c>
      <c r="J7" t="s">
        <v>3</v>
      </c>
    </row>
    <row r="8" spans="1:10" ht="14" x14ac:dyDescent="0.15">
      <c r="A8" s="9" t="s">
        <v>2086</v>
      </c>
      <c r="B8" s="9" t="s">
        <v>3000</v>
      </c>
      <c r="C8" s="9" t="s">
        <v>3001</v>
      </c>
      <c r="D8" s="9" t="s">
        <v>3002</v>
      </c>
      <c r="E8" s="9" t="s">
        <v>1984</v>
      </c>
      <c r="F8" s="9" t="s">
        <v>3003</v>
      </c>
      <c r="G8" s="9" t="s">
        <v>52</v>
      </c>
      <c r="H8" t="s">
        <v>2674</v>
      </c>
      <c r="I8" t="s">
        <v>2675</v>
      </c>
      <c r="J8" t="s">
        <v>3</v>
      </c>
    </row>
    <row r="9" spans="1:10" ht="14" x14ac:dyDescent="0.15">
      <c r="A9" s="9" t="s">
        <v>2086</v>
      </c>
      <c r="B9" s="9" t="s">
        <v>3004</v>
      </c>
      <c r="C9" s="9" t="s">
        <v>3005</v>
      </c>
      <c r="D9" s="9" t="s">
        <v>3006</v>
      </c>
      <c r="E9" s="9" t="s">
        <v>1984</v>
      </c>
      <c r="F9" s="9" t="s">
        <v>3007</v>
      </c>
      <c r="G9" s="9" t="s">
        <v>54</v>
      </c>
      <c r="H9" t="s">
        <v>2674</v>
      </c>
      <c r="I9" t="s">
        <v>2675</v>
      </c>
      <c r="J9" t="s">
        <v>3</v>
      </c>
    </row>
    <row r="10" spans="1:10" ht="14" x14ac:dyDescent="0.15">
      <c r="A10" s="9" t="s">
        <v>2053</v>
      </c>
      <c r="B10" s="9" t="s">
        <v>3008</v>
      </c>
      <c r="C10" s="9" t="s">
        <v>3009</v>
      </c>
      <c r="D10" s="9" t="s">
        <v>3010</v>
      </c>
      <c r="E10" s="9" t="s">
        <v>3011</v>
      </c>
      <c r="F10" s="9" t="s">
        <v>3012</v>
      </c>
      <c r="G10" s="9" t="s">
        <v>191</v>
      </c>
      <c r="H10" t="s">
        <v>2674</v>
      </c>
      <c r="I10" t="s">
        <v>2675</v>
      </c>
      <c r="J10" t="s">
        <v>3</v>
      </c>
    </row>
    <row r="11" spans="1:10" ht="14" x14ac:dyDescent="0.15">
      <c r="A11" s="9" t="s">
        <v>2053</v>
      </c>
      <c r="B11" s="9" t="s">
        <v>3013</v>
      </c>
      <c r="C11" s="9" t="s">
        <v>3014</v>
      </c>
      <c r="D11" s="9" t="s">
        <v>3015</v>
      </c>
      <c r="E11" s="9" t="s">
        <v>3016</v>
      </c>
      <c r="F11" s="9" t="s">
        <v>2324</v>
      </c>
      <c r="G11" s="9" t="s">
        <v>54</v>
      </c>
      <c r="H11" t="s">
        <v>2674</v>
      </c>
      <c r="I11" t="s">
        <v>2675</v>
      </c>
      <c r="J11" t="s">
        <v>3</v>
      </c>
    </row>
    <row r="12" spans="1:10" ht="14" x14ac:dyDescent="0.15">
      <c r="A12" s="9" t="s">
        <v>2053</v>
      </c>
      <c r="B12" s="9" t="s">
        <v>3017</v>
      </c>
      <c r="C12" s="9" t="s">
        <v>3018</v>
      </c>
      <c r="D12" s="9" t="s">
        <v>3019</v>
      </c>
      <c r="E12" s="9" t="s">
        <v>3011</v>
      </c>
      <c r="F12" s="9" t="s">
        <v>2324</v>
      </c>
      <c r="G12" s="9" t="s">
        <v>54</v>
      </c>
      <c r="H12" t="s">
        <v>2674</v>
      </c>
      <c r="I12" t="s">
        <v>2675</v>
      </c>
      <c r="J12" t="s">
        <v>3</v>
      </c>
    </row>
    <row r="13" spans="1:10" ht="14" x14ac:dyDescent="0.15">
      <c r="A13" s="9" t="s">
        <v>2053</v>
      </c>
      <c r="B13" s="9" t="s">
        <v>1699</v>
      </c>
      <c r="C13" s="9" t="s">
        <v>3020</v>
      </c>
      <c r="D13" s="9" t="s">
        <v>3021</v>
      </c>
      <c r="E13" s="9" t="s">
        <v>3022</v>
      </c>
      <c r="F13" s="9" t="s">
        <v>3023</v>
      </c>
      <c r="G13" s="9" t="s">
        <v>52</v>
      </c>
      <c r="H13" t="s">
        <v>2674</v>
      </c>
      <c r="I13" t="s">
        <v>2675</v>
      </c>
      <c r="J13" t="s">
        <v>3</v>
      </c>
    </row>
    <row r="14" spans="1:10" ht="14" x14ac:dyDescent="0.15">
      <c r="A14" s="9" t="s">
        <v>2053</v>
      </c>
      <c r="B14" s="9" t="s">
        <v>3024</v>
      </c>
      <c r="C14" s="9" t="s">
        <v>2993</v>
      </c>
      <c r="D14" s="9" t="s">
        <v>3025</v>
      </c>
      <c r="E14" s="9" t="s">
        <v>3022</v>
      </c>
      <c r="F14" s="9" t="s">
        <v>2324</v>
      </c>
      <c r="G14" s="9" t="s">
        <v>52</v>
      </c>
      <c r="H14" t="s">
        <v>2674</v>
      </c>
      <c r="I14" t="s">
        <v>2675</v>
      </c>
      <c r="J14" t="s">
        <v>3</v>
      </c>
    </row>
    <row r="15" spans="1:10" ht="14" x14ac:dyDescent="0.15">
      <c r="A15" s="9" t="s">
        <v>2053</v>
      </c>
      <c r="B15" s="9" t="s">
        <v>1704</v>
      </c>
      <c r="C15" s="9" t="s">
        <v>3020</v>
      </c>
      <c r="D15" s="9" t="s">
        <v>3026</v>
      </c>
      <c r="E15" s="9" t="s">
        <v>1984</v>
      </c>
      <c r="F15" s="9" t="s">
        <v>2999</v>
      </c>
      <c r="G15" s="9" t="s">
        <v>54</v>
      </c>
      <c r="H15" t="s">
        <v>2674</v>
      </c>
      <c r="I15" t="s">
        <v>2675</v>
      </c>
      <c r="J15" t="s">
        <v>3</v>
      </c>
    </row>
    <row r="16" spans="1:10" ht="14" x14ac:dyDescent="0.15">
      <c r="A16" s="9" t="s">
        <v>2062</v>
      </c>
      <c r="B16" s="9" t="s">
        <v>3027</v>
      </c>
      <c r="C16" s="9" t="s">
        <v>1564</v>
      </c>
      <c r="D16" s="9" t="s">
        <v>3028</v>
      </c>
      <c r="E16" s="9" t="s">
        <v>1984</v>
      </c>
      <c r="F16" s="9" t="s">
        <v>3029</v>
      </c>
      <c r="G16" s="9" t="s">
        <v>54</v>
      </c>
      <c r="H16" t="s">
        <v>2674</v>
      </c>
      <c r="I16" t="s">
        <v>2675</v>
      </c>
      <c r="J16" t="s">
        <v>3</v>
      </c>
    </row>
    <row r="17" spans="1:10" ht="14" x14ac:dyDescent="0.15">
      <c r="A17" s="9" t="s">
        <v>2062</v>
      </c>
      <c r="B17" s="9" t="s">
        <v>3030</v>
      </c>
      <c r="C17" s="9" t="s">
        <v>3031</v>
      </c>
      <c r="D17" s="9" t="s">
        <v>3032</v>
      </c>
      <c r="E17" s="9" t="s">
        <v>1984</v>
      </c>
      <c r="F17" s="9" t="s">
        <v>3033</v>
      </c>
      <c r="G17" s="9" t="s">
        <v>54</v>
      </c>
      <c r="H17" t="s">
        <v>2674</v>
      </c>
      <c r="I17" t="s">
        <v>2675</v>
      </c>
      <c r="J17" t="s">
        <v>3</v>
      </c>
    </row>
    <row r="18" spans="1:10" ht="14" x14ac:dyDescent="0.15">
      <c r="A18" s="9" t="s">
        <v>2062</v>
      </c>
      <c r="B18" s="9" t="s">
        <v>3000</v>
      </c>
      <c r="C18" s="9" t="s">
        <v>3001</v>
      </c>
      <c r="D18" s="9" t="s">
        <v>3034</v>
      </c>
      <c r="E18" s="9" t="s">
        <v>1984</v>
      </c>
      <c r="F18" s="9" t="s">
        <v>3035</v>
      </c>
      <c r="G18" s="9" t="s">
        <v>54</v>
      </c>
      <c r="H18" t="s">
        <v>2674</v>
      </c>
      <c r="I18" t="s">
        <v>2675</v>
      </c>
      <c r="J18" t="s">
        <v>3</v>
      </c>
    </row>
    <row r="19" spans="1:10" ht="14" x14ac:dyDescent="0.15">
      <c r="A19" s="9" t="s">
        <v>2062</v>
      </c>
      <c r="B19" s="9" t="s">
        <v>3036</v>
      </c>
      <c r="C19" s="9" t="s">
        <v>3037</v>
      </c>
      <c r="D19" s="9" t="s">
        <v>3038</v>
      </c>
      <c r="E19" s="9" t="s">
        <v>3039</v>
      </c>
      <c r="F19" s="9" t="s">
        <v>3040</v>
      </c>
      <c r="G19" s="9" t="s">
        <v>54</v>
      </c>
      <c r="H19" t="s">
        <v>2674</v>
      </c>
      <c r="I19" t="s">
        <v>2675</v>
      </c>
      <c r="J19" t="s">
        <v>3</v>
      </c>
    </row>
    <row r="20" spans="1:10" ht="14" x14ac:dyDescent="0.15">
      <c r="A20" s="9" t="s">
        <v>2062</v>
      </c>
      <c r="B20" s="9" t="s">
        <v>3041</v>
      </c>
      <c r="C20" s="9" t="s">
        <v>3042</v>
      </c>
      <c r="D20" s="9" t="s">
        <v>3043</v>
      </c>
      <c r="E20" s="9" t="s">
        <v>3044</v>
      </c>
      <c r="F20" s="9" t="s">
        <v>3045</v>
      </c>
      <c r="G20" s="9" t="s">
        <v>191</v>
      </c>
      <c r="H20" t="s">
        <v>2674</v>
      </c>
      <c r="I20" t="s">
        <v>2675</v>
      </c>
      <c r="J20" t="s">
        <v>3</v>
      </c>
    </row>
    <row r="21" spans="1:10" ht="14" x14ac:dyDescent="0.15">
      <c r="A21" s="9" t="s">
        <v>2062</v>
      </c>
      <c r="B21" s="9" t="s">
        <v>3046</v>
      </c>
      <c r="C21" s="9" t="s">
        <v>3042</v>
      </c>
      <c r="D21" s="9" t="s">
        <v>3047</v>
      </c>
      <c r="E21" s="9" t="s">
        <v>1984</v>
      </c>
      <c r="F21" s="9" t="s">
        <v>3040</v>
      </c>
      <c r="G21" s="9" t="s">
        <v>54</v>
      </c>
      <c r="H21" t="s">
        <v>2674</v>
      </c>
      <c r="I21" t="s">
        <v>2675</v>
      </c>
      <c r="J21" t="s">
        <v>3</v>
      </c>
    </row>
    <row r="22" spans="1:10" ht="14" x14ac:dyDescent="0.15">
      <c r="A22" s="9" t="s">
        <v>3048</v>
      </c>
      <c r="B22" s="9" t="s">
        <v>3049</v>
      </c>
      <c r="C22" s="9" t="s">
        <v>3050</v>
      </c>
      <c r="D22" s="9" t="s">
        <v>3051</v>
      </c>
      <c r="E22" s="9" t="s">
        <v>1984</v>
      </c>
      <c r="F22" s="9" t="s">
        <v>3052</v>
      </c>
      <c r="G22" s="9" t="s">
        <v>52</v>
      </c>
      <c r="H22" t="s">
        <v>2674</v>
      </c>
      <c r="I22" t="s">
        <v>2675</v>
      </c>
      <c r="J22" t="s">
        <v>3</v>
      </c>
    </row>
    <row r="23" spans="1:10" ht="14" x14ac:dyDescent="0.15">
      <c r="A23" s="9" t="s">
        <v>3048</v>
      </c>
      <c r="B23" s="9" t="s">
        <v>3053</v>
      </c>
      <c r="C23" s="9" t="s">
        <v>3054</v>
      </c>
      <c r="D23" s="9" t="s">
        <v>3055</v>
      </c>
      <c r="E23" s="9" t="s">
        <v>1984</v>
      </c>
      <c r="F23" s="9" t="s">
        <v>3056</v>
      </c>
      <c r="G23" s="9" t="s">
        <v>52</v>
      </c>
      <c r="H23" t="s">
        <v>2674</v>
      </c>
      <c r="I23" t="s">
        <v>2675</v>
      </c>
      <c r="J23" t="s">
        <v>3</v>
      </c>
    </row>
    <row r="24" spans="1:10" ht="14" x14ac:dyDescent="0.15">
      <c r="A24" s="9" t="s">
        <v>1412</v>
      </c>
      <c r="B24" s="9" t="s">
        <v>3057</v>
      </c>
      <c r="C24" s="9" t="s">
        <v>3058</v>
      </c>
      <c r="D24" s="9" t="s">
        <v>3059</v>
      </c>
      <c r="E24" s="9" t="s">
        <v>3060</v>
      </c>
      <c r="F24" s="9" t="s">
        <v>3061</v>
      </c>
      <c r="G24" s="9" t="s">
        <v>52</v>
      </c>
      <c r="H24" t="s">
        <v>2674</v>
      </c>
      <c r="I24" t="s">
        <v>2675</v>
      </c>
      <c r="J24" t="s">
        <v>3</v>
      </c>
    </row>
    <row r="25" spans="1:10" ht="14" x14ac:dyDescent="0.15">
      <c r="A25" s="9" t="s">
        <v>1412</v>
      </c>
      <c r="B25" s="9" t="s">
        <v>3062</v>
      </c>
      <c r="C25" s="9" t="s">
        <v>3063</v>
      </c>
      <c r="D25" s="9" t="s">
        <v>3064</v>
      </c>
      <c r="E25" s="9" t="s">
        <v>3060</v>
      </c>
      <c r="F25" s="9" t="s">
        <v>3065</v>
      </c>
      <c r="G25" s="9" t="s">
        <v>52</v>
      </c>
      <c r="H25" t="s">
        <v>2674</v>
      </c>
      <c r="I25" t="s">
        <v>2675</v>
      </c>
      <c r="J25" t="s">
        <v>3</v>
      </c>
    </row>
    <row r="26" spans="1:10" ht="14" x14ac:dyDescent="0.15">
      <c r="A26" s="9" t="s">
        <v>1412</v>
      </c>
      <c r="B26" s="9" t="s">
        <v>3066</v>
      </c>
      <c r="C26" s="9" t="s">
        <v>3067</v>
      </c>
      <c r="D26" s="9" t="s">
        <v>3068</v>
      </c>
      <c r="E26" s="9" t="s">
        <v>3069</v>
      </c>
      <c r="F26" s="9" t="s">
        <v>3061</v>
      </c>
      <c r="G26" s="9" t="s">
        <v>54</v>
      </c>
      <c r="H26" t="s">
        <v>2674</v>
      </c>
      <c r="I26" t="s">
        <v>2675</v>
      </c>
      <c r="J26" t="s">
        <v>3</v>
      </c>
    </row>
    <row r="27" spans="1:10" x14ac:dyDescent="0.15">
      <c r="A27" t="s">
        <v>2053</v>
      </c>
      <c r="B27" t="s">
        <v>3070</v>
      </c>
      <c r="C27" t="s">
        <v>3071</v>
      </c>
      <c r="D27" t="s">
        <v>3072</v>
      </c>
      <c r="E27" t="s">
        <v>3073</v>
      </c>
      <c r="F27" t="s">
        <v>3074</v>
      </c>
      <c r="G27" t="s">
        <v>54</v>
      </c>
      <c r="H27" t="s">
        <v>2674</v>
      </c>
      <c r="I27" t="s">
        <v>2675</v>
      </c>
      <c r="J27" t="s">
        <v>3</v>
      </c>
    </row>
    <row r="28" spans="1:10" x14ac:dyDescent="0.15">
      <c r="A28" t="s">
        <v>2053</v>
      </c>
      <c r="B28" t="s">
        <v>3075</v>
      </c>
      <c r="C28" t="s">
        <v>2986</v>
      </c>
      <c r="D28" t="s">
        <v>3076</v>
      </c>
      <c r="E28" t="s">
        <v>1984</v>
      </c>
      <c r="F28" t="s">
        <v>3077</v>
      </c>
      <c r="G28" t="s">
        <v>54</v>
      </c>
      <c r="H28" t="s">
        <v>2674</v>
      </c>
      <c r="I28" t="s">
        <v>2675</v>
      </c>
      <c r="J28" t="s">
        <v>3</v>
      </c>
    </row>
    <row r="29" spans="1:10" x14ac:dyDescent="0.15">
      <c r="A29" t="s">
        <v>2053</v>
      </c>
      <c r="B29" t="s">
        <v>3078</v>
      </c>
      <c r="C29" t="s">
        <v>2986</v>
      </c>
      <c r="D29" t="s">
        <v>3079</v>
      </c>
      <c r="E29" t="s">
        <v>3011</v>
      </c>
      <c r="F29" t="s">
        <v>3080</v>
      </c>
      <c r="G29" t="s">
        <v>191</v>
      </c>
      <c r="H29" t="s">
        <v>2674</v>
      </c>
      <c r="I29" t="s">
        <v>2675</v>
      </c>
      <c r="J29" t="s">
        <v>3</v>
      </c>
    </row>
    <row r="30" spans="1:10" x14ac:dyDescent="0.15">
      <c r="A30" t="s">
        <v>2053</v>
      </c>
      <c r="B30" t="s">
        <v>3081</v>
      </c>
      <c r="C30" t="s">
        <v>3082</v>
      </c>
      <c r="D30" t="s">
        <v>3083</v>
      </c>
      <c r="E30" t="s">
        <v>3011</v>
      </c>
      <c r="F30" t="s">
        <v>3084</v>
      </c>
      <c r="G30" t="s">
        <v>54</v>
      </c>
      <c r="H30" t="s">
        <v>2674</v>
      </c>
      <c r="I30" t="s">
        <v>2675</v>
      </c>
      <c r="J30" t="s">
        <v>3</v>
      </c>
    </row>
    <row r="31" spans="1:10" x14ac:dyDescent="0.15">
      <c r="A31" t="s">
        <v>2053</v>
      </c>
      <c r="B31" t="s">
        <v>3085</v>
      </c>
      <c r="C31" t="s">
        <v>3082</v>
      </c>
      <c r="D31" t="s">
        <v>3086</v>
      </c>
      <c r="E31" t="s">
        <v>1984</v>
      </c>
      <c r="F31" t="s">
        <v>3087</v>
      </c>
      <c r="G31" t="s">
        <v>54</v>
      </c>
      <c r="H31" t="s">
        <v>2674</v>
      </c>
      <c r="I31" t="s">
        <v>2675</v>
      </c>
      <c r="J31" t="s">
        <v>3</v>
      </c>
    </row>
    <row r="32" spans="1:10" x14ac:dyDescent="0.15">
      <c r="A32" t="s">
        <v>2053</v>
      </c>
      <c r="B32" t="s">
        <v>3088</v>
      </c>
      <c r="C32" t="s">
        <v>3082</v>
      </c>
      <c r="D32" t="s">
        <v>3089</v>
      </c>
      <c r="E32" t="s">
        <v>1984</v>
      </c>
      <c r="F32" t="s">
        <v>3087</v>
      </c>
      <c r="G32" t="s">
        <v>191</v>
      </c>
      <c r="H32" t="s">
        <v>2674</v>
      </c>
      <c r="I32" t="s">
        <v>2675</v>
      </c>
      <c r="J32" t="s">
        <v>3</v>
      </c>
    </row>
    <row r="33" spans="1:10" x14ac:dyDescent="0.15">
      <c r="A33" t="s">
        <v>2053</v>
      </c>
      <c r="B33" t="s">
        <v>3090</v>
      </c>
      <c r="C33" t="s">
        <v>3091</v>
      </c>
      <c r="D33" t="s">
        <v>3092</v>
      </c>
      <c r="E33" t="s">
        <v>1984</v>
      </c>
      <c r="F33" t="s">
        <v>3080</v>
      </c>
      <c r="G33" t="s">
        <v>54</v>
      </c>
      <c r="H33" t="s">
        <v>2674</v>
      </c>
      <c r="I33" t="s">
        <v>2675</v>
      </c>
      <c r="J33" t="s">
        <v>3</v>
      </c>
    </row>
    <row r="34" spans="1:10" x14ac:dyDescent="0.15">
      <c r="A34" t="s">
        <v>2086</v>
      </c>
      <c r="B34" t="s">
        <v>1815</v>
      </c>
      <c r="C34" t="s">
        <v>3093</v>
      </c>
      <c r="D34" t="s">
        <v>3094</v>
      </c>
      <c r="E34" t="s">
        <v>3095</v>
      </c>
      <c r="F34" t="s">
        <v>3096</v>
      </c>
      <c r="G34" t="s">
        <v>54</v>
      </c>
      <c r="H34" t="s">
        <v>2674</v>
      </c>
      <c r="I34" t="s">
        <v>2675</v>
      </c>
      <c r="J34" t="s">
        <v>3</v>
      </c>
    </row>
    <row r="35" spans="1:10" x14ac:dyDescent="0.15">
      <c r="A35" t="s">
        <v>2086</v>
      </c>
      <c r="B35" t="s">
        <v>3097</v>
      </c>
      <c r="C35" t="s">
        <v>3098</v>
      </c>
      <c r="D35" t="s">
        <v>3099</v>
      </c>
      <c r="E35" t="s">
        <v>3100</v>
      </c>
      <c r="F35" t="s">
        <v>3096</v>
      </c>
      <c r="G35" t="s">
        <v>54</v>
      </c>
      <c r="H35" t="s">
        <v>2674</v>
      </c>
      <c r="I35" t="s">
        <v>2675</v>
      </c>
      <c r="J35" t="s">
        <v>3</v>
      </c>
    </row>
    <row r="36" spans="1:10" x14ac:dyDescent="0.15">
      <c r="A36" t="s">
        <v>2086</v>
      </c>
      <c r="B36" t="s">
        <v>3101</v>
      </c>
      <c r="C36" t="s">
        <v>3102</v>
      </c>
      <c r="D36" t="s">
        <v>3103</v>
      </c>
      <c r="E36" t="s">
        <v>3100</v>
      </c>
      <c r="F36" t="s">
        <v>3096</v>
      </c>
      <c r="G36" t="s">
        <v>191</v>
      </c>
      <c r="H36" t="s">
        <v>2674</v>
      </c>
      <c r="I36" t="s">
        <v>2675</v>
      </c>
      <c r="J36" t="s">
        <v>3</v>
      </c>
    </row>
    <row r="37" spans="1:10" x14ac:dyDescent="0.15">
      <c r="A37" t="s">
        <v>2086</v>
      </c>
      <c r="B37" t="s">
        <v>3104</v>
      </c>
      <c r="C37" t="s">
        <v>3105</v>
      </c>
      <c r="D37" t="s">
        <v>3106</v>
      </c>
      <c r="E37" t="s">
        <v>3100</v>
      </c>
      <c r="F37" t="s">
        <v>3096</v>
      </c>
      <c r="G37" t="s">
        <v>54</v>
      </c>
      <c r="H37" t="s">
        <v>2674</v>
      </c>
      <c r="I37" t="s">
        <v>2675</v>
      </c>
      <c r="J37" t="s">
        <v>3</v>
      </c>
    </row>
    <row r="38" spans="1:10" x14ac:dyDescent="0.15">
      <c r="A38" t="s">
        <v>2086</v>
      </c>
      <c r="B38" t="s">
        <v>3107</v>
      </c>
      <c r="C38" t="s">
        <v>3108</v>
      </c>
      <c r="D38" t="s">
        <v>3109</v>
      </c>
      <c r="E38" t="s">
        <v>3100</v>
      </c>
      <c r="F38" t="s">
        <v>3040</v>
      </c>
      <c r="G38" t="s">
        <v>54</v>
      </c>
      <c r="H38" t="s">
        <v>2674</v>
      </c>
      <c r="I38" t="s">
        <v>2675</v>
      </c>
      <c r="J38" t="s">
        <v>3</v>
      </c>
    </row>
    <row r="39" spans="1:10" x14ac:dyDescent="0.15">
      <c r="A39" t="s">
        <v>2086</v>
      </c>
      <c r="B39" t="s">
        <v>3110</v>
      </c>
      <c r="C39" t="s">
        <v>3111</v>
      </c>
      <c r="D39" t="s">
        <v>3112</v>
      </c>
      <c r="E39" t="s">
        <v>3100</v>
      </c>
      <c r="F39" t="s">
        <v>3113</v>
      </c>
      <c r="G39" t="s">
        <v>54</v>
      </c>
      <c r="H39" t="s">
        <v>2674</v>
      </c>
      <c r="I39" t="s">
        <v>2675</v>
      </c>
      <c r="J39" t="s">
        <v>3</v>
      </c>
    </row>
    <row r="40" spans="1:10" x14ac:dyDescent="0.15">
      <c r="A40" t="s">
        <v>2086</v>
      </c>
      <c r="B40" t="s">
        <v>3114</v>
      </c>
      <c r="C40" t="s">
        <v>3115</v>
      </c>
      <c r="D40" t="s">
        <v>3116</v>
      </c>
      <c r="E40" t="s">
        <v>3100</v>
      </c>
      <c r="F40" t="s">
        <v>3040</v>
      </c>
      <c r="G40" t="s">
        <v>191</v>
      </c>
      <c r="H40" t="s">
        <v>2674</v>
      </c>
      <c r="I40" t="s">
        <v>2675</v>
      </c>
      <c r="J40" t="s">
        <v>3</v>
      </c>
    </row>
    <row r="41" spans="1:10" x14ac:dyDescent="0.15">
      <c r="A41" t="s">
        <v>2062</v>
      </c>
      <c r="B41" t="s">
        <v>1887</v>
      </c>
      <c r="C41" t="s">
        <v>3071</v>
      </c>
      <c r="D41" t="s">
        <v>3117</v>
      </c>
      <c r="E41" t="s">
        <v>1984</v>
      </c>
      <c r="F41" t="s">
        <v>3040</v>
      </c>
      <c r="G41" t="s">
        <v>52</v>
      </c>
      <c r="H41" t="s">
        <v>2674</v>
      </c>
      <c r="I41" t="s">
        <v>2675</v>
      </c>
      <c r="J41" t="s">
        <v>3</v>
      </c>
    </row>
    <row r="42" spans="1:10" x14ac:dyDescent="0.15">
      <c r="A42" t="s">
        <v>2062</v>
      </c>
      <c r="B42" t="s">
        <v>3118</v>
      </c>
      <c r="C42" t="s">
        <v>3119</v>
      </c>
      <c r="D42" t="s">
        <v>3120</v>
      </c>
      <c r="E42" t="s">
        <v>1984</v>
      </c>
      <c r="F42" t="s">
        <v>1887</v>
      </c>
      <c r="G42" t="s">
        <v>54</v>
      </c>
      <c r="H42" t="s">
        <v>2674</v>
      </c>
      <c r="I42" t="s">
        <v>2675</v>
      </c>
      <c r="J42" t="s">
        <v>3</v>
      </c>
    </row>
    <row r="43" spans="1:10" x14ac:dyDescent="0.15">
      <c r="A43" t="s">
        <v>2062</v>
      </c>
      <c r="B43" t="s">
        <v>3121</v>
      </c>
      <c r="C43" t="s">
        <v>3122</v>
      </c>
      <c r="D43" t="s">
        <v>3123</v>
      </c>
      <c r="E43" t="s">
        <v>1984</v>
      </c>
      <c r="F43" t="s">
        <v>1887</v>
      </c>
      <c r="G43" t="s">
        <v>54</v>
      </c>
      <c r="H43" t="s">
        <v>2674</v>
      </c>
      <c r="I43" t="s">
        <v>2675</v>
      </c>
      <c r="J43" t="s">
        <v>3</v>
      </c>
    </row>
    <row r="44" spans="1:10" x14ac:dyDescent="0.15">
      <c r="A44" t="s">
        <v>2062</v>
      </c>
      <c r="B44" t="s">
        <v>3124</v>
      </c>
      <c r="C44" t="s">
        <v>3125</v>
      </c>
      <c r="D44" t="s">
        <v>3126</v>
      </c>
      <c r="E44" t="s">
        <v>1984</v>
      </c>
      <c r="F44" t="s">
        <v>3033</v>
      </c>
      <c r="G44" t="s">
        <v>52</v>
      </c>
      <c r="H44" t="s">
        <v>2674</v>
      </c>
      <c r="I44" t="s">
        <v>2675</v>
      </c>
      <c r="J44" t="s">
        <v>3</v>
      </c>
    </row>
    <row r="45" spans="1:10" x14ac:dyDescent="0.15">
      <c r="A45" t="s">
        <v>2062</v>
      </c>
      <c r="B45" t="s">
        <v>3127</v>
      </c>
      <c r="C45" t="s">
        <v>3001</v>
      </c>
      <c r="D45" t="s">
        <v>3128</v>
      </c>
      <c r="E45" t="s">
        <v>3011</v>
      </c>
      <c r="F45" t="s">
        <v>3035</v>
      </c>
      <c r="G45" t="s">
        <v>54</v>
      </c>
      <c r="H45" t="s">
        <v>2674</v>
      </c>
      <c r="I45" t="s">
        <v>2675</v>
      </c>
      <c r="J45" t="s">
        <v>3</v>
      </c>
    </row>
    <row r="46" spans="1:10" x14ac:dyDescent="0.15">
      <c r="A46" t="s">
        <v>2062</v>
      </c>
      <c r="B46" t="s">
        <v>3129</v>
      </c>
      <c r="C46" t="s">
        <v>3037</v>
      </c>
      <c r="D46" t="s">
        <v>3130</v>
      </c>
      <c r="E46" t="s">
        <v>3016</v>
      </c>
      <c r="F46" t="s">
        <v>3040</v>
      </c>
      <c r="G46" t="s">
        <v>54</v>
      </c>
      <c r="H46" t="s">
        <v>2674</v>
      </c>
      <c r="I46" t="s">
        <v>2675</v>
      </c>
      <c r="J46" t="s">
        <v>3</v>
      </c>
    </row>
    <row r="47" spans="1:10" x14ac:dyDescent="0.15">
      <c r="A47" t="s">
        <v>3131</v>
      </c>
      <c r="B47" t="s">
        <v>3132</v>
      </c>
      <c r="C47" t="s">
        <v>3115</v>
      </c>
      <c r="D47" t="s">
        <v>3133</v>
      </c>
      <c r="E47" t="s">
        <v>3134</v>
      </c>
      <c r="F47" t="s">
        <v>3135</v>
      </c>
      <c r="G47" t="s">
        <v>54</v>
      </c>
      <c r="H47" t="s">
        <v>2674</v>
      </c>
      <c r="I47" t="s">
        <v>2675</v>
      </c>
      <c r="J47" t="s">
        <v>3</v>
      </c>
    </row>
    <row r="48" spans="1:10" x14ac:dyDescent="0.15">
      <c r="A48" t="s">
        <v>3131</v>
      </c>
      <c r="B48" t="s">
        <v>3136</v>
      </c>
      <c r="C48" t="s">
        <v>3137</v>
      </c>
      <c r="D48" t="s">
        <v>3138</v>
      </c>
      <c r="E48" t="s">
        <v>3139</v>
      </c>
      <c r="F48" t="s">
        <v>3140</v>
      </c>
      <c r="G48" t="s">
        <v>54</v>
      </c>
      <c r="H48" t="s">
        <v>2674</v>
      </c>
      <c r="I48" t="s">
        <v>2675</v>
      </c>
      <c r="J48" t="s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1" customWidth="1"/>
    <col min="2" max="4" width="45" customWidth="1"/>
    <col min="5" max="5" width="11" customWidth="1"/>
    <col min="6" max="6" width="8" customWidth="1"/>
    <col min="7" max="7" width="40" customWidth="1"/>
  </cols>
  <sheetData>
    <row r="1" spans="1:10" ht="14" x14ac:dyDescent="0.15">
      <c r="A1" s="10" t="s">
        <v>3141</v>
      </c>
      <c r="B1" s="10" t="s">
        <v>2916</v>
      </c>
      <c r="C1" s="10" t="s">
        <v>2663</v>
      </c>
      <c r="D1" s="10" t="s">
        <v>2664</v>
      </c>
      <c r="E1" s="10" t="s">
        <v>38</v>
      </c>
      <c r="F1" s="10" t="s">
        <v>3142</v>
      </c>
      <c r="G1" s="10" t="s">
        <v>3143</v>
      </c>
      <c r="H1" t="s">
        <v>37</v>
      </c>
      <c r="I1" t="s">
        <v>2667</v>
      </c>
      <c r="J1" t="s">
        <v>44</v>
      </c>
    </row>
    <row r="2" spans="1:10" x14ac:dyDescent="0.15">
      <c r="A2" t="s">
        <v>3144</v>
      </c>
      <c r="B2" t="s">
        <v>3145</v>
      </c>
      <c r="C2" t="s">
        <v>3146</v>
      </c>
      <c r="D2" t="s">
        <v>3147</v>
      </c>
      <c r="E2" t="s">
        <v>52</v>
      </c>
      <c r="F2" t="s">
        <v>17</v>
      </c>
      <c r="G2" t="s">
        <v>3148</v>
      </c>
      <c r="H2" t="s">
        <v>2674</v>
      </c>
      <c r="I2" t="s">
        <v>2675</v>
      </c>
      <c r="J2" t="s">
        <v>3</v>
      </c>
    </row>
    <row r="3" spans="1:10" x14ac:dyDescent="0.15">
      <c r="A3" t="s">
        <v>2823</v>
      </c>
      <c r="B3" t="s">
        <v>3149</v>
      </c>
      <c r="C3" t="s">
        <v>3150</v>
      </c>
      <c r="D3" t="s">
        <v>3151</v>
      </c>
      <c r="E3" t="s">
        <v>54</v>
      </c>
      <c r="F3" t="s">
        <v>17</v>
      </c>
      <c r="G3" t="s">
        <v>3152</v>
      </c>
      <c r="H3" t="s">
        <v>2674</v>
      </c>
      <c r="I3" t="s">
        <v>2675</v>
      </c>
      <c r="J3" t="s">
        <v>3</v>
      </c>
    </row>
    <row r="4" spans="1:10" x14ac:dyDescent="0.15">
      <c r="A4" t="s">
        <v>3153</v>
      </c>
      <c r="B4" t="s">
        <v>3154</v>
      </c>
      <c r="C4" t="s">
        <v>3155</v>
      </c>
      <c r="D4" t="s">
        <v>3156</v>
      </c>
      <c r="E4" t="s">
        <v>52</v>
      </c>
      <c r="F4" t="s">
        <v>17</v>
      </c>
      <c r="G4" t="s">
        <v>3157</v>
      </c>
      <c r="H4" t="s">
        <v>2674</v>
      </c>
      <c r="I4" t="s">
        <v>2675</v>
      </c>
      <c r="J4" t="s">
        <v>3</v>
      </c>
    </row>
    <row r="5" spans="1:10" x14ac:dyDescent="0.15">
      <c r="A5" t="s">
        <v>3158</v>
      </c>
      <c r="B5" t="s">
        <v>3159</v>
      </c>
      <c r="C5" t="s">
        <v>3160</v>
      </c>
      <c r="D5" t="s">
        <v>3161</v>
      </c>
      <c r="E5" t="s">
        <v>52</v>
      </c>
      <c r="F5" t="s">
        <v>17</v>
      </c>
      <c r="G5" t="s">
        <v>2679</v>
      </c>
      <c r="H5" t="s">
        <v>2674</v>
      </c>
      <c r="I5" t="s">
        <v>2675</v>
      </c>
      <c r="J5" t="s">
        <v>3</v>
      </c>
    </row>
    <row r="6" spans="1:10" x14ac:dyDescent="0.15">
      <c r="A6" t="s">
        <v>3162</v>
      </c>
      <c r="B6" t="s">
        <v>3163</v>
      </c>
      <c r="C6" t="s">
        <v>3164</v>
      </c>
      <c r="D6" t="s">
        <v>3165</v>
      </c>
      <c r="E6" t="s">
        <v>54</v>
      </c>
      <c r="F6" t="s">
        <v>17</v>
      </c>
      <c r="G6" t="s">
        <v>3166</v>
      </c>
      <c r="H6" t="s">
        <v>2674</v>
      </c>
      <c r="I6" t="s">
        <v>2675</v>
      </c>
      <c r="J6" t="s">
        <v>3</v>
      </c>
    </row>
    <row r="7" spans="1:10" x14ac:dyDescent="0.15">
      <c r="A7" t="s">
        <v>3167</v>
      </c>
      <c r="B7" t="s">
        <v>3168</v>
      </c>
      <c r="C7" t="s">
        <v>3169</v>
      </c>
      <c r="D7" t="s">
        <v>3170</v>
      </c>
      <c r="E7" t="s">
        <v>52</v>
      </c>
      <c r="F7" t="s">
        <v>17</v>
      </c>
      <c r="G7" t="s">
        <v>3171</v>
      </c>
      <c r="H7" t="s">
        <v>2674</v>
      </c>
      <c r="I7" t="s">
        <v>2675</v>
      </c>
      <c r="J7" t="s">
        <v>3</v>
      </c>
    </row>
    <row r="8" spans="1:10" x14ac:dyDescent="0.15">
      <c r="A8" t="s">
        <v>3172</v>
      </c>
      <c r="B8" t="s">
        <v>3173</v>
      </c>
      <c r="C8" t="s">
        <v>3174</v>
      </c>
      <c r="D8" t="s">
        <v>3175</v>
      </c>
      <c r="E8" t="s">
        <v>54</v>
      </c>
      <c r="F8" t="s">
        <v>17</v>
      </c>
      <c r="G8" t="s">
        <v>3176</v>
      </c>
      <c r="H8" t="s">
        <v>2674</v>
      </c>
      <c r="I8" t="s">
        <v>2675</v>
      </c>
      <c r="J8" t="s">
        <v>3</v>
      </c>
    </row>
    <row r="9" spans="1:10" x14ac:dyDescent="0.15">
      <c r="A9" t="s">
        <v>3177</v>
      </c>
      <c r="B9" t="s">
        <v>3178</v>
      </c>
      <c r="C9" t="s">
        <v>3179</v>
      </c>
      <c r="D9" t="s">
        <v>3180</v>
      </c>
      <c r="E9" t="s">
        <v>52</v>
      </c>
      <c r="F9" t="s">
        <v>17</v>
      </c>
      <c r="G9" t="s">
        <v>3181</v>
      </c>
      <c r="H9" t="s">
        <v>2674</v>
      </c>
      <c r="I9" t="s">
        <v>2675</v>
      </c>
      <c r="J9" t="s">
        <v>3</v>
      </c>
    </row>
    <row r="10" spans="1:10" x14ac:dyDescent="0.15">
      <c r="A10" t="s">
        <v>2833</v>
      </c>
      <c r="B10" t="s">
        <v>3182</v>
      </c>
      <c r="C10" t="s">
        <v>3183</v>
      </c>
      <c r="D10" t="s">
        <v>3184</v>
      </c>
      <c r="E10" t="s">
        <v>54</v>
      </c>
      <c r="F10" t="s">
        <v>17</v>
      </c>
      <c r="G10" t="s">
        <v>3185</v>
      </c>
      <c r="H10" t="s">
        <v>2674</v>
      </c>
      <c r="I10" t="s">
        <v>2675</v>
      </c>
      <c r="J10" t="s">
        <v>3</v>
      </c>
    </row>
    <row r="11" spans="1:10" x14ac:dyDescent="0.15">
      <c r="A11" t="s">
        <v>3186</v>
      </c>
      <c r="B11" t="s">
        <v>3187</v>
      </c>
      <c r="C11" t="s">
        <v>3188</v>
      </c>
      <c r="D11" t="s">
        <v>3189</v>
      </c>
      <c r="E11" t="s">
        <v>52</v>
      </c>
      <c r="F11" t="s">
        <v>17</v>
      </c>
      <c r="G11" t="s">
        <v>3190</v>
      </c>
      <c r="H11" t="s">
        <v>2674</v>
      </c>
      <c r="I11" t="s">
        <v>2675</v>
      </c>
      <c r="J11" t="s">
        <v>3</v>
      </c>
    </row>
    <row r="12" spans="1:10" x14ac:dyDescent="0.15">
      <c r="A12" t="s">
        <v>3191</v>
      </c>
      <c r="B12" t="s">
        <v>3192</v>
      </c>
      <c r="C12" t="s">
        <v>3193</v>
      </c>
      <c r="D12" t="s">
        <v>3194</v>
      </c>
      <c r="E12" t="s">
        <v>54</v>
      </c>
      <c r="F12" t="s">
        <v>17</v>
      </c>
      <c r="G12" t="s">
        <v>3195</v>
      </c>
      <c r="H12" t="s">
        <v>2674</v>
      </c>
      <c r="I12" t="s">
        <v>2675</v>
      </c>
      <c r="J12" t="s">
        <v>3</v>
      </c>
    </row>
    <row r="13" spans="1:10" x14ac:dyDescent="0.15">
      <c r="A13" t="s">
        <v>3196</v>
      </c>
      <c r="B13" t="s">
        <v>3197</v>
      </c>
      <c r="C13" t="s">
        <v>3198</v>
      </c>
      <c r="D13" t="s">
        <v>3199</v>
      </c>
      <c r="E13" t="s">
        <v>54</v>
      </c>
      <c r="F13" t="s">
        <v>17</v>
      </c>
      <c r="G13" t="s">
        <v>3200</v>
      </c>
      <c r="H13" t="s">
        <v>2674</v>
      </c>
      <c r="I13" t="s">
        <v>2675</v>
      </c>
      <c r="J13" t="s">
        <v>3</v>
      </c>
    </row>
    <row r="14" spans="1:10" x14ac:dyDescent="0.15">
      <c r="A14" t="s">
        <v>3201</v>
      </c>
      <c r="B14" t="s">
        <v>3202</v>
      </c>
      <c r="C14" t="s">
        <v>3203</v>
      </c>
      <c r="D14" t="s">
        <v>3204</v>
      </c>
      <c r="E14" t="s">
        <v>52</v>
      </c>
      <c r="F14" t="s">
        <v>17</v>
      </c>
      <c r="G14" t="s">
        <v>3205</v>
      </c>
      <c r="H14" t="s">
        <v>2674</v>
      </c>
      <c r="I14" t="s">
        <v>2675</v>
      </c>
      <c r="J14" t="s">
        <v>3</v>
      </c>
    </row>
    <row r="15" spans="1:10" x14ac:dyDescent="0.15">
      <c r="A15" t="s">
        <v>3206</v>
      </c>
      <c r="B15" t="s">
        <v>3207</v>
      </c>
      <c r="C15" t="s">
        <v>3208</v>
      </c>
      <c r="D15" t="s">
        <v>3209</v>
      </c>
      <c r="E15" t="s">
        <v>54</v>
      </c>
      <c r="F15" t="s">
        <v>17</v>
      </c>
      <c r="G15" t="s">
        <v>3210</v>
      </c>
      <c r="H15" t="s">
        <v>2674</v>
      </c>
      <c r="I15" t="s">
        <v>2675</v>
      </c>
      <c r="J15" t="s">
        <v>3</v>
      </c>
    </row>
    <row r="16" spans="1:10" x14ac:dyDescent="0.15">
      <c r="A16" t="s">
        <v>3211</v>
      </c>
      <c r="B16" t="s">
        <v>3212</v>
      </c>
      <c r="C16" t="s">
        <v>3213</v>
      </c>
      <c r="D16" t="s">
        <v>3214</v>
      </c>
      <c r="E16" t="s">
        <v>52</v>
      </c>
      <c r="F16" t="s">
        <v>17</v>
      </c>
      <c r="G16" t="s">
        <v>3215</v>
      </c>
      <c r="H16" t="s">
        <v>2674</v>
      </c>
      <c r="I16" t="s">
        <v>2675</v>
      </c>
      <c r="J16" t="s">
        <v>3</v>
      </c>
    </row>
    <row r="17" spans="1:10" x14ac:dyDescent="0.15">
      <c r="A17" t="s">
        <v>3216</v>
      </c>
      <c r="B17" t="s">
        <v>3217</v>
      </c>
      <c r="C17" t="s">
        <v>3218</v>
      </c>
      <c r="D17" t="s">
        <v>3219</v>
      </c>
      <c r="E17" t="s">
        <v>52</v>
      </c>
      <c r="F17" t="s">
        <v>17</v>
      </c>
      <c r="G17" t="s">
        <v>3220</v>
      </c>
      <c r="H17" t="s">
        <v>2674</v>
      </c>
      <c r="I17" t="s">
        <v>2675</v>
      </c>
      <c r="J17" t="s">
        <v>3</v>
      </c>
    </row>
    <row r="18" spans="1:10" x14ac:dyDescent="0.15">
      <c r="A18" t="s">
        <v>3221</v>
      </c>
      <c r="B18" t="s">
        <v>3222</v>
      </c>
      <c r="C18" t="s">
        <v>3223</v>
      </c>
      <c r="D18" t="s">
        <v>3224</v>
      </c>
      <c r="E18" t="s">
        <v>52</v>
      </c>
      <c r="F18" t="s">
        <v>17</v>
      </c>
      <c r="G18" t="s">
        <v>2939</v>
      </c>
      <c r="H18" t="s">
        <v>2674</v>
      </c>
      <c r="I18" t="s">
        <v>2675</v>
      </c>
      <c r="J18" t="s">
        <v>3</v>
      </c>
    </row>
    <row r="19" spans="1:10" x14ac:dyDescent="0.15">
      <c r="A19" t="s">
        <v>2842</v>
      </c>
      <c r="B19" t="s">
        <v>3225</v>
      </c>
      <c r="C19" t="s">
        <v>3226</v>
      </c>
      <c r="D19" t="s">
        <v>3227</v>
      </c>
      <c r="E19" t="s">
        <v>54</v>
      </c>
      <c r="F19" t="s">
        <v>17</v>
      </c>
      <c r="G19" t="s">
        <v>3228</v>
      </c>
      <c r="H19" t="s">
        <v>2674</v>
      </c>
      <c r="I19" t="s">
        <v>2675</v>
      </c>
      <c r="J19" t="s">
        <v>3</v>
      </c>
    </row>
    <row r="20" spans="1:10" x14ac:dyDescent="0.15">
      <c r="A20" t="s">
        <v>3229</v>
      </c>
      <c r="B20" t="s">
        <v>3230</v>
      </c>
      <c r="C20" t="s">
        <v>3231</v>
      </c>
      <c r="D20" t="s">
        <v>3232</v>
      </c>
      <c r="E20" t="s">
        <v>191</v>
      </c>
      <c r="F20" t="s">
        <v>20</v>
      </c>
      <c r="G20" t="s">
        <v>3233</v>
      </c>
      <c r="H20" t="s">
        <v>2674</v>
      </c>
      <c r="I20" t="s">
        <v>2675</v>
      </c>
      <c r="J20" t="s">
        <v>3</v>
      </c>
    </row>
    <row r="21" spans="1:10" x14ac:dyDescent="0.15">
      <c r="A21" t="s">
        <v>3234</v>
      </c>
      <c r="B21" t="s">
        <v>3235</v>
      </c>
      <c r="C21" t="s">
        <v>3236</v>
      </c>
      <c r="D21" t="s">
        <v>3237</v>
      </c>
      <c r="E21" t="s">
        <v>54</v>
      </c>
      <c r="F21" t="s">
        <v>20</v>
      </c>
      <c r="G21" t="s">
        <v>3238</v>
      </c>
      <c r="H21" t="s">
        <v>2674</v>
      </c>
      <c r="I21" t="s">
        <v>2675</v>
      </c>
      <c r="J21" t="s">
        <v>3</v>
      </c>
    </row>
  </sheetData>
  <autoFilter ref="A1:G2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9" customWidth="1"/>
    <col min="2" max="2" width="40" customWidth="1"/>
    <col min="3" max="3" width="42" customWidth="1"/>
    <col min="4" max="4" width="45" customWidth="1"/>
    <col min="5" max="5" width="11" customWidth="1"/>
  </cols>
  <sheetData>
    <row r="1" spans="1:8" ht="14" x14ac:dyDescent="0.15">
      <c r="A1" s="10" t="s">
        <v>2971</v>
      </c>
      <c r="B1" s="10" t="s">
        <v>3239</v>
      </c>
      <c r="C1" s="10" t="s">
        <v>3240</v>
      </c>
      <c r="D1" s="10" t="s">
        <v>3241</v>
      </c>
      <c r="E1" s="10" t="s">
        <v>38</v>
      </c>
      <c r="F1" t="s">
        <v>37</v>
      </c>
      <c r="G1" t="s">
        <v>2667</v>
      </c>
      <c r="H1" t="s">
        <v>44</v>
      </c>
    </row>
    <row r="2" spans="1:8" x14ac:dyDescent="0.15">
      <c r="A2" t="s">
        <v>2062</v>
      </c>
      <c r="B2" t="s">
        <v>3242</v>
      </c>
      <c r="C2" t="s">
        <v>3243</v>
      </c>
      <c r="D2" t="s">
        <v>3244</v>
      </c>
      <c r="E2" t="s">
        <v>52</v>
      </c>
      <c r="F2" t="s">
        <v>2674</v>
      </c>
      <c r="G2" t="s">
        <v>2675</v>
      </c>
      <c r="H2" t="s">
        <v>3</v>
      </c>
    </row>
    <row r="3" spans="1:8" x14ac:dyDescent="0.15">
      <c r="A3" t="s">
        <v>2053</v>
      </c>
      <c r="B3" t="s">
        <v>3245</v>
      </c>
      <c r="C3" t="s">
        <v>3246</v>
      </c>
      <c r="D3" t="s">
        <v>3247</v>
      </c>
      <c r="E3" t="s">
        <v>52</v>
      </c>
      <c r="F3" t="s">
        <v>2674</v>
      </c>
      <c r="G3" t="s">
        <v>2675</v>
      </c>
      <c r="H3" t="s">
        <v>3</v>
      </c>
    </row>
    <row r="4" spans="1:8" x14ac:dyDescent="0.15">
      <c r="A4" t="s">
        <v>2053</v>
      </c>
      <c r="B4" t="s">
        <v>3248</v>
      </c>
      <c r="C4" t="s">
        <v>3249</v>
      </c>
      <c r="D4" t="s">
        <v>3250</v>
      </c>
      <c r="E4" t="s">
        <v>54</v>
      </c>
      <c r="F4" t="s">
        <v>2674</v>
      </c>
      <c r="G4" t="s">
        <v>2675</v>
      </c>
      <c r="H4" t="s">
        <v>3</v>
      </c>
    </row>
    <row r="5" spans="1:8" x14ac:dyDescent="0.15">
      <c r="A5" t="s">
        <v>2086</v>
      </c>
      <c r="B5" t="s">
        <v>3171</v>
      </c>
      <c r="C5" t="s">
        <v>3251</v>
      </c>
      <c r="D5" t="s">
        <v>3252</v>
      </c>
      <c r="E5" t="s">
        <v>52</v>
      </c>
      <c r="F5" t="s">
        <v>2674</v>
      </c>
      <c r="G5" t="s">
        <v>2675</v>
      </c>
      <c r="H5" t="s">
        <v>3</v>
      </c>
    </row>
    <row r="6" spans="1:8" x14ac:dyDescent="0.15">
      <c r="A6" t="s">
        <v>2086</v>
      </c>
      <c r="B6" t="s">
        <v>3253</v>
      </c>
      <c r="C6" t="s">
        <v>3254</v>
      </c>
      <c r="D6" t="s">
        <v>3255</v>
      </c>
      <c r="E6" t="s">
        <v>54</v>
      </c>
      <c r="F6" t="s">
        <v>2674</v>
      </c>
      <c r="G6" t="s">
        <v>2675</v>
      </c>
      <c r="H6" t="s">
        <v>3</v>
      </c>
    </row>
    <row r="7" spans="1:8" x14ac:dyDescent="0.15">
      <c r="A7" t="s">
        <v>2894</v>
      </c>
      <c r="B7" t="s">
        <v>3256</v>
      </c>
      <c r="C7" t="s">
        <v>3257</v>
      </c>
      <c r="D7" t="s">
        <v>3258</v>
      </c>
      <c r="E7" t="s">
        <v>54</v>
      </c>
      <c r="F7" t="s">
        <v>2674</v>
      </c>
      <c r="G7" t="s">
        <v>2675</v>
      </c>
      <c r="H7" t="s">
        <v>3</v>
      </c>
    </row>
    <row r="8" spans="1:8" x14ac:dyDescent="0.15">
      <c r="A8" t="s">
        <v>2107</v>
      </c>
      <c r="B8" t="s">
        <v>3259</v>
      </c>
      <c r="C8" t="s">
        <v>2083</v>
      </c>
      <c r="D8" t="s">
        <v>3260</v>
      </c>
      <c r="E8" t="s">
        <v>54</v>
      </c>
      <c r="F8" t="s">
        <v>2674</v>
      </c>
      <c r="G8" t="s">
        <v>2675</v>
      </c>
      <c r="H8" t="s">
        <v>3</v>
      </c>
    </row>
    <row r="9" spans="1:8" x14ac:dyDescent="0.15">
      <c r="A9" t="s">
        <v>2167</v>
      </c>
      <c r="B9" t="s">
        <v>3261</v>
      </c>
      <c r="C9" t="s">
        <v>2607</v>
      </c>
      <c r="D9" t="s">
        <v>2289</v>
      </c>
      <c r="E9" t="s">
        <v>54</v>
      </c>
      <c r="F9" t="s">
        <v>2674</v>
      </c>
      <c r="G9" t="s">
        <v>2675</v>
      </c>
      <c r="H9" t="s">
        <v>3</v>
      </c>
    </row>
    <row r="10" spans="1:8" x14ac:dyDescent="0.15">
      <c r="A10" t="s">
        <v>3262</v>
      </c>
      <c r="B10" t="s">
        <v>3263</v>
      </c>
      <c r="C10" t="s">
        <v>3264</v>
      </c>
      <c r="D10" t="s">
        <v>3265</v>
      </c>
      <c r="E10" t="s">
        <v>54</v>
      </c>
      <c r="F10" t="s">
        <v>2674</v>
      </c>
      <c r="G10" t="s">
        <v>2675</v>
      </c>
      <c r="H10" t="s">
        <v>3</v>
      </c>
    </row>
    <row r="11" spans="1:8" x14ac:dyDescent="0.15">
      <c r="A11" t="s">
        <v>3266</v>
      </c>
      <c r="B11" t="s">
        <v>3267</v>
      </c>
      <c r="C11" t="s">
        <v>3268</v>
      </c>
      <c r="D11" t="s">
        <v>3269</v>
      </c>
      <c r="E11" t="s">
        <v>52</v>
      </c>
      <c r="F11" t="s">
        <v>2674</v>
      </c>
      <c r="G11" t="s">
        <v>2675</v>
      </c>
      <c r="H11" t="s">
        <v>3</v>
      </c>
    </row>
  </sheetData>
  <autoFilter ref="A1:E11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7" customWidth="1"/>
    <col min="2" max="2" width="18" customWidth="1"/>
    <col min="3" max="3" width="34" customWidth="1"/>
    <col min="4" max="4" width="39" customWidth="1"/>
    <col min="5" max="5" width="11" customWidth="1"/>
  </cols>
  <sheetData>
    <row r="1" spans="1:8" ht="14" x14ac:dyDescent="0.15">
      <c r="A1" s="10" t="s">
        <v>3270</v>
      </c>
      <c r="B1" s="10" t="s">
        <v>3271</v>
      </c>
      <c r="C1" s="10" t="s">
        <v>3272</v>
      </c>
      <c r="D1" s="10" t="s">
        <v>3273</v>
      </c>
      <c r="E1" s="10" t="s">
        <v>38</v>
      </c>
      <c r="F1" t="s">
        <v>37</v>
      </c>
      <c r="G1" t="s">
        <v>2667</v>
      </c>
      <c r="H1" t="s">
        <v>44</v>
      </c>
    </row>
    <row r="2" spans="1:8" x14ac:dyDescent="0.15">
      <c r="A2" t="s">
        <v>2399</v>
      </c>
      <c r="B2" t="s">
        <v>48</v>
      </c>
      <c r="C2" t="s">
        <v>3274</v>
      </c>
      <c r="D2" t="s">
        <v>3275</v>
      </c>
      <c r="E2" t="s">
        <v>52</v>
      </c>
      <c r="F2" t="s">
        <v>2674</v>
      </c>
      <c r="G2" t="s">
        <v>2675</v>
      </c>
      <c r="H2" t="s">
        <v>3</v>
      </c>
    </row>
    <row r="3" spans="1:8" x14ac:dyDescent="0.15">
      <c r="A3" t="s">
        <v>2399</v>
      </c>
      <c r="B3" t="s">
        <v>1447</v>
      </c>
      <c r="C3" t="s">
        <v>3276</v>
      </c>
      <c r="D3" t="s">
        <v>3277</v>
      </c>
      <c r="E3" t="s">
        <v>52</v>
      </c>
      <c r="F3" t="s">
        <v>2674</v>
      </c>
      <c r="G3" t="s">
        <v>2675</v>
      </c>
      <c r="H3" t="s">
        <v>3</v>
      </c>
    </row>
    <row r="4" spans="1:8" x14ac:dyDescent="0.15">
      <c r="A4" t="s">
        <v>2399</v>
      </c>
      <c r="B4" t="s">
        <v>3278</v>
      </c>
      <c r="C4" t="s">
        <v>3279</v>
      </c>
      <c r="D4" t="s">
        <v>3280</v>
      </c>
      <c r="E4" t="s">
        <v>52</v>
      </c>
      <c r="F4" t="s">
        <v>2674</v>
      </c>
      <c r="G4" t="s">
        <v>2675</v>
      </c>
      <c r="H4" t="s">
        <v>3</v>
      </c>
    </row>
    <row r="5" spans="1:8" x14ac:dyDescent="0.15">
      <c r="A5" t="s">
        <v>2399</v>
      </c>
      <c r="B5" t="s">
        <v>3281</v>
      </c>
      <c r="C5" t="s">
        <v>3282</v>
      </c>
      <c r="D5" t="s">
        <v>3283</v>
      </c>
      <c r="E5" t="s">
        <v>52</v>
      </c>
      <c r="F5" t="s">
        <v>2674</v>
      </c>
      <c r="G5" t="s">
        <v>2675</v>
      </c>
      <c r="H5" t="s">
        <v>3</v>
      </c>
    </row>
    <row r="6" spans="1:8" x14ac:dyDescent="0.15">
      <c r="A6" t="s">
        <v>2399</v>
      </c>
      <c r="B6" t="s">
        <v>3284</v>
      </c>
      <c r="C6" t="s">
        <v>3285</v>
      </c>
      <c r="D6" t="s">
        <v>3286</v>
      </c>
      <c r="E6" t="s">
        <v>54</v>
      </c>
      <c r="F6" t="s">
        <v>2674</v>
      </c>
      <c r="G6" t="s">
        <v>2675</v>
      </c>
      <c r="H6" t="s">
        <v>3</v>
      </c>
    </row>
    <row r="7" spans="1:8" x14ac:dyDescent="0.15">
      <c r="A7" t="s">
        <v>3287</v>
      </c>
      <c r="B7" t="s">
        <v>2075</v>
      </c>
      <c r="C7" t="s">
        <v>3288</v>
      </c>
      <c r="D7" t="s">
        <v>3289</v>
      </c>
      <c r="E7" t="s">
        <v>52</v>
      </c>
      <c r="F7" t="s">
        <v>2674</v>
      </c>
      <c r="G7" t="s">
        <v>2675</v>
      </c>
      <c r="H7" t="s">
        <v>3</v>
      </c>
    </row>
    <row r="8" spans="1:8" x14ac:dyDescent="0.15">
      <c r="A8" t="s">
        <v>3287</v>
      </c>
      <c r="B8" t="s">
        <v>2690</v>
      </c>
      <c r="C8" t="s">
        <v>3290</v>
      </c>
      <c r="D8" t="s">
        <v>3291</v>
      </c>
      <c r="E8" t="s">
        <v>52</v>
      </c>
      <c r="F8" t="s">
        <v>2674</v>
      </c>
      <c r="G8" t="s">
        <v>2675</v>
      </c>
      <c r="H8" t="s">
        <v>3</v>
      </c>
    </row>
    <row r="9" spans="1:8" x14ac:dyDescent="0.15">
      <c r="A9" t="s">
        <v>3287</v>
      </c>
      <c r="B9" t="s">
        <v>3292</v>
      </c>
      <c r="C9" t="s">
        <v>3293</v>
      </c>
      <c r="D9" t="s">
        <v>3294</v>
      </c>
      <c r="E9" t="s">
        <v>54</v>
      </c>
      <c r="F9" t="s">
        <v>2674</v>
      </c>
      <c r="G9" t="s">
        <v>2675</v>
      </c>
      <c r="H9" t="s">
        <v>3</v>
      </c>
    </row>
    <row r="10" spans="1:8" x14ac:dyDescent="0.15">
      <c r="A10" t="s">
        <v>3287</v>
      </c>
      <c r="B10" t="s">
        <v>3295</v>
      </c>
      <c r="C10" t="s">
        <v>3296</v>
      </c>
      <c r="D10" t="s">
        <v>2902</v>
      </c>
      <c r="E10" t="s">
        <v>52</v>
      </c>
      <c r="F10" t="s">
        <v>2674</v>
      </c>
      <c r="G10" t="s">
        <v>2675</v>
      </c>
      <c r="H10" t="s">
        <v>3</v>
      </c>
    </row>
    <row r="11" spans="1:8" x14ac:dyDescent="0.15">
      <c r="A11" t="s">
        <v>3287</v>
      </c>
      <c r="B11" t="s">
        <v>3297</v>
      </c>
      <c r="C11" t="s">
        <v>3298</v>
      </c>
      <c r="D11" t="s">
        <v>3177</v>
      </c>
      <c r="E11" t="s">
        <v>52</v>
      </c>
      <c r="F11" t="s">
        <v>2674</v>
      </c>
      <c r="G11" t="s">
        <v>2675</v>
      </c>
      <c r="H11" t="s">
        <v>3</v>
      </c>
    </row>
    <row r="12" spans="1:8" x14ac:dyDescent="0.15">
      <c r="A12" t="s">
        <v>3287</v>
      </c>
      <c r="B12" t="s">
        <v>2107</v>
      </c>
      <c r="C12" t="s">
        <v>3299</v>
      </c>
      <c r="D12" t="s">
        <v>3300</v>
      </c>
      <c r="E12" t="s">
        <v>54</v>
      </c>
      <c r="F12" t="s">
        <v>2674</v>
      </c>
      <c r="G12" t="s">
        <v>2675</v>
      </c>
      <c r="H12" t="s">
        <v>3</v>
      </c>
    </row>
    <row r="13" spans="1:8" x14ac:dyDescent="0.15">
      <c r="A13" t="s">
        <v>3266</v>
      </c>
      <c r="B13" t="s">
        <v>3301</v>
      </c>
      <c r="C13" t="s">
        <v>3302</v>
      </c>
      <c r="D13" t="s">
        <v>3303</v>
      </c>
      <c r="E13" t="s">
        <v>54</v>
      </c>
      <c r="F13" t="s">
        <v>2674</v>
      </c>
      <c r="G13" t="s">
        <v>2675</v>
      </c>
      <c r="H13" t="s">
        <v>3</v>
      </c>
    </row>
    <row r="14" spans="1:8" x14ac:dyDescent="0.15">
      <c r="A14" t="s">
        <v>3266</v>
      </c>
      <c r="B14" t="s">
        <v>3304</v>
      </c>
      <c r="C14" t="s">
        <v>2964</v>
      </c>
      <c r="D14" t="s">
        <v>3305</v>
      </c>
      <c r="E14" t="s">
        <v>54</v>
      </c>
      <c r="F14" t="s">
        <v>2674</v>
      </c>
      <c r="G14" t="s">
        <v>2675</v>
      </c>
      <c r="H14" t="s">
        <v>3</v>
      </c>
    </row>
  </sheetData>
  <autoFilter ref="A1:E14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7" customWidth="1"/>
    <col min="2" max="3" width="14" customWidth="1"/>
    <col min="4" max="4" width="21" customWidth="1"/>
    <col min="5" max="5" width="60" customWidth="1"/>
    <col min="6" max="6" width="53" customWidth="1"/>
    <col min="7" max="7" width="32" customWidth="1"/>
    <col min="8" max="8" width="41" customWidth="1"/>
    <col min="9" max="9" width="60" customWidth="1"/>
    <col min="10" max="11" width="14" customWidth="1"/>
    <col min="12" max="12" width="60" customWidth="1"/>
  </cols>
  <sheetData>
    <row r="1" spans="1:12" ht="14" x14ac:dyDescent="0.15">
      <c r="A1" s="8" t="s">
        <v>3306</v>
      </c>
      <c r="B1" s="8" t="s">
        <v>3142</v>
      </c>
      <c r="C1" s="8" t="s">
        <v>2048</v>
      </c>
      <c r="D1" s="8" t="s">
        <v>3307</v>
      </c>
      <c r="E1" s="8" t="s">
        <v>3308</v>
      </c>
      <c r="F1" s="8" t="s">
        <v>3309</v>
      </c>
      <c r="G1" s="8" t="s">
        <v>1567</v>
      </c>
      <c r="H1" s="8" t="s">
        <v>1566</v>
      </c>
      <c r="I1" s="8" t="s">
        <v>3310</v>
      </c>
      <c r="J1" s="8" t="s">
        <v>3311</v>
      </c>
      <c r="K1" s="8" t="s">
        <v>3312</v>
      </c>
      <c r="L1" s="8" t="s">
        <v>3313</v>
      </c>
    </row>
    <row r="2" spans="1:12" ht="42" x14ac:dyDescent="0.15">
      <c r="A2" s="9" t="s">
        <v>3314</v>
      </c>
      <c r="B2" s="9" t="s">
        <v>14</v>
      </c>
      <c r="C2" s="9" t="s">
        <v>2062</v>
      </c>
      <c r="D2" s="9" t="s">
        <v>47</v>
      </c>
      <c r="E2" s="9" t="s">
        <v>55</v>
      </c>
      <c r="F2" s="9" t="s">
        <v>3315</v>
      </c>
      <c r="G2" s="9" t="s">
        <v>53</v>
      </c>
      <c r="H2" s="9" t="s">
        <v>3316</v>
      </c>
      <c r="I2" s="9" t="s">
        <v>57</v>
      </c>
      <c r="J2" s="9" t="s">
        <v>1608</v>
      </c>
      <c r="K2" s="9" t="s">
        <v>54</v>
      </c>
      <c r="L2" s="9" t="s">
        <v>3317</v>
      </c>
    </row>
    <row r="3" spans="1:12" ht="42" x14ac:dyDescent="0.15">
      <c r="A3" s="9" t="s">
        <v>3318</v>
      </c>
      <c r="B3" s="9" t="s">
        <v>14</v>
      </c>
      <c r="C3" s="9" t="s">
        <v>2062</v>
      </c>
      <c r="D3" s="9" t="s">
        <v>60</v>
      </c>
      <c r="E3" s="9" t="s">
        <v>3319</v>
      </c>
      <c r="F3" s="9" t="s">
        <v>3320</v>
      </c>
      <c r="G3" s="9" t="s">
        <v>62</v>
      </c>
      <c r="H3" s="9" t="s">
        <v>3321</v>
      </c>
      <c r="I3" s="9" t="s">
        <v>65</v>
      </c>
      <c r="J3" s="9" t="s">
        <v>1608</v>
      </c>
      <c r="K3" s="9" t="s">
        <v>54</v>
      </c>
      <c r="L3" s="9" t="s">
        <v>3322</v>
      </c>
    </row>
    <row r="4" spans="1:12" ht="42" x14ac:dyDescent="0.15">
      <c r="A4" s="9" t="s">
        <v>3323</v>
      </c>
      <c r="B4" s="9" t="s">
        <v>14</v>
      </c>
      <c r="C4" s="9" t="s">
        <v>2062</v>
      </c>
      <c r="D4" s="9" t="s">
        <v>95</v>
      </c>
      <c r="E4" s="9" t="s">
        <v>3324</v>
      </c>
      <c r="F4" s="9" t="s">
        <v>3325</v>
      </c>
      <c r="G4" s="9" t="s">
        <v>97</v>
      </c>
      <c r="H4" s="9" t="s">
        <v>3326</v>
      </c>
      <c r="I4" s="9" t="s">
        <v>100</v>
      </c>
      <c r="J4" s="9" t="s">
        <v>1608</v>
      </c>
      <c r="K4" s="9" t="s">
        <v>54</v>
      </c>
      <c r="L4" s="9" t="s">
        <v>3327</v>
      </c>
    </row>
    <row r="5" spans="1:12" ht="28" x14ac:dyDescent="0.15">
      <c r="A5" s="9" t="s">
        <v>3328</v>
      </c>
      <c r="B5" s="9" t="s">
        <v>14</v>
      </c>
      <c r="C5" s="9" t="s">
        <v>2062</v>
      </c>
      <c r="D5" s="9" t="s">
        <v>109</v>
      </c>
      <c r="E5" s="9" t="s">
        <v>111</v>
      </c>
      <c r="F5" s="9" t="s">
        <v>3329</v>
      </c>
      <c r="G5" s="9" t="s">
        <v>53</v>
      </c>
      <c r="H5" s="9" t="s">
        <v>3330</v>
      </c>
      <c r="I5" s="9" t="s">
        <v>113</v>
      </c>
      <c r="J5" s="9" t="s">
        <v>1608</v>
      </c>
      <c r="K5" s="9" t="s">
        <v>54</v>
      </c>
      <c r="L5" s="9" t="s">
        <v>3331</v>
      </c>
    </row>
    <row r="6" spans="1:12" ht="28" x14ac:dyDescent="0.15">
      <c r="A6" s="9" t="s">
        <v>3332</v>
      </c>
      <c r="B6" s="9" t="s">
        <v>14</v>
      </c>
      <c r="C6" s="9" t="s">
        <v>2062</v>
      </c>
      <c r="D6" s="9" t="s">
        <v>189</v>
      </c>
      <c r="E6" s="9" t="s">
        <v>3333</v>
      </c>
      <c r="F6" s="9" t="s">
        <v>3334</v>
      </c>
      <c r="G6" s="9" t="s">
        <v>69</v>
      </c>
      <c r="H6" s="9" t="s">
        <v>3335</v>
      </c>
      <c r="I6" s="9" t="s">
        <v>193</v>
      </c>
      <c r="J6" s="9" t="s">
        <v>1608</v>
      </c>
      <c r="K6" s="9" t="s">
        <v>191</v>
      </c>
      <c r="L6" s="9" t="s">
        <v>3336</v>
      </c>
    </row>
    <row r="7" spans="1:12" ht="28" x14ac:dyDescent="0.15">
      <c r="A7" s="9" t="s">
        <v>3337</v>
      </c>
      <c r="B7" s="9" t="s">
        <v>14</v>
      </c>
      <c r="C7" s="9" t="s">
        <v>2062</v>
      </c>
      <c r="D7" s="9" t="s">
        <v>196</v>
      </c>
      <c r="E7" s="9" t="s">
        <v>198</v>
      </c>
      <c r="F7" s="9" t="s">
        <v>3338</v>
      </c>
      <c r="G7" s="9" t="s">
        <v>53</v>
      </c>
      <c r="H7" s="9" t="s">
        <v>3339</v>
      </c>
      <c r="I7" s="9" t="s">
        <v>200</v>
      </c>
      <c r="J7" s="9" t="s">
        <v>1608</v>
      </c>
      <c r="K7" s="9" t="s">
        <v>54</v>
      </c>
      <c r="L7" s="9" t="s">
        <v>3340</v>
      </c>
    </row>
    <row r="8" spans="1:12" ht="42" x14ac:dyDescent="0.15">
      <c r="A8" s="9" t="s">
        <v>3341</v>
      </c>
      <c r="B8" s="9" t="s">
        <v>14</v>
      </c>
      <c r="C8" s="9" t="s">
        <v>1412</v>
      </c>
      <c r="D8" s="9" t="s">
        <v>1414</v>
      </c>
      <c r="E8" s="9" t="s">
        <v>1416</v>
      </c>
      <c r="F8" s="9" t="s">
        <v>3342</v>
      </c>
      <c r="G8" s="9" t="s">
        <v>53</v>
      </c>
      <c r="H8" s="9" t="s">
        <v>3343</v>
      </c>
      <c r="I8" s="9" t="s">
        <v>1418</v>
      </c>
      <c r="J8" s="9" t="s">
        <v>1608</v>
      </c>
      <c r="K8" s="9" t="s">
        <v>54</v>
      </c>
      <c r="L8" s="9" t="s">
        <v>3344</v>
      </c>
    </row>
    <row r="9" spans="1:12" ht="14" x14ac:dyDescent="0.15">
      <c r="A9" s="9" t="s">
        <v>3345</v>
      </c>
      <c r="B9" s="9" t="s">
        <v>14</v>
      </c>
      <c r="C9" s="9" t="s">
        <v>1412</v>
      </c>
      <c r="D9" s="9" t="s">
        <v>1420</v>
      </c>
      <c r="E9" s="9" t="s">
        <v>1416</v>
      </c>
      <c r="F9" s="9" t="s">
        <v>3346</v>
      </c>
      <c r="G9" s="9" t="s">
        <v>53</v>
      </c>
      <c r="H9" s="9" t="s">
        <v>3347</v>
      </c>
      <c r="I9" s="9" t="s">
        <v>1422</v>
      </c>
      <c r="J9" s="9" t="s">
        <v>1608</v>
      </c>
      <c r="K9" s="9" t="s">
        <v>54</v>
      </c>
      <c r="L9" s="9" t="s">
        <v>3348</v>
      </c>
    </row>
    <row r="10" spans="1:12" ht="28" x14ac:dyDescent="0.15">
      <c r="A10" s="9" t="s">
        <v>3349</v>
      </c>
      <c r="B10" s="9" t="s">
        <v>14</v>
      </c>
      <c r="C10" s="9" t="s">
        <v>1412</v>
      </c>
      <c r="D10" s="9" t="s">
        <v>1432</v>
      </c>
      <c r="E10" s="9" t="s">
        <v>1433</v>
      </c>
      <c r="F10" s="9" t="s">
        <v>3350</v>
      </c>
      <c r="G10" s="9" t="s">
        <v>53</v>
      </c>
      <c r="H10" s="9" t="s">
        <v>3351</v>
      </c>
      <c r="I10" s="9" t="s">
        <v>1435</v>
      </c>
      <c r="J10" s="9" t="s">
        <v>1608</v>
      </c>
      <c r="K10" s="9" t="s">
        <v>54</v>
      </c>
      <c r="L10" s="9" t="s">
        <v>3352</v>
      </c>
    </row>
    <row r="11" spans="1:12" ht="28" x14ac:dyDescent="0.15">
      <c r="A11" s="9" t="s">
        <v>3353</v>
      </c>
      <c r="B11" s="9" t="s">
        <v>14</v>
      </c>
      <c r="C11" s="9" t="s">
        <v>1412</v>
      </c>
      <c r="D11" s="9" t="s">
        <v>1437</v>
      </c>
      <c r="E11" s="9" t="s">
        <v>1438</v>
      </c>
      <c r="F11" s="9" t="s">
        <v>3354</v>
      </c>
      <c r="G11" s="9" t="s">
        <v>53</v>
      </c>
      <c r="H11" s="9" t="s">
        <v>3355</v>
      </c>
      <c r="I11" s="9" t="s">
        <v>1440</v>
      </c>
      <c r="J11" s="9" t="s">
        <v>1608</v>
      </c>
      <c r="K11" s="9" t="s">
        <v>54</v>
      </c>
      <c r="L11" s="9" t="s">
        <v>3356</v>
      </c>
    </row>
    <row r="12" spans="1:12" ht="28" x14ac:dyDescent="0.15">
      <c r="A12" s="9" t="s">
        <v>3357</v>
      </c>
      <c r="B12" s="9" t="s">
        <v>14</v>
      </c>
      <c r="C12" s="9" t="s">
        <v>1412</v>
      </c>
      <c r="D12" s="9" t="s">
        <v>1442</v>
      </c>
      <c r="E12" s="9" t="s">
        <v>1443</v>
      </c>
      <c r="F12" s="9" t="s">
        <v>3358</v>
      </c>
      <c r="G12" s="9" t="s">
        <v>53</v>
      </c>
      <c r="H12" s="9" t="s">
        <v>3359</v>
      </c>
      <c r="I12" s="9" t="s">
        <v>1426</v>
      </c>
      <c r="J12" s="9" t="s">
        <v>1608</v>
      </c>
      <c r="K12" s="9" t="s">
        <v>54</v>
      </c>
      <c r="L12" s="9" t="s">
        <v>3360</v>
      </c>
    </row>
  </sheetData>
  <autoFilter ref="A1:L12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2" customWidth="1"/>
    <col min="2" max="3" width="60" customWidth="1"/>
  </cols>
  <sheetData>
    <row r="1" spans="1:3" ht="14" x14ac:dyDescent="0.15">
      <c r="A1" s="8" t="s">
        <v>13</v>
      </c>
      <c r="B1" s="8" t="s">
        <v>3361</v>
      </c>
      <c r="C1" s="8" t="s">
        <v>3362</v>
      </c>
    </row>
    <row r="2" spans="1:3" ht="28" x14ac:dyDescent="0.15">
      <c r="A2" s="9" t="s">
        <v>228</v>
      </c>
      <c r="B2" s="9" t="s">
        <v>3363</v>
      </c>
      <c r="C2" s="9" t="s">
        <v>3364</v>
      </c>
    </row>
    <row r="3" spans="1:3" ht="14" x14ac:dyDescent="0.15">
      <c r="A3" s="9" t="s">
        <v>53</v>
      </c>
      <c r="B3" s="9" t="s">
        <v>3365</v>
      </c>
      <c r="C3" s="9" t="s">
        <v>3366</v>
      </c>
    </row>
    <row r="4" spans="1:3" ht="28" x14ac:dyDescent="0.15">
      <c r="A4" s="9" t="s">
        <v>62</v>
      </c>
      <c r="B4" s="9" t="s">
        <v>3367</v>
      </c>
      <c r="C4" s="9" t="s">
        <v>3368</v>
      </c>
    </row>
    <row r="5" spans="1:3" ht="28" x14ac:dyDescent="0.15">
      <c r="A5" s="9" t="s">
        <v>97</v>
      </c>
      <c r="B5" s="9" t="s">
        <v>3369</v>
      </c>
      <c r="C5" s="9" t="s">
        <v>3370</v>
      </c>
    </row>
    <row r="6" spans="1:3" ht="14" x14ac:dyDescent="0.15">
      <c r="A6" s="9" t="s">
        <v>69</v>
      </c>
      <c r="B6" s="9" t="s">
        <v>3371</v>
      </c>
      <c r="C6" s="9" t="s">
        <v>3372</v>
      </c>
    </row>
    <row r="7" spans="1:3" ht="28" x14ac:dyDescent="0.15">
      <c r="A7" s="9" t="s">
        <v>3373</v>
      </c>
      <c r="B7" s="9" t="s">
        <v>3374</v>
      </c>
      <c r="C7" s="9" t="s">
        <v>3375</v>
      </c>
    </row>
  </sheetData>
  <autoFilter ref="A1:C7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9" customWidth="1"/>
    <col min="2" max="2" width="22" customWidth="1"/>
    <col min="3" max="4" width="60" customWidth="1"/>
    <col min="5" max="5" width="17" customWidth="1"/>
  </cols>
  <sheetData>
    <row r="1" spans="1:5" ht="14" x14ac:dyDescent="0.15">
      <c r="A1" s="8" t="s">
        <v>1984</v>
      </c>
      <c r="B1" s="8" t="s">
        <v>3376</v>
      </c>
      <c r="C1" s="8" t="s">
        <v>1564</v>
      </c>
      <c r="D1" s="8" t="s">
        <v>3310</v>
      </c>
      <c r="E1" s="8" t="s">
        <v>3377</v>
      </c>
    </row>
    <row r="2" spans="1:5" ht="28" x14ac:dyDescent="0.15">
      <c r="A2" s="9" t="s">
        <v>49</v>
      </c>
      <c r="B2" s="9" t="s">
        <v>50</v>
      </c>
      <c r="C2" s="9" t="s">
        <v>3378</v>
      </c>
      <c r="D2" s="9" t="s">
        <v>57</v>
      </c>
      <c r="E2" s="9" t="s">
        <v>3379</v>
      </c>
    </row>
    <row r="3" spans="1:5" ht="14" x14ac:dyDescent="0.15">
      <c r="A3" s="9" t="s">
        <v>49</v>
      </c>
      <c r="B3" s="9" t="s">
        <v>61</v>
      </c>
      <c r="C3" s="9" t="s">
        <v>3378</v>
      </c>
      <c r="D3" s="9" t="s">
        <v>65</v>
      </c>
      <c r="E3" s="9" t="s">
        <v>3379</v>
      </c>
    </row>
    <row r="4" spans="1:5" ht="28" x14ac:dyDescent="0.15">
      <c r="A4" s="9" t="s">
        <v>49</v>
      </c>
      <c r="B4" s="9" t="s">
        <v>3380</v>
      </c>
      <c r="C4" s="9" t="s">
        <v>3381</v>
      </c>
      <c r="D4" s="9" t="s">
        <v>3382</v>
      </c>
      <c r="E4" s="9" t="s">
        <v>3379</v>
      </c>
    </row>
    <row r="5" spans="1:5" ht="28" x14ac:dyDescent="0.15">
      <c r="A5" s="9" t="s">
        <v>235</v>
      </c>
      <c r="B5" s="9" t="s">
        <v>3383</v>
      </c>
      <c r="C5" s="9" t="s">
        <v>3378</v>
      </c>
      <c r="D5" s="9" t="s">
        <v>100</v>
      </c>
      <c r="E5" s="9" t="s">
        <v>3379</v>
      </c>
    </row>
    <row r="6" spans="1:5" ht="28" x14ac:dyDescent="0.15">
      <c r="A6" s="9" t="s">
        <v>235</v>
      </c>
      <c r="B6" s="9" t="s">
        <v>1508</v>
      </c>
      <c r="C6" s="9" t="s">
        <v>3378</v>
      </c>
      <c r="D6" s="9" t="s">
        <v>113</v>
      </c>
      <c r="E6" s="9" t="s">
        <v>3379</v>
      </c>
    </row>
    <row r="7" spans="1:5" ht="28" x14ac:dyDescent="0.15">
      <c r="A7" s="9" t="s">
        <v>183</v>
      </c>
      <c r="B7" s="9" t="s">
        <v>3384</v>
      </c>
      <c r="C7" s="9" t="s">
        <v>3381</v>
      </c>
      <c r="D7" s="9" t="s">
        <v>200</v>
      </c>
      <c r="E7" s="9" t="s">
        <v>3379</v>
      </c>
    </row>
    <row r="8" spans="1:5" ht="28" x14ac:dyDescent="0.15">
      <c r="A8" s="9" t="s">
        <v>183</v>
      </c>
      <c r="B8" s="9" t="s">
        <v>190</v>
      </c>
      <c r="C8" s="9" t="s">
        <v>3385</v>
      </c>
      <c r="D8" s="9" t="s">
        <v>193</v>
      </c>
      <c r="E8" s="9" t="s">
        <v>3379</v>
      </c>
    </row>
    <row r="9" spans="1:5" ht="14" x14ac:dyDescent="0.15">
      <c r="A9" s="9" t="s">
        <v>1413</v>
      </c>
      <c r="B9" s="9" t="s">
        <v>3386</v>
      </c>
      <c r="C9" s="9" t="s">
        <v>3387</v>
      </c>
      <c r="D9" s="9" t="s">
        <v>1426</v>
      </c>
      <c r="E9" s="9" t="s">
        <v>3379</v>
      </c>
    </row>
    <row r="10" spans="1:5" ht="14" x14ac:dyDescent="0.15">
      <c r="A10" s="9" t="s">
        <v>1413</v>
      </c>
      <c r="B10" s="9" t="s">
        <v>3388</v>
      </c>
      <c r="C10" s="9" t="s">
        <v>3389</v>
      </c>
      <c r="D10" s="9" t="s">
        <v>1418</v>
      </c>
      <c r="E10" s="9" t="s">
        <v>3379</v>
      </c>
    </row>
    <row r="11" spans="1:5" ht="14" x14ac:dyDescent="0.15">
      <c r="A11" s="9" t="s">
        <v>1413</v>
      </c>
      <c r="B11" s="9" t="s">
        <v>3390</v>
      </c>
      <c r="C11" s="9" t="s">
        <v>3389</v>
      </c>
      <c r="D11" s="9" t="s">
        <v>1422</v>
      </c>
      <c r="E11" s="9" t="s">
        <v>3379</v>
      </c>
    </row>
    <row r="12" spans="1:5" ht="28" x14ac:dyDescent="0.15">
      <c r="A12" s="9" t="s">
        <v>1413</v>
      </c>
      <c r="B12" s="9" t="s">
        <v>2655</v>
      </c>
      <c r="C12" s="9" t="s">
        <v>3389</v>
      </c>
      <c r="D12" s="9" t="s">
        <v>1435</v>
      </c>
      <c r="E12" s="9" t="s">
        <v>3379</v>
      </c>
    </row>
    <row r="13" spans="1:5" ht="14" x14ac:dyDescent="0.15">
      <c r="A13" s="9" t="s">
        <v>1413</v>
      </c>
      <c r="B13" s="9" t="s">
        <v>3391</v>
      </c>
      <c r="C13" s="9" t="s">
        <v>3389</v>
      </c>
      <c r="D13" s="9" t="s">
        <v>1440</v>
      </c>
      <c r="E13" s="9" t="s">
        <v>3379</v>
      </c>
    </row>
  </sheetData>
  <autoFilter ref="A1:E13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9" customWidth="1"/>
    <col min="2" max="2" width="12" customWidth="1"/>
    <col min="3" max="3" width="22" customWidth="1"/>
    <col min="4" max="4" width="50" customWidth="1"/>
    <col min="5" max="5" width="32" customWidth="1"/>
    <col min="6" max="7" width="50" customWidth="1"/>
    <col min="8" max="9" width="12" customWidth="1"/>
    <col min="10" max="10" width="21" customWidth="1"/>
    <col min="11" max="11" width="50" customWidth="1"/>
  </cols>
  <sheetData>
    <row r="1" spans="1:11" ht="14" x14ac:dyDescent="0.15">
      <c r="A1" s="8" t="s">
        <v>33</v>
      </c>
      <c r="B1" s="8" t="s">
        <v>34</v>
      </c>
      <c r="C1" s="8" t="s">
        <v>2578</v>
      </c>
      <c r="D1" s="8" t="s">
        <v>3105</v>
      </c>
      <c r="E1" s="8" t="s">
        <v>1567</v>
      </c>
      <c r="F1" s="8" t="s">
        <v>1566</v>
      </c>
      <c r="G1" s="8" t="s">
        <v>3310</v>
      </c>
      <c r="H1" s="8" t="s">
        <v>3311</v>
      </c>
      <c r="I1" s="8" t="s">
        <v>3312</v>
      </c>
      <c r="J1" s="8" t="s">
        <v>3392</v>
      </c>
      <c r="K1" s="8" t="s">
        <v>3393</v>
      </c>
    </row>
    <row r="2" spans="1:11" ht="70" x14ac:dyDescent="0.15">
      <c r="A2" s="9" t="s">
        <v>47</v>
      </c>
      <c r="B2" s="9" t="s">
        <v>48</v>
      </c>
      <c r="C2" s="9" t="s">
        <v>1569</v>
      </c>
      <c r="D2" s="9">
        <v>27.99</v>
      </c>
      <c r="E2" s="9" t="s">
        <v>53</v>
      </c>
      <c r="F2" s="9" t="s">
        <v>56</v>
      </c>
      <c r="G2" s="9" t="s">
        <v>57</v>
      </c>
      <c r="H2" s="9" t="s">
        <v>1608</v>
      </c>
      <c r="I2" s="9" t="s">
        <v>54</v>
      </c>
      <c r="J2" s="9" t="s">
        <v>3394</v>
      </c>
      <c r="K2" s="9" t="s">
        <v>1609</v>
      </c>
    </row>
    <row r="3" spans="1:11" ht="70" x14ac:dyDescent="0.15">
      <c r="A3" s="9" t="s">
        <v>47</v>
      </c>
      <c r="B3" s="9" t="s">
        <v>48</v>
      </c>
      <c r="C3" s="9" t="s">
        <v>1570</v>
      </c>
      <c r="D3" s="9">
        <v>19.22</v>
      </c>
      <c r="E3" s="9" t="s">
        <v>53</v>
      </c>
      <c r="F3" s="9" t="s">
        <v>56</v>
      </c>
      <c r="G3" s="9" t="s">
        <v>57</v>
      </c>
      <c r="H3" s="9" t="s">
        <v>1608</v>
      </c>
      <c r="I3" s="9" t="s">
        <v>54</v>
      </c>
      <c r="J3" s="9" t="s">
        <v>3394</v>
      </c>
      <c r="K3" s="9" t="s">
        <v>1609</v>
      </c>
    </row>
    <row r="4" spans="1:11" ht="70" x14ac:dyDescent="0.15">
      <c r="A4" s="9" t="s">
        <v>47</v>
      </c>
      <c r="B4" s="9" t="s">
        <v>48</v>
      </c>
      <c r="C4" s="9" t="s">
        <v>1571</v>
      </c>
      <c r="D4" s="9" t="s">
        <v>1599</v>
      </c>
      <c r="E4" s="9" t="s">
        <v>53</v>
      </c>
      <c r="F4" s="9" t="s">
        <v>56</v>
      </c>
      <c r="G4" s="9" t="s">
        <v>57</v>
      </c>
      <c r="H4" s="9" t="s">
        <v>1608</v>
      </c>
      <c r="I4" s="9" t="s">
        <v>54</v>
      </c>
      <c r="J4" s="9" t="s">
        <v>3394</v>
      </c>
      <c r="K4" s="9" t="s">
        <v>1609</v>
      </c>
    </row>
    <row r="5" spans="1:11" ht="70" x14ac:dyDescent="0.15">
      <c r="A5" s="9" t="s">
        <v>47</v>
      </c>
      <c r="B5" s="9" t="s">
        <v>48</v>
      </c>
      <c r="C5" s="9" t="s">
        <v>1578</v>
      </c>
      <c r="D5" s="9" t="s">
        <v>1601</v>
      </c>
      <c r="E5" s="9" t="s">
        <v>53</v>
      </c>
      <c r="F5" s="9" t="s">
        <v>56</v>
      </c>
      <c r="G5" s="9" t="s">
        <v>57</v>
      </c>
      <c r="H5" s="9" t="s">
        <v>1608</v>
      </c>
      <c r="I5" s="9" t="s">
        <v>54</v>
      </c>
      <c r="J5" s="9" t="s">
        <v>3394</v>
      </c>
      <c r="K5" s="9" t="s">
        <v>1609</v>
      </c>
    </row>
    <row r="6" spans="1:11" ht="70" x14ac:dyDescent="0.15">
      <c r="A6" s="9" t="s">
        <v>47</v>
      </c>
      <c r="B6" s="9" t="s">
        <v>48</v>
      </c>
      <c r="C6" s="9" t="s">
        <v>1579</v>
      </c>
      <c r="D6" s="9" t="s">
        <v>1602</v>
      </c>
      <c r="E6" s="9" t="s">
        <v>53</v>
      </c>
      <c r="F6" s="9" t="s">
        <v>56</v>
      </c>
      <c r="G6" s="9" t="s">
        <v>57</v>
      </c>
      <c r="H6" s="9" t="s">
        <v>1608</v>
      </c>
      <c r="I6" s="9" t="s">
        <v>54</v>
      </c>
      <c r="J6" s="9" t="s">
        <v>3394</v>
      </c>
      <c r="K6" s="9" t="s">
        <v>1609</v>
      </c>
    </row>
    <row r="7" spans="1:11" ht="70" x14ac:dyDescent="0.15">
      <c r="A7" s="9" t="s">
        <v>47</v>
      </c>
      <c r="B7" s="9" t="s">
        <v>48</v>
      </c>
      <c r="C7" s="9" t="s">
        <v>1590</v>
      </c>
      <c r="D7" s="9">
        <v>120</v>
      </c>
      <c r="E7" s="9" t="s">
        <v>53</v>
      </c>
      <c r="F7" s="9" t="s">
        <v>56</v>
      </c>
      <c r="G7" s="9" t="s">
        <v>57</v>
      </c>
      <c r="H7" s="9" t="s">
        <v>1608</v>
      </c>
      <c r="I7" s="9" t="s">
        <v>54</v>
      </c>
      <c r="J7" s="9" t="s">
        <v>3394</v>
      </c>
      <c r="K7" s="9" t="s">
        <v>1609</v>
      </c>
    </row>
    <row r="8" spans="1:11" ht="70" x14ac:dyDescent="0.15">
      <c r="A8" s="9" t="s">
        <v>47</v>
      </c>
      <c r="B8" s="9" t="s">
        <v>48</v>
      </c>
      <c r="C8" s="9" t="s">
        <v>1587</v>
      </c>
      <c r="D8" s="9" t="s">
        <v>1604</v>
      </c>
      <c r="E8" s="9" t="s">
        <v>53</v>
      </c>
      <c r="F8" s="9" t="s">
        <v>56</v>
      </c>
      <c r="G8" s="9" t="s">
        <v>57</v>
      </c>
      <c r="H8" s="9" t="s">
        <v>1608</v>
      </c>
      <c r="I8" s="9" t="s">
        <v>54</v>
      </c>
      <c r="J8" s="9" t="s">
        <v>3394</v>
      </c>
      <c r="K8" s="9" t="s">
        <v>1609</v>
      </c>
    </row>
    <row r="9" spans="1:11" ht="70" x14ac:dyDescent="0.15">
      <c r="A9" s="9" t="s">
        <v>47</v>
      </c>
      <c r="B9" s="9" t="s">
        <v>48</v>
      </c>
      <c r="C9" s="9" t="s">
        <v>1588</v>
      </c>
      <c r="D9" s="9" t="s">
        <v>1605</v>
      </c>
      <c r="E9" s="9" t="s">
        <v>53</v>
      </c>
      <c r="F9" s="9" t="s">
        <v>56</v>
      </c>
      <c r="G9" s="9" t="s">
        <v>57</v>
      </c>
      <c r="H9" s="9" t="s">
        <v>1608</v>
      </c>
      <c r="I9" s="9" t="s">
        <v>54</v>
      </c>
      <c r="J9" s="9" t="s">
        <v>3394</v>
      </c>
      <c r="K9" s="9" t="s">
        <v>1609</v>
      </c>
    </row>
    <row r="10" spans="1:11" ht="70" x14ac:dyDescent="0.15">
      <c r="A10" s="9" t="s">
        <v>47</v>
      </c>
      <c r="B10" s="9" t="s">
        <v>48</v>
      </c>
      <c r="C10" s="9" t="s">
        <v>1589</v>
      </c>
      <c r="D10" s="9" t="s">
        <v>1606</v>
      </c>
      <c r="E10" s="9" t="s">
        <v>53</v>
      </c>
      <c r="F10" s="9" t="s">
        <v>56</v>
      </c>
      <c r="G10" s="9" t="s">
        <v>57</v>
      </c>
      <c r="H10" s="9" t="s">
        <v>1608</v>
      </c>
      <c r="I10" s="9" t="s">
        <v>54</v>
      </c>
      <c r="J10" s="9" t="s">
        <v>3394</v>
      </c>
      <c r="K10" s="9" t="s">
        <v>1609</v>
      </c>
    </row>
    <row r="11" spans="1:11" ht="70" x14ac:dyDescent="0.15">
      <c r="A11" s="9" t="s">
        <v>60</v>
      </c>
      <c r="B11" s="9" t="s">
        <v>48</v>
      </c>
      <c r="C11" s="9" t="s">
        <v>1569</v>
      </c>
      <c r="D11" s="9">
        <v>36.700000000000003</v>
      </c>
      <c r="E11" s="9" t="s">
        <v>62</v>
      </c>
      <c r="F11" s="9" t="s">
        <v>64</v>
      </c>
      <c r="G11" s="9" t="s">
        <v>65</v>
      </c>
      <c r="H11" s="9" t="s">
        <v>1608</v>
      </c>
      <c r="I11" s="9" t="s">
        <v>54</v>
      </c>
      <c r="J11" s="9" t="s">
        <v>3394</v>
      </c>
      <c r="K11" s="9" t="s">
        <v>1617</v>
      </c>
    </row>
    <row r="12" spans="1:11" ht="70" x14ac:dyDescent="0.15">
      <c r="A12" s="9" t="s">
        <v>60</v>
      </c>
      <c r="B12" s="9" t="s">
        <v>48</v>
      </c>
      <c r="C12" s="9" t="s">
        <v>1570</v>
      </c>
      <c r="D12" s="9">
        <v>25.54</v>
      </c>
      <c r="E12" s="9" t="s">
        <v>62</v>
      </c>
      <c r="F12" s="9" t="s">
        <v>64</v>
      </c>
      <c r="G12" s="9" t="s">
        <v>65</v>
      </c>
      <c r="H12" s="9" t="s">
        <v>1608</v>
      </c>
      <c r="I12" s="9" t="s">
        <v>54</v>
      </c>
      <c r="J12" s="9" t="s">
        <v>3394</v>
      </c>
      <c r="K12" s="9" t="s">
        <v>1617</v>
      </c>
    </row>
    <row r="13" spans="1:11" ht="70" x14ac:dyDescent="0.15">
      <c r="A13" s="9" t="s">
        <v>60</v>
      </c>
      <c r="B13" s="9" t="s">
        <v>48</v>
      </c>
      <c r="C13" s="9" t="s">
        <v>1571</v>
      </c>
      <c r="D13" s="9" t="s">
        <v>1599</v>
      </c>
      <c r="E13" s="9" t="s">
        <v>62</v>
      </c>
      <c r="F13" s="9" t="s">
        <v>64</v>
      </c>
      <c r="G13" s="9" t="s">
        <v>65</v>
      </c>
      <c r="H13" s="9" t="s">
        <v>1608</v>
      </c>
      <c r="I13" s="9" t="s">
        <v>54</v>
      </c>
      <c r="J13" s="9" t="s">
        <v>3394</v>
      </c>
      <c r="K13" s="9" t="s">
        <v>1617</v>
      </c>
    </row>
    <row r="14" spans="1:11" ht="70" x14ac:dyDescent="0.15">
      <c r="A14" s="9" t="s">
        <v>60</v>
      </c>
      <c r="B14" s="9" t="s">
        <v>48</v>
      </c>
      <c r="C14" s="9" t="s">
        <v>1578</v>
      </c>
      <c r="D14" s="9" t="s">
        <v>1610</v>
      </c>
      <c r="E14" s="9" t="s">
        <v>62</v>
      </c>
      <c r="F14" s="9" t="s">
        <v>64</v>
      </c>
      <c r="G14" s="9" t="s">
        <v>65</v>
      </c>
      <c r="H14" s="9" t="s">
        <v>1608</v>
      </c>
      <c r="I14" s="9" t="s">
        <v>54</v>
      </c>
      <c r="J14" s="9" t="s">
        <v>3394</v>
      </c>
      <c r="K14" s="9" t="s">
        <v>1617</v>
      </c>
    </row>
    <row r="15" spans="1:11" ht="70" x14ac:dyDescent="0.15">
      <c r="A15" s="9" t="s">
        <v>60</v>
      </c>
      <c r="B15" s="9" t="s">
        <v>48</v>
      </c>
      <c r="C15" s="9" t="s">
        <v>1579</v>
      </c>
      <c r="D15" s="9" t="s">
        <v>1611</v>
      </c>
      <c r="E15" s="9" t="s">
        <v>62</v>
      </c>
      <c r="F15" s="9" t="s">
        <v>64</v>
      </c>
      <c r="G15" s="9" t="s">
        <v>65</v>
      </c>
      <c r="H15" s="9" t="s">
        <v>1608</v>
      </c>
      <c r="I15" s="9" t="s">
        <v>54</v>
      </c>
      <c r="J15" s="9" t="s">
        <v>3394</v>
      </c>
      <c r="K15" s="9" t="s">
        <v>1617</v>
      </c>
    </row>
    <row r="16" spans="1:11" ht="70" x14ac:dyDescent="0.15">
      <c r="A16" s="9" t="s">
        <v>60</v>
      </c>
      <c r="B16" s="9" t="s">
        <v>48</v>
      </c>
      <c r="C16" s="9" t="s">
        <v>1589</v>
      </c>
      <c r="D16" s="9" t="s">
        <v>1616</v>
      </c>
      <c r="E16" s="9" t="s">
        <v>62</v>
      </c>
      <c r="F16" s="9" t="s">
        <v>64</v>
      </c>
      <c r="G16" s="9" t="s">
        <v>65</v>
      </c>
      <c r="H16" s="9" t="s">
        <v>1608</v>
      </c>
      <c r="I16" s="9" t="s">
        <v>54</v>
      </c>
      <c r="J16" s="9" t="s">
        <v>3394</v>
      </c>
      <c r="K16" s="9" t="s">
        <v>1617</v>
      </c>
    </row>
    <row r="17" spans="1:11" ht="70" x14ac:dyDescent="0.15">
      <c r="A17" s="9" t="s">
        <v>95</v>
      </c>
      <c r="B17" s="9" t="s">
        <v>48</v>
      </c>
      <c r="C17" s="9" t="s">
        <v>1569</v>
      </c>
      <c r="D17" s="9">
        <v>36</v>
      </c>
      <c r="E17" s="9" t="s">
        <v>97</v>
      </c>
      <c r="F17" s="9" t="s">
        <v>99</v>
      </c>
      <c r="G17" s="9" t="s">
        <v>100</v>
      </c>
      <c r="H17" s="9" t="s">
        <v>1608</v>
      </c>
      <c r="I17" s="9" t="s">
        <v>54</v>
      </c>
      <c r="J17" s="9" t="s">
        <v>3394</v>
      </c>
      <c r="K17" s="9" t="s">
        <v>1631</v>
      </c>
    </row>
    <row r="18" spans="1:11" ht="70" x14ac:dyDescent="0.15">
      <c r="A18" s="9" t="s">
        <v>95</v>
      </c>
      <c r="B18" s="9" t="s">
        <v>48</v>
      </c>
      <c r="C18" s="9" t="s">
        <v>1570</v>
      </c>
      <c r="D18" s="9">
        <v>24</v>
      </c>
      <c r="E18" s="9" t="s">
        <v>97</v>
      </c>
      <c r="F18" s="9" t="s">
        <v>99</v>
      </c>
      <c r="G18" s="9" t="s">
        <v>100</v>
      </c>
      <c r="H18" s="9" t="s">
        <v>1608</v>
      </c>
      <c r="I18" s="9" t="s">
        <v>54</v>
      </c>
      <c r="J18" s="9" t="s">
        <v>3394</v>
      </c>
      <c r="K18" s="9" t="s">
        <v>1631</v>
      </c>
    </row>
    <row r="19" spans="1:11" ht="70" x14ac:dyDescent="0.15">
      <c r="A19" s="9" t="s">
        <v>95</v>
      </c>
      <c r="B19" s="9" t="s">
        <v>48</v>
      </c>
      <c r="C19" s="9" t="s">
        <v>1571</v>
      </c>
      <c r="D19" s="9" t="s">
        <v>1624</v>
      </c>
      <c r="E19" s="9" t="s">
        <v>97</v>
      </c>
      <c r="F19" s="9" t="s">
        <v>99</v>
      </c>
      <c r="G19" s="9" t="s">
        <v>100</v>
      </c>
      <c r="H19" s="9" t="s">
        <v>1608</v>
      </c>
      <c r="I19" s="9" t="s">
        <v>54</v>
      </c>
      <c r="J19" s="9" t="s">
        <v>3394</v>
      </c>
      <c r="K19" s="9" t="s">
        <v>1631</v>
      </c>
    </row>
    <row r="20" spans="1:11" ht="70" x14ac:dyDescent="0.15">
      <c r="A20" s="9" t="s">
        <v>95</v>
      </c>
      <c r="B20" s="9" t="s">
        <v>48</v>
      </c>
      <c r="C20" s="9" t="s">
        <v>1579</v>
      </c>
      <c r="D20" s="9" t="s">
        <v>1626</v>
      </c>
      <c r="E20" s="9" t="s">
        <v>97</v>
      </c>
      <c r="F20" s="9" t="s">
        <v>99</v>
      </c>
      <c r="G20" s="9" t="s">
        <v>100</v>
      </c>
      <c r="H20" s="9" t="s">
        <v>1608</v>
      </c>
      <c r="I20" s="9" t="s">
        <v>54</v>
      </c>
      <c r="J20" s="9" t="s">
        <v>3394</v>
      </c>
      <c r="K20" s="9" t="s">
        <v>1631</v>
      </c>
    </row>
    <row r="21" spans="1:11" ht="70" x14ac:dyDescent="0.15">
      <c r="A21" s="9" t="s">
        <v>95</v>
      </c>
      <c r="B21" s="9" t="s">
        <v>48</v>
      </c>
      <c r="C21" s="9" t="s">
        <v>1581</v>
      </c>
      <c r="D21" s="9">
        <v>1.5</v>
      </c>
      <c r="E21" s="9" t="s">
        <v>97</v>
      </c>
      <c r="F21" s="9" t="s">
        <v>99</v>
      </c>
      <c r="G21" s="9" t="s">
        <v>100</v>
      </c>
      <c r="H21" s="9" t="s">
        <v>1608</v>
      </c>
      <c r="I21" s="9" t="s">
        <v>54</v>
      </c>
      <c r="J21" s="9" t="s">
        <v>3394</v>
      </c>
      <c r="K21" s="9" t="s">
        <v>1631</v>
      </c>
    </row>
    <row r="22" spans="1:11" ht="70" x14ac:dyDescent="0.15">
      <c r="A22" s="9" t="s">
        <v>95</v>
      </c>
      <c r="B22" s="9" t="s">
        <v>48</v>
      </c>
      <c r="C22" s="9" t="s">
        <v>1580</v>
      </c>
      <c r="D22" s="9"/>
      <c r="E22" s="9" t="s">
        <v>97</v>
      </c>
      <c r="F22" s="9" t="s">
        <v>99</v>
      </c>
      <c r="G22" s="9" t="s">
        <v>100</v>
      </c>
      <c r="H22" s="9" t="s">
        <v>1608</v>
      </c>
      <c r="I22" s="9" t="s">
        <v>54</v>
      </c>
      <c r="J22" s="9" t="s">
        <v>3394</v>
      </c>
      <c r="K22" s="9" t="s">
        <v>1631</v>
      </c>
    </row>
    <row r="23" spans="1:11" ht="70" x14ac:dyDescent="0.15">
      <c r="A23" s="9" t="s">
        <v>95</v>
      </c>
      <c r="B23" s="9" t="s">
        <v>48</v>
      </c>
      <c r="C23" s="9" t="s">
        <v>1592</v>
      </c>
      <c r="D23" s="9" t="s">
        <v>100</v>
      </c>
      <c r="E23" s="9" t="s">
        <v>97</v>
      </c>
      <c r="F23" s="9" t="s">
        <v>99</v>
      </c>
      <c r="G23" s="9" t="s">
        <v>100</v>
      </c>
      <c r="H23" s="9" t="s">
        <v>1608</v>
      </c>
      <c r="I23" s="9" t="s">
        <v>54</v>
      </c>
      <c r="J23" s="9" t="s">
        <v>3394</v>
      </c>
      <c r="K23" s="9" t="s">
        <v>1631</v>
      </c>
    </row>
    <row r="24" spans="1:11" ht="56" x14ac:dyDescent="0.15">
      <c r="A24" s="9" t="s">
        <v>109</v>
      </c>
      <c r="B24" s="9" t="s">
        <v>48</v>
      </c>
      <c r="C24" s="9" t="s">
        <v>1569</v>
      </c>
      <c r="D24" s="9">
        <v>50.81</v>
      </c>
      <c r="E24" s="9" t="s">
        <v>53</v>
      </c>
      <c r="F24" s="9" t="s">
        <v>112</v>
      </c>
      <c r="G24" s="9" t="s">
        <v>113</v>
      </c>
      <c r="H24" s="9" t="s">
        <v>1608</v>
      </c>
      <c r="I24" s="9" t="s">
        <v>54</v>
      </c>
      <c r="J24" s="9" t="s">
        <v>3394</v>
      </c>
      <c r="K24" s="9" t="s">
        <v>1640</v>
      </c>
    </row>
    <row r="25" spans="1:11" ht="56" x14ac:dyDescent="0.15">
      <c r="A25" s="9" t="s">
        <v>109</v>
      </c>
      <c r="B25" s="9" t="s">
        <v>48</v>
      </c>
      <c r="C25" s="9" t="s">
        <v>1570</v>
      </c>
      <c r="D25" s="9">
        <v>23.32</v>
      </c>
      <c r="E25" s="9" t="s">
        <v>53</v>
      </c>
      <c r="F25" s="9" t="s">
        <v>112</v>
      </c>
      <c r="G25" s="9" t="s">
        <v>113</v>
      </c>
      <c r="H25" s="9" t="s">
        <v>1608</v>
      </c>
      <c r="I25" s="9" t="s">
        <v>54</v>
      </c>
      <c r="J25" s="9" t="s">
        <v>3394</v>
      </c>
      <c r="K25" s="9" t="s">
        <v>1640</v>
      </c>
    </row>
    <row r="26" spans="1:11" ht="56" x14ac:dyDescent="0.15">
      <c r="A26" s="9" t="s">
        <v>109</v>
      </c>
      <c r="B26" s="9" t="s">
        <v>48</v>
      </c>
      <c r="C26" s="9" t="s">
        <v>1571</v>
      </c>
      <c r="D26" s="9" t="s">
        <v>1599</v>
      </c>
      <c r="E26" s="9" t="s">
        <v>53</v>
      </c>
      <c r="F26" s="9" t="s">
        <v>112</v>
      </c>
      <c r="G26" s="9" t="s">
        <v>113</v>
      </c>
      <c r="H26" s="9" t="s">
        <v>1608</v>
      </c>
      <c r="I26" s="9" t="s">
        <v>54</v>
      </c>
      <c r="J26" s="9" t="s">
        <v>3394</v>
      </c>
      <c r="K26" s="9" t="s">
        <v>1640</v>
      </c>
    </row>
    <row r="27" spans="1:11" ht="56" x14ac:dyDescent="0.15">
      <c r="A27" s="9" t="s">
        <v>109</v>
      </c>
      <c r="B27" s="9" t="s">
        <v>48</v>
      </c>
      <c r="C27" s="9" t="s">
        <v>1579</v>
      </c>
      <c r="D27" s="9" t="s">
        <v>1636</v>
      </c>
      <c r="E27" s="9" t="s">
        <v>53</v>
      </c>
      <c r="F27" s="9" t="s">
        <v>112</v>
      </c>
      <c r="G27" s="9" t="s">
        <v>113</v>
      </c>
      <c r="H27" s="9" t="s">
        <v>1608</v>
      </c>
      <c r="I27" s="9" t="s">
        <v>54</v>
      </c>
      <c r="J27" s="9" t="s">
        <v>3394</v>
      </c>
      <c r="K27" s="9" t="s">
        <v>1640</v>
      </c>
    </row>
    <row r="28" spans="1:11" ht="56" x14ac:dyDescent="0.15">
      <c r="A28" s="9" t="s">
        <v>109</v>
      </c>
      <c r="B28" s="9" t="s">
        <v>48</v>
      </c>
      <c r="C28" s="9" t="s">
        <v>1586</v>
      </c>
      <c r="D28" s="9">
        <v>16</v>
      </c>
      <c r="E28" s="9" t="s">
        <v>53</v>
      </c>
      <c r="F28" s="9" t="s">
        <v>112</v>
      </c>
      <c r="G28" s="9" t="s">
        <v>113</v>
      </c>
      <c r="H28" s="9" t="s">
        <v>1608</v>
      </c>
      <c r="I28" s="9" t="s">
        <v>54</v>
      </c>
      <c r="J28" s="9" t="s">
        <v>3394</v>
      </c>
      <c r="K28" s="9" t="s">
        <v>1640</v>
      </c>
    </row>
    <row r="29" spans="1:11" ht="56" x14ac:dyDescent="0.15">
      <c r="A29" s="9" t="s">
        <v>109</v>
      </c>
      <c r="B29" s="9" t="s">
        <v>48</v>
      </c>
      <c r="C29" s="9" t="s">
        <v>1587</v>
      </c>
      <c r="D29" s="9" t="s">
        <v>1637</v>
      </c>
      <c r="E29" s="9" t="s">
        <v>53</v>
      </c>
      <c r="F29" s="9" t="s">
        <v>112</v>
      </c>
      <c r="G29" s="9" t="s">
        <v>113</v>
      </c>
      <c r="H29" s="9" t="s">
        <v>1608</v>
      </c>
      <c r="I29" s="9" t="s">
        <v>54</v>
      </c>
      <c r="J29" s="9" t="s">
        <v>3394</v>
      </c>
      <c r="K29" s="9" t="s">
        <v>1640</v>
      </c>
    </row>
    <row r="30" spans="1:11" ht="70" x14ac:dyDescent="0.15">
      <c r="A30" s="9" t="s">
        <v>196</v>
      </c>
      <c r="B30" s="9" t="s">
        <v>48</v>
      </c>
      <c r="C30" s="9" t="s">
        <v>1578</v>
      </c>
      <c r="D30" s="9" t="s">
        <v>1610</v>
      </c>
      <c r="E30" s="9" t="s">
        <v>53</v>
      </c>
      <c r="F30" s="9" t="s">
        <v>199</v>
      </c>
      <c r="G30" s="9" t="s">
        <v>200</v>
      </c>
      <c r="H30" s="9" t="s">
        <v>1608</v>
      </c>
      <c r="I30" s="9" t="s">
        <v>54</v>
      </c>
      <c r="J30" s="9" t="s">
        <v>3394</v>
      </c>
      <c r="K30" s="9" t="s">
        <v>1665</v>
      </c>
    </row>
    <row r="31" spans="1:11" ht="70" x14ac:dyDescent="0.15">
      <c r="A31" s="9" t="s">
        <v>196</v>
      </c>
      <c r="B31" s="9" t="s">
        <v>48</v>
      </c>
      <c r="C31" s="9" t="s">
        <v>1571</v>
      </c>
      <c r="D31" s="9" t="s">
        <v>1618</v>
      </c>
      <c r="E31" s="9" t="s">
        <v>53</v>
      </c>
      <c r="F31" s="9" t="s">
        <v>199</v>
      </c>
      <c r="G31" s="9" t="s">
        <v>200</v>
      </c>
      <c r="H31" s="9" t="s">
        <v>1608</v>
      </c>
      <c r="I31" s="9" t="s">
        <v>54</v>
      </c>
      <c r="J31" s="9" t="s">
        <v>3394</v>
      </c>
      <c r="K31" s="9" t="s">
        <v>1665</v>
      </c>
    </row>
    <row r="32" spans="1:11" ht="70" x14ac:dyDescent="0.15">
      <c r="A32" s="9" t="s">
        <v>196</v>
      </c>
      <c r="B32" s="9" t="s">
        <v>48</v>
      </c>
      <c r="C32" s="9" t="s">
        <v>1582</v>
      </c>
      <c r="D32" s="9">
        <v>800</v>
      </c>
      <c r="E32" s="9" t="s">
        <v>53</v>
      </c>
      <c r="F32" s="9" t="s">
        <v>199</v>
      </c>
      <c r="G32" s="9" t="s">
        <v>200</v>
      </c>
      <c r="H32" s="9" t="s">
        <v>1608</v>
      </c>
      <c r="I32" s="9" t="s">
        <v>54</v>
      </c>
      <c r="J32" s="9" t="s">
        <v>3394</v>
      </c>
      <c r="K32" s="9" t="s">
        <v>1665</v>
      </c>
    </row>
    <row r="33" spans="1:11" ht="70" x14ac:dyDescent="0.15">
      <c r="A33" s="9" t="s">
        <v>196</v>
      </c>
      <c r="B33" s="9" t="s">
        <v>48</v>
      </c>
      <c r="C33" s="9" t="s">
        <v>1583</v>
      </c>
      <c r="D33" s="9">
        <v>3200</v>
      </c>
      <c r="E33" s="9" t="s">
        <v>53</v>
      </c>
      <c r="F33" s="9" t="s">
        <v>199</v>
      </c>
      <c r="G33" s="9" t="s">
        <v>200</v>
      </c>
      <c r="H33" s="9" t="s">
        <v>1608</v>
      </c>
      <c r="I33" s="9" t="s">
        <v>54</v>
      </c>
      <c r="J33" s="9" t="s">
        <v>3394</v>
      </c>
      <c r="K33" s="9" t="s">
        <v>1665</v>
      </c>
    </row>
    <row r="34" spans="1:11" ht="70" x14ac:dyDescent="0.15">
      <c r="A34" s="9" t="s">
        <v>196</v>
      </c>
      <c r="B34" s="9" t="s">
        <v>48</v>
      </c>
      <c r="C34" s="9" t="s">
        <v>1586</v>
      </c>
      <c r="D34" s="9"/>
      <c r="E34" s="9" t="s">
        <v>53</v>
      </c>
      <c r="F34" s="9" t="s">
        <v>199</v>
      </c>
      <c r="G34" s="9" t="s">
        <v>200</v>
      </c>
      <c r="H34" s="9" t="s">
        <v>1608</v>
      </c>
      <c r="I34" s="9" t="s">
        <v>54</v>
      </c>
      <c r="J34" s="9" t="s">
        <v>3394</v>
      </c>
      <c r="K34" s="9" t="s">
        <v>1665</v>
      </c>
    </row>
    <row r="35" spans="1:11" ht="42" x14ac:dyDescent="0.15">
      <c r="A35" s="9" t="s">
        <v>226</v>
      </c>
      <c r="B35" s="9" t="s">
        <v>48</v>
      </c>
      <c r="C35" s="9" t="s">
        <v>1569</v>
      </c>
      <c r="D35" s="9">
        <v>54.12</v>
      </c>
      <c r="E35" s="9" t="s">
        <v>228</v>
      </c>
      <c r="F35" s="9" t="s">
        <v>230</v>
      </c>
      <c r="G35" s="9" t="s">
        <v>231</v>
      </c>
      <c r="H35" s="9" t="s">
        <v>3</v>
      </c>
      <c r="I35" s="9" t="s">
        <v>54</v>
      </c>
      <c r="J35" s="9" t="s">
        <v>3395</v>
      </c>
      <c r="K35" s="9" t="s">
        <v>1684</v>
      </c>
    </row>
    <row r="36" spans="1:11" ht="42" x14ac:dyDescent="0.15">
      <c r="A36" s="9" t="s">
        <v>226</v>
      </c>
      <c r="B36" s="9" t="s">
        <v>48</v>
      </c>
      <c r="C36" s="9" t="s">
        <v>1570</v>
      </c>
      <c r="D36" s="9">
        <v>25.58</v>
      </c>
      <c r="E36" s="9" t="s">
        <v>228</v>
      </c>
      <c r="F36" s="9" t="s">
        <v>230</v>
      </c>
      <c r="G36" s="9" t="s">
        <v>231</v>
      </c>
      <c r="H36" s="9" t="s">
        <v>3</v>
      </c>
      <c r="I36" s="9" t="s">
        <v>54</v>
      </c>
      <c r="J36" s="9" t="s">
        <v>3395</v>
      </c>
      <c r="K36" s="9" t="s">
        <v>1684</v>
      </c>
    </row>
    <row r="37" spans="1:11" ht="42" x14ac:dyDescent="0.15">
      <c r="A37" s="9" t="s">
        <v>226</v>
      </c>
      <c r="B37" s="9" t="s">
        <v>48</v>
      </c>
      <c r="C37" s="9" t="s">
        <v>1571</v>
      </c>
      <c r="D37" s="9" t="s">
        <v>1599</v>
      </c>
      <c r="E37" s="9" t="s">
        <v>228</v>
      </c>
      <c r="F37" s="9" t="s">
        <v>230</v>
      </c>
      <c r="G37" s="9" t="s">
        <v>231</v>
      </c>
      <c r="H37" s="9" t="s">
        <v>3</v>
      </c>
      <c r="I37" s="9" t="s">
        <v>54</v>
      </c>
      <c r="J37" s="9" t="s">
        <v>3395</v>
      </c>
      <c r="K37" s="9" t="s">
        <v>1684</v>
      </c>
    </row>
    <row r="38" spans="1:11" ht="42" x14ac:dyDescent="0.15">
      <c r="A38" s="9" t="s">
        <v>226</v>
      </c>
      <c r="B38" s="9" t="s">
        <v>48</v>
      </c>
      <c r="C38" s="9" t="s">
        <v>1579</v>
      </c>
      <c r="D38" s="9" t="s">
        <v>1677</v>
      </c>
      <c r="E38" s="9" t="s">
        <v>228</v>
      </c>
      <c r="F38" s="9" t="s">
        <v>230</v>
      </c>
      <c r="G38" s="9" t="s">
        <v>231</v>
      </c>
      <c r="H38" s="9" t="s">
        <v>3</v>
      </c>
      <c r="I38" s="9" t="s">
        <v>54</v>
      </c>
      <c r="J38" s="9" t="s">
        <v>3395</v>
      </c>
      <c r="K38" s="9" t="s">
        <v>1684</v>
      </c>
    </row>
    <row r="39" spans="1:11" ht="42" x14ac:dyDescent="0.15">
      <c r="A39" s="9" t="s">
        <v>226</v>
      </c>
      <c r="B39" s="9" t="s">
        <v>48</v>
      </c>
      <c r="C39" s="9" t="s">
        <v>1580</v>
      </c>
      <c r="D39" s="9">
        <v>59.86</v>
      </c>
      <c r="E39" s="9" t="s">
        <v>228</v>
      </c>
      <c r="F39" s="9" t="s">
        <v>230</v>
      </c>
      <c r="G39" s="9" t="s">
        <v>231</v>
      </c>
      <c r="H39" s="9" t="s">
        <v>3</v>
      </c>
      <c r="I39" s="9" t="s">
        <v>54</v>
      </c>
      <c r="J39" s="9" t="s">
        <v>3395</v>
      </c>
      <c r="K39" s="9" t="s">
        <v>1684</v>
      </c>
    </row>
    <row r="40" spans="1:11" ht="42" x14ac:dyDescent="0.15">
      <c r="A40" s="9" t="s">
        <v>226</v>
      </c>
      <c r="B40" s="9" t="s">
        <v>48</v>
      </c>
      <c r="C40" s="9" t="s">
        <v>1586</v>
      </c>
      <c r="D40" s="9">
        <v>15</v>
      </c>
      <c r="E40" s="9" t="s">
        <v>228</v>
      </c>
      <c r="F40" s="9" t="s">
        <v>230</v>
      </c>
      <c r="G40" s="9" t="s">
        <v>231</v>
      </c>
      <c r="H40" s="9" t="s">
        <v>3</v>
      </c>
      <c r="I40" s="9" t="s">
        <v>54</v>
      </c>
      <c r="J40" s="9" t="s">
        <v>3395</v>
      </c>
      <c r="K40" s="9" t="s">
        <v>1684</v>
      </c>
    </row>
    <row r="41" spans="1:11" ht="42" x14ac:dyDescent="0.15">
      <c r="A41" s="9" t="s">
        <v>226</v>
      </c>
      <c r="B41" s="9" t="s">
        <v>48</v>
      </c>
      <c r="C41" s="9" t="s">
        <v>1585</v>
      </c>
      <c r="D41" s="9" t="s">
        <v>1603</v>
      </c>
      <c r="E41" s="9" t="s">
        <v>228</v>
      </c>
      <c r="F41" s="9" t="s">
        <v>230</v>
      </c>
      <c r="G41" s="9" t="s">
        <v>231</v>
      </c>
      <c r="H41" s="9" t="s">
        <v>3</v>
      </c>
      <c r="I41" s="9" t="s">
        <v>54</v>
      </c>
      <c r="J41" s="9" t="s">
        <v>3395</v>
      </c>
      <c r="K41" s="9" t="s">
        <v>1684</v>
      </c>
    </row>
    <row r="42" spans="1:11" ht="42" x14ac:dyDescent="0.15">
      <c r="A42" s="9" t="s">
        <v>226</v>
      </c>
      <c r="B42" s="9" t="s">
        <v>48</v>
      </c>
      <c r="C42" s="9" t="s">
        <v>1587</v>
      </c>
      <c r="D42" s="9" t="s">
        <v>1678</v>
      </c>
      <c r="E42" s="9" t="s">
        <v>228</v>
      </c>
      <c r="F42" s="9" t="s">
        <v>230</v>
      </c>
      <c r="G42" s="9" t="s">
        <v>231</v>
      </c>
      <c r="H42" s="9" t="s">
        <v>3</v>
      </c>
      <c r="I42" s="9" t="s">
        <v>54</v>
      </c>
      <c r="J42" s="9" t="s">
        <v>3395</v>
      </c>
      <c r="K42" s="9" t="s">
        <v>1684</v>
      </c>
    </row>
    <row r="43" spans="1:11" ht="42" x14ac:dyDescent="0.15">
      <c r="A43" s="9" t="s">
        <v>226</v>
      </c>
      <c r="B43" s="9" t="s">
        <v>48</v>
      </c>
      <c r="C43" s="9" t="s">
        <v>1589</v>
      </c>
      <c r="D43" s="9" t="s">
        <v>1680</v>
      </c>
      <c r="E43" s="9" t="s">
        <v>228</v>
      </c>
      <c r="F43" s="9" t="s">
        <v>230</v>
      </c>
      <c r="G43" s="9" t="s">
        <v>231</v>
      </c>
      <c r="H43" s="9" t="s">
        <v>3</v>
      </c>
      <c r="I43" s="9" t="s">
        <v>54</v>
      </c>
      <c r="J43" s="9" t="s">
        <v>3395</v>
      </c>
      <c r="K43" s="9" t="s">
        <v>1684</v>
      </c>
    </row>
    <row r="44" spans="1:11" ht="42" x14ac:dyDescent="0.15">
      <c r="A44" s="9" t="s">
        <v>226</v>
      </c>
      <c r="B44" s="9" t="s">
        <v>48</v>
      </c>
      <c r="C44" s="9" t="s">
        <v>1590</v>
      </c>
      <c r="D44" s="9">
        <v>60</v>
      </c>
      <c r="E44" s="9" t="s">
        <v>228</v>
      </c>
      <c r="F44" s="9" t="s">
        <v>230</v>
      </c>
      <c r="G44" s="9" t="s">
        <v>231</v>
      </c>
      <c r="H44" s="9" t="s">
        <v>3</v>
      </c>
      <c r="I44" s="9" t="s">
        <v>54</v>
      </c>
      <c r="J44" s="9" t="s">
        <v>3395</v>
      </c>
      <c r="K44" s="9" t="s">
        <v>1684</v>
      </c>
    </row>
    <row r="45" spans="1:11" ht="42" x14ac:dyDescent="0.15">
      <c r="A45" s="9" t="s">
        <v>226</v>
      </c>
      <c r="B45" s="9" t="s">
        <v>48</v>
      </c>
      <c r="C45" s="9" t="s">
        <v>1591</v>
      </c>
      <c r="D45" s="9" t="s">
        <v>1681</v>
      </c>
      <c r="E45" s="9" t="s">
        <v>228</v>
      </c>
      <c r="F45" s="9" t="s">
        <v>230</v>
      </c>
      <c r="G45" s="9" t="s">
        <v>231</v>
      </c>
      <c r="H45" s="9" t="s">
        <v>3</v>
      </c>
      <c r="I45" s="9" t="s">
        <v>54</v>
      </c>
      <c r="J45" s="9" t="s">
        <v>3395</v>
      </c>
      <c r="K45" s="9" t="s">
        <v>1684</v>
      </c>
    </row>
    <row r="46" spans="1:11" ht="28" x14ac:dyDescent="0.15">
      <c r="A46" s="9" t="s">
        <v>234</v>
      </c>
      <c r="B46" s="9" t="s">
        <v>48</v>
      </c>
      <c r="C46" s="9" t="s">
        <v>1569</v>
      </c>
      <c r="D46" s="9">
        <v>35.64</v>
      </c>
      <c r="E46" s="9" t="s">
        <v>53</v>
      </c>
      <c r="F46" s="9" t="s">
        <v>238</v>
      </c>
      <c r="G46" s="9" t="s">
        <v>239</v>
      </c>
      <c r="H46" s="9" t="s">
        <v>3</v>
      </c>
      <c r="I46" s="9" t="s">
        <v>54</v>
      </c>
      <c r="J46" s="9" t="s">
        <v>3394</v>
      </c>
      <c r="K46" s="9" t="s">
        <v>1692</v>
      </c>
    </row>
    <row r="47" spans="1:11" ht="28" x14ac:dyDescent="0.15">
      <c r="A47" s="9" t="s">
        <v>234</v>
      </c>
      <c r="B47" s="9" t="s">
        <v>48</v>
      </c>
      <c r="C47" s="9" t="s">
        <v>1570</v>
      </c>
      <c r="D47" s="9">
        <v>23.32</v>
      </c>
      <c r="E47" s="9" t="s">
        <v>53</v>
      </c>
      <c r="F47" s="9" t="s">
        <v>238</v>
      </c>
      <c r="G47" s="9" t="s">
        <v>239</v>
      </c>
      <c r="H47" s="9" t="s">
        <v>3</v>
      </c>
      <c r="I47" s="9" t="s">
        <v>54</v>
      </c>
      <c r="J47" s="9" t="s">
        <v>3394</v>
      </c>
      <c r="K47" s="9" t="s">
        <v>1692</v>
      </c>
    </row>
    <row r="48" spans="1:11" ht="28" x14ac:dyDescent="0.15">
      <c r="A48" s="9" t="s">
        <v>234</v>
      </c>
      <c r="B48" s="9" t="s">
        <v>48</v>
      </c>
      <c r="C48" s="9" t="s">
        <v>1579</v>
      </c>
      <c r="D48" s="9" t="s">
        <v>1611</v>
      </c>
      <c r="E48" s="9" t="s">
        <v>53</v>
      </c>
      <c r="F48" s="9" t="s">
        <v>238</v>
      </c>
      <c r="G48" s="9" t="s">
        <v>239</v>
      </c>
      <c r="H48" s="9" t="s">
        <v>3</v>
      </c>
      <c r="I48" s="9" t="s">
        <v>54</v>
      </c>
      <c r="J48" s="9" t="s">
        <v>3394</v>
      </c>
      <c r="K48" s="9" t="s">
        <v>1692</v>
      </c>
    </row>
    <row r="49" spans="1:11" ht="28" x14ac:dyDescent="0.15">
      <c r="A49" s="9" t="s">
        <v>234</v>
      </c>
      <c r="B49" s="9" t="s">
        <v>48</v>
      </c>
      <c r="C49" s="9" t="s">
        <v>1586</v>
      </c>
      <c r="D49" s="9">
        <v>16</v>
      </c>
      <c r="E49" s="9" t="s">
        <v>53</v>
      </c>
      <c r="F49" s="9" t="s">
        <v>238</v>
      </c>
      <c r="G49" s="9" t="s">
        <v>239</v>
      </c>
      <c r="H49" s="9" t="s">
        <v>3</v>
      </c>
      <c r="I49" s="9" t="s">
        <v>54</v>
      </c>
      <c r="J49" s="9" t="s">
        <v>3394</v>
      </c>
      <c r="K49" s="9" t="s">
        <v>1692</v>
      </c>
    </row>
    <row r="50" spans="1:11" ht="28" x14ac:dyDescent="0.15">
      <c r="A50" s="9" t="s">
        <v>234</v>
      </c>
      <c r="B50" s="9" t="s">
        <v>48</v>
      </c>
      <c r="C50" s="9" t="s">
        <v>1587</v>
      </c>
      <c r="D50" s="9" t="s">
        <v>1687</v>
      </c>
      <c r="E50" s="9" t="s">
        <v>53</v>
      </c>
      <c r="F50" s="9" t="s">
        <v>238</v>
      </c>
      <c r="G50" s="9" t="s">
        <v>239</v>
      </c>
      <c r="H50" s="9" t="s">
        <v>3</v>
      </c>
      <c r="I50" s="9" t="s">
        <v>54</v>
      </c>
      <c r="J50" s="9" t="s">
        <v>3394</v>
      </c>
      <c r="K50" s="9" t="s">
        <v>1692</v>
      </c>
    </row>
    <row r="51" spans="1:11" ht="28" x14ac:dyDescent="0.15">
      <c r="A51" s="9" t="s">
        <v>234</v>
      </c>
      <c r="B51" s="9" t="s">
        <v>48</v>
      </c>
      <c r="C51" s="9" t="s">
        <v>1589</v>
      </c>
      <c r="D51" s="9" t="s">
        <v>1689</v>
      </c>
      <c r="E51" s="9" t="s">
        <v>53</v>
      </c>
      <c r="F51" s="9" t="s">
        <v>238</v>
      </c>
      <c r="G51" s="9" t="s">
        <v>239</v>
      </c>
      <c r="H51" s="9" t="s">
        <v>3</v>
      </c>
      <c r="I51" s="9" t="s">
        <v>54</v>
      </c>
      <c r="J51" s="9" t="s">
        <v>3394</v>
      </c>
      <c r="K51" s="9" t="s">
        <v>1692</v>
      </c>
    </row>
    <row r="52" spans="1:11" ht="28" x14ac:dyDescent="0.15">
      <c r="A52" s="9" t="s">
        <v>234</v>
      </c>
      <c r="B52" s="9" t="s">
        <v>48</v>
      </c>
      <c r="C52" s="9" t="s">
        <v>1571</v>
      </c>
      <c r="D52" s="9" t="s">
        <v>1685</v>
      </c>
      <c r="E52" s="9" t="s">
        <v>53</v>
      </c>
      <c r="F52" s="9" t="s">
        <v>238</v>
      </c>
      <c r="G52" s="9" t="s">
        <v>239</v>
      </c>
      <c r="H52" s="9" t="s">
        <v>3</v>
      </c>
      <c r="I52" s="9" t="s">
        <v>54</v>
      </c>
      <c r="J52" s="9" t="s">
        <v>3394</v>
      </c>
      <c r="K52" s="9" t="s">
        <v>1692</v>
      </c>
    </row>
    <row r="53" spans="1:11" ht="42" x14ac:dyDescent="0.15">
      <c r="A53" s="9" t="s">
        <v>1155</v>
      </c>
      <c r="B53" s="9" t="s">
        <v>241</v>
      </c>
      <c r="C53" s="9" t="s">
        <v>1693</v>
      </c>
      <c r="D53" s="9">
        <v>10.5</v>
      </c>
      <c r="E53" s="9" t="s">
        <v>53</v>
      </c>
      <c r="F53" s="9" t="s">
        <v>1158</v>
      </c>
      <c r="G53" s="9" t="s">
        <v>1159</v>
      </c>
      <c r="H53" s="9" t="s">
        <v>3</v>
      </c>
      <c r="I53" s="9" t="s">
        <v>54</v>
      </c>
      <c r="J53" s="9" t="s">
        <v>3394</v>
      </c>
      <c r="K53" s="9" t="s">
        <v>1805</v>
      </c>
    </row>
    <row r="54" spans="1:11" ht="42" x14ac:dyDescent="0.15">
      <c r="A54" s="9" t="s">
        <v>1155</v>
      </c>
      <c r="B54" s="9" t="s">
        <v>241</v>
      </c>
      <c r="C54" s="9" t="s">
        <v>1694</v>
      </c>
      <c r="D54" s="9">
        <v>2.8</v>
      </c>
      <c r="E54" s="9" t="s">
        <v>53</v>
      </c>
      <c r="F54" s="9" t="s">
        <v>1158</v>
      </c>
      <c r="G54" s="9" t="s">
        <v>1159</v>
      </c>
      <c r="H54" s="9" t="s">
        <v>3</v>
      </c>
      <c r="I54" s="9" t="s">
        <v>54</v>
      </c>
      <c r="J54" s="9" t="s">
        <v>3394</v>
      </c>
      <c r="K54" s="9" t="s">
        <v>1805</v>
      </c>
    </row>
    <row r="55" spans="1:11" ht="42" x14ac:dyDescent="0.15">
      <c r="A55" s="9" t="s">
        <v>1155</v>
      </c>
      <c r="B55" s="9" t="s">
        <v>241</v>
      </c>
      <c r="C55" s="9" t="s">
        <v>1571</v>
      </c>
      <c r="D55" s="9" t="s">
        <v>1599</v>
      </c>
      <c r="E55" s="9" t="s">
        <v>53</v>
      </c>
      <c r="F55" s="9" t="s">
        <v>1158</v>
      </c>
      <c r="G55" s="9" t="s">
        <v>1159</v>
      </c>
      <c r="H55" s="9" t="s">
        <v>3</v>
      </c>
      <c r="I55" s="9" t="s">
        <v>54</v>
      </c>
      <c r="J55" s="9" t="s">
        <v>3394</v>
      </c>
      <c r="K55" s="9" t="s">
        <v>1805</v>
      </c>
    </row>
    <row r="56" spans="1:11" ht="42" x14ac:dyDescent="0.15">
      <c r="A56" s="9" t="s">
        <v>1155</v>
      </c>
      <c r="B56" s="9" t="s">
        <v>241</v>
      </c>
      <c r="C56" s="9" t="s">
        <v>1703</v>
      </c>
      <c r="D56" s="9" t="s">
        <v>1804</v>
      </c>
      <c r="E56" s="9" t="s">
        <v>53</v>
      </c>
      <c r="F56" s="9" t="s">
        <v>1158</v>
      </c>
      <c r="G56" s="9" t="s">
        <v>1159</v>
      </c>
      <c r="H56" s="9" t="s">
        <v>3</v>
      </c>
      <c r="I56" s="9" t="s">
        <v>54</v>
      </c>
      <c r="J56" s="9" t="s">
        <v>3394</v>
      </c>
      <c r="K56" s="9" t="s">
        <v>1805</v>
      </c>
    </row>
    <row r="57" spans="1:11" ht="42" x14ac:dyDescent="0.15">
      <c r="A57" s="9" t="s">
        <v>1160</v>
      </c>
      <c r="B57" s="9" t="s">
        <v>241</v>
      </c>
      <c r="C57" s="9" t="s">
        <v>1693</v>
      </c>
      <c r="D57" s="9">
        <v>14</v>
      </c>
      <c r="E57" s="9" t="s">
        <v>53</v>
      </c>
      <c r="F57" s="9" t="s">
        <v>1158</v>
      </c>
      <c r="G57" s="9" t="s">
        <v>1159</v>
      </c>
      <c r="H57" s="9" t="s">
        <v>3</v>
      </c>
      <c r="I57" s="9" t="s">
        <v>54</v>
      </c>
      <c r="J57" s="9" t="s">
        <v>3394</v>
      </c>
      <c r="K57" s="9" t="s">
        <v>1805</v>
      </c>
    </row>
    <row r="58" spans="1:11" ht="42" x14ac:dyDescent="0.15">
      <c r="A58" s="9" t="s">
        <v>1160</v>
      </c>
      <c r="B58" s="9" t="s">
        <v>241</v>
      </c>
      <c r="C58" s="9" t="s">
        <v>1694</v>
      </c>
      <c r="D58" s="9">
        <v>2.5</v>
      </c>
      <c r="E58" s="9" t="s">
        <v>53</v>
      </c>
      <c r="F58" s="9" t="s">
        <v>1158</v>
      </c>
      <c r="G58" s="9" t="s">
        <v>1159</v>
      </c>
      <c r="H58" s="9" t="s">
        <v>3</v>
      </c>
      <c r="I58" s="9" t="s">
        <v>54</v>
      </c>
      <c r="J58" s="9" t="s">
        <v>3394</v>
      </c>
      <c r="K58" s="9" t="s">
        <v>1805</v>
      </c>
    </row>
    <row r="59" spans="1:11" ht="42" x14ac:dyDescent="0.15">
      <c r="A59" s="9" t="s">
        <v>1160</v>
      </c>
      <c r="B59" s="9" t="s">
        <v>241</v>
      </c>
      <c r="C59" s="9" t="s">
        <v>1571</v>
      </c>
      <c r="D59" s="9" t="s">
        <v>1599</v>
      </c>
      <c r="E59" s="9" t="s">
        <v>53</v>
      </c>
      <c r="F59" s="9" t="s">
        <v>1158</v>
      </c>
      <c r="G59" s="9" t="s">
        <v>1159</v>
      </c>
      <c r="H59" s="9" t="s">
        <v>3</v>
      </c>
      <c r="I59" s="9" t="s">
        <v>54</v>
      </c>
      <c r="J59" s="9" t="s">
        <v>3394</v>
      </c>
      <c r="K59" s="9" t="s">
        <v>1805</v>
      </c>
    </row>
    <row r="60" spans="1:11" ht="42" x14ac:dyDescent="0.15">
      <c r="A60" s="9" t="s">
        <v>1160</v>
      </c>
      <c r="B60" s="9" t="s">
        <v>241</v>
      </c>
      <c r="C60" s="9" t="s">
        <v>1703</v>
      </c>
      <c r="D60" s="9" t="s">
        <v>1804</v>
      </c>
      <c r="E60" s="9" t="s">
        <v>53</v>
      </c>
      <c r="F60" s="9" t="s">
        <v>1158</v>
      </c>
      <c r="G60" s="9" t="s">
        <v>1159</v>
      </c>
      <c r="H60" s="9" t="s">
        <v>3</v>
      </c>
      <c r="I60" s="9" t="s">
        <v>54</v>
      </c>
      <c r="J60" s="9" t="s">
        <v>3394</v>
      </c>
      <c r="K60" s="9" t="s">
        <v>1805</v>
      </c>
    </row>
    <row r="61" spans="1:11" ht="42" x14ac:dyDescent="0.15">
      <c r="A61" s="9" t="s">
        <v>1162</v>
      </c>
      <c r="B61" s="9" t="s">
        <v>241</v>
      </c>
      <c r="C61" s="9" t="s">
        <v>1693</v>
      </c>
      <c r="D61" s="9">
        <v>18</v>
      </c>
      <c r="E61" s="9" t="s">
        <v>53</v>
      </c>
      <c r="F61" s="9" t="s">
        <v>1158</v>
      </c>
      <c r="G61" s="9" t="s">
        <v>1159</v>
      </c>
      <c r="H61" s="9" t="s">
        <v>3</v>
      </c>
      <c r="I61" s="9" t="s">
        <v>54</v>
      </c>
      <c r="J61" s="9" t="s">
        <v>3394</v>
      </c>
      <c r="K61" s="9" t="s">
        <v>1805</v>
      </c>
    </row>
    <row r="62" spans="1:11" ht="42" x14ac:dyDescent="0.15">
      <c r="A62" s="9" t="s">
        <v>1162</v>
      </c>
      <c r="B62" s="9" t="s">
        <v>241</v>
      </c>
      <c r="C62" s="9" t="s">
        <v>1694</v>
      </c>
      <c r="D62" s="9">
        <v>2.1</v>
      </c>
      <c r="E62" s="9" t="s">
        <v>53</v>
      </c>
      <c r="F62" s="9" t="s">
        <v>1158</v>
      </c>
      <c r="G62" s="9" t="s">
        <v>1159</v>
      </c>
      <c r="H62" s="9" t="s">
        <v>3</v>
      </c>
      <c r="I62" s="9" t="s">
        <v>54</v>
      </c>
      <c r="J62" s="9" t="s">
        <v>3394</v>
      </c>
      <c r="K62" s="9" t="s">
        <v>1805</v>
      </c>
    </row>
    <row r="63" spans="1:11" ht="42" x14ac:dyDescent="0.15">
      <c r="A63" s="9" t="s">
        <v>1162</v>
      </c>
      <c r="B63" s="9" t="s">
        <v>241</v>
      </c>
      <c r="C63" s="9" t="s">
        <v>1571</v>
      </c>
      <c r="D63" s="9" t="s">
        <v>1599</v>
      </c>
      <c r="E63" s="9" t="s">
        <v>53</v>
      </c>
      <c r="F63" s="9" t="s">
        <v>1158</v>
      </c>
      <c r="G63" s="9" t="s">
        <v>1159</v>
      </c>
      <c r="H63" s="9" t="s">
        <v>3</v>
      </c>
      <c r="I63" s="9" t="s">
        <v>54</v>
      </c>
      <c r="J63" s="9" t="s">
        <v>3394</v>
      </c>
      <c r="K63" s="9" t="s">
        <v>1805</v>
      </c>
    </row>
    <row r="64" spans="1:11" ht="42" x14ac:dyDescent="0.15">
      <c r="A64" s="9" t="s">
        <v>1162</v>
      </c>
      <c r="B64" s="9" t="s">
        <v>241</v>
      </c>
      <c r="C64" s="9" t="s">
        <v>1703</v>
      </c>
      <c r="D64" s="9" t="s">
        <v>1804</v>
      </c>
      <c r="E64" s="9" t="s">
        <v>53</v>
      </c>
      <c r="F64" s="9" t="s">
        <v>1158</v>
      </c>
      <c r="G64" s="9" t="s">
        <v>1159</v>
      </c>
      <c r="H64" s="9" t="s">
        <v>3</v>
      </c>
      <c r="I64" s="9" t="s">
        <v>54</v>
      </c>
      <c r="J64" s="9" t="s">
        <v>3394</v>
      </c>
      <c r="K64" s="9" t="s">
        <v>1805</v>
      </c>
    </row>
    <row r="65" spans="1:11" ht="42" x14ac:dyDescent="0.15">
      <c r="A65" s="9" t="s">
        <v>1164</v>
      </c>
      <c r="B65" s="9" t="s">
        <v>241</v>
      </c>
      <c r="C65" s="9" t="s">
        <v>1693</v>
      </c>
      <c r="D65" s="9">
        <v>21</v>
      </c>
      <c r="E65" s="9" t="s">
        <v>53</v>
      </c>
      <c r="F65" s="9" t="s">
        <v>1158</v>
      </c>
      <c r="G65" s="9" t="s">
        <v>1159</v>
      </c>
      <c r="H65" s="9" t="s">
        <v>3</v>
      </c>
      <c r="I65" s="9" t="s">
        <v>54</v>
      </c>
      <c r="J65" s="9" t="s">
        <v>3394</v>
      </c>
      <c r="K65" s="9" t="s">
        <v>1805</v>
      </c>
    </row>
    <row r="66" spans="1:11" ht="42" x14ac:dyDescent="0.15">
      <c r="A66" s="9" t="s">
        <v>1164</v>
      </c>
      <c r="B66" s="9" t="s">
        <v>241</v>
      </c>
      <c r="C66" s="9" t="s">
        <v>1694</v>
      </c>
      <c r="D66" s="9">
        <v>2.1</v>
      </c>
      <c r="E66" s="9" t="s">
        <v>53</v>
      </c>
      <c r="F66" s="9" t="s">
        <v>1158</v>
      </c>
      <c r="G66" s="9" t="s">
        <v>1159</v>
      </c>
      <c r="H66" s="9" t="s">
        <v>3</v>
      </c>
      <c r="I66" s="9" t="s">
        <v>54</v>
      </c>
      <c r="J66" s="9" t="s">
        <v>3394</v>
      </c>
      <c r="K66" s="9" t="s">
        <v>1805</v>
      </c>
    </row>
    <row r="67" spans="1:11" ht="42" x14ac:dyDescent="0.15">
      <c r="A67" s="9" t="s">
        <v>1164</v>
      </c>
      <c r="B67" s="9" t="s">
        <v>241</v>
      </c>
      <c r="C67" s="9" t="s">
        <v>1571</v>
      </c>
      <c r="D67" s="9" t="s">
        <v>1599</v>
      </c>
      <c r="E67" s="9" t="s">
        <v>53</v>
      </c>
      <c r="F67" s="9" t="s">
        <v>1158</v>
      </c>
      <c r="G67" s="9" t="s">
        <v>1159</v>
      </c>
      <c r="H67" s="9" t="s">
        <v>3</v>
      </c>
      <c r="I67" s="9" t="s">
        <v>54</v>
      </c>
      <c r="J67" s="9" t="s">
        <v>3394</v>
      </c>
      <c r="K67" s="9" t="s">
        <v>1805</v>
      </c>
    </row>
    <row r="68" spans="1:11" ht="42" x14ac:dyDescent="0.15">
      <c r="A68" s="9" t="s">
        <v>1164</v>
      </c>
      <c r="B68" s="9" t="s">
        <v>241</v>
      </c>
      <c r="C68" s="9" t="s">
        <v>1703</v>
      </c>
      <c r="D68" s="9" t="s">
        <v>1804</v>
      </c>
      <c r="E68" s="9" t="s">
        <v>53</v>
      </c>
      <c r="F68" s="9" t="s">
        <v>1158</v>
      </c>
      <c r="G68" s="9" t="s">
        <v>1159</v>
      </c>
      <c r="H68" s="9" t="s">
        <v>3</v>
      </c>
      <c r="I68" s="9" t="s">
        <v>54</v>
      </c>
      <c r="J68" s="9" t="s">
        <v>3394</v>
      </c>
      <c r="K68" s="9" t="s">
        <v>1805</v>
      </c>
    </row>
    <row r="69" spans="1:11" ht="42" x14ac:dyDescent="0.15">
      <c r="A69" s="9" t="s">
        <v>1166</v>
      </c>
      <c r="B69" s="9" t="s">
        <v>241</v>
      </c>
      <c r="C69" s="9" t="s">
        <v>1693</v>
      </c>
      <c r="D69" s="9">
        <v>24</v>
      </c>
      <c r="E69" s="9" t="s">
        <v>53</v>
      </c>
      <c r="F69" s="9" t="s">
        <v>1158</v>
      </c>
      <c r="G69" s="9" t="s">
        <v>1159</v>
      </c>
      <c r="H69" s="9" t="s">
        <v>3</v>
      </c>
      <c r="I69" s="9" t="s">
        <v>54</v>
      </c>
      <c r="J69" s="9" t="s">
        <v>3394</v>
      </c>
      <c r="K69" s="9" t="s">
        <v>1805</v>
      </c>
    </row>
    <row r="70" spans="1:11" ht="42" x14ac:dyDescent="0.15">
      <c r="A70" s="9" t="s">
        <v>1166</v>
      </c>
      <c r="B70" s="9" t="s">
        <v>241</v>
      </c>
      <c r="C70" s="9" t="s">
        <v>1694</v>
      </c>
      <c r="D70" s="9">
        <v>2.1</v>
      </c>
      <c r="E70" s="9" t="s">
        <v>53</v>
      </c>
      <c r="F70" s="9" t="s">
        <v>1158</v>
      </c>
      <c r="G70" s="9" t="s">
        <v>1159</v>
      </c>
      <c r="H70" s="9" t="s">
        <v>3</v>
      </c>
      <c r="I70" s="9" t="s">
        <v>54</v>
      </c>
      <c r="J70" s="9" t="s">
        <v>3394</v>
      </c>
      <c r="K70" s="9" t="s">
        <v>1805</v>
      </c>
    </row>
    <row r="71" spans="1:11" ht="42" x14ac:dyDescent="0.15">
      <c r="A71" s="9" t="s">
        <v>1166</v>
      </c>
      <c r="B71" s="9" t="s">
        <v>241</v>
      </c>
      <c r="C71" s="9" t="s">
        <v>1571</v>
      </c>
      <c r="D71" s="9" t="s">
        <v>1599</v>
      </c>
      <c r="E71" s="9" t="s">
        <v>53</v>
      </c>
      <c r="F71" s="9" t="s">
        <v>1158</v>
      </c>
      <c r="G71" s="9" t="s">
        <v>1159</v>
      </c>
      <c r="H71" s="9" t="s">
        <v>3</v>
      </c>
      <c r="I71" s="9" t="s">
        <v>54</v>
      </c>
      <c r="J71" s="9" t="s">
        <v>3394</v>
      </c>
      <c r="K71" s="9" t="s">
        <v>1805</v>
      </c>
    </row>
    <row r="72" spans="1:11" ht="42" x14ac:dyDescent="0.15">
      <c r="A72" s="9" t="s">
        <v>1166</v>
      </c>
      <c r="B72" s="9" t="s">
        <v>241</v>
      </c>
      <c r="C72" s="9" t="s">
        <v>1703</v>
      </c>
      <c r="D72" s="9" t="s">
        <v>1804</v>
      </c>
      <c r="E72" s="9" t="s">
        <v>53</v>
      </c>
      <c r="F72" s="9" t="s">
        <v>1158</v>
      </c>
      <c r="G72" s="9" t="s">
        <v>1159</v>
      </c>
      <c r="H72" s="9" t="s">
        <v>3</v>
      </c>
      <c r="I72" s="9" t="s">
        <v>54</v>
      </c>
      <c r="J72" s="9" t="s">
        <v>3394</v>
      </c>
      <c r="K72" s="9" t="s">
        <v>1805</v>
      </c>
    </row>
    <row r="73" spans="1:11" ht="42" x14ac:dyDescent="0.15">
      <c r="A73" s="9" t="s">
        <v>1168</v>
      </c>
      <c r="B73" s="9" t="s">
        <v>241</v>
      </c>
      <c r="C73" s="9" t="s">
        <v>1693</v>
      </c>
      <c r="D73" s="9">
        <v>28</v>
      </c>
      <c r="E73" s="9" t="s">
        <v>53</v>
      </c>
      <c r="F73" s="9" t="s">
        <v>1158</v>
      </c>
      <c r="G73" s="9" t="s">
        <v>1159</v>
      </c>
      <c r="H73" s="9" t="s">
        <v>3</v>
      </c>
      <c r="I73" s="9" t="s">
        <v>54</v>
      </c>
      <c r="J73" s="9" t="s">
        <v>3394</v>
      </c>
      <c r="K73" s="9" t="s">
        <v>1805</v>
      </c>
    </row>
    <row r="74" spans="1:11" ht="42" x14ac:dyDescent="0.15">
      <c r="A74" s="9" t="s">
        <v>1168</v>
      </c>
      <c r="B74" s="9" t="s">
        <v>241</v>
      </c>
      <c r="C74" s="9" t="s">
        <v>1694</v>
      </c>
      <c r="D74" s="9">
        <v>2.1</v>
      </c>
      <c r="E74" s="9" t="s">
        <v>53</v>
      </c>
      <c r="F74" s="9" t="s">
        <v>1158</v>
      </c>
      <c r="G74" s="9" t="s">
        <v>1159</v>
      </c>
      <c r="H74" s="9" t="s">
        <v>3</v>
      </c>
      <c r="I74" s="9" t="s">
        <v>54</v>
      </c>
      <c r="J74" s="9" t="s">
        <v>3394</v>
      </c>
      <c r="K74" s="9" t="s">
        <v>1805</v>
      </c>
    </row>
    <row r="75" spans="1:11" ht="42" x14ac:dyDescent="0.15">
      <c r="A75" s="9" t="s">
        <v>1168</v>
      </c>
      <c r="B75" s="9" t="s">
        <v>241</v>
      </c>
      <c r="C75" s="9" t="s">
        <v>1571</v>
      </c>
      <c r="D75" s="9" t="s">
        <v>1599</v>
      </c>
      <c r="E75" s="9" t="s">
        <v>53</v>
      </c>
      <c r="F75" s="9" t="s">
        <v>1158</v>
      </c>
      <c r="G75" s="9" t="s">
        <v>1159</v>
      </c>
      <c r="H75" s="9" t="s">
        <v>3</v>
      </c>
      <c r="I75" s="9" t="s">
        <v>54</v>
      </c>
      <c r="J75" s="9" t="s">
        <v>3394</v>
      </c>
      <c r="K75" s="9" t="s">
        <v>1805</v>
      </c>
    </row>
    <row r="76" spans="1:11" ht="42" x14ac:dyDescent="0.15">
      <c r="A76" s="9" t="s">
        <v>1168</v>
      </c>
      <c r="B76" s="9" t="s">
        <v>241</v>
      </c>
      <c r="C76" s="9" t="s">
        <v>1703</v>
      </c>
      <c r="D76" s="9" t="s">
        <v>1804</v>
      </c>
      <c r="E76" s="9" t="s">
        <v>53</v>
      </c>
      <c r="F76" s="9" t="s">
        <v>1158</v>
      </c>
      <c r="G76" s="9" t="s">
        <v>1159</v>
      </c>
      <c r="H76" s="9" t="s">
        <v>3</v>
      </c>
      <c r="I76" s="9" t="s">
        <v>54</v>
      </c>
      <c r="J76" s="9" t="s">
        <v>3394</v>
      </c>
      <c r="K76" s="9" t="s">
        <v>1805</v>
      </c>
    </row>
    <row r="77" spans="1:11" ht="42" x14ac:dyDescent="0.15">
      <c r="A77" s="9" t="s">
        <v>1170</v>
      </c>
      <c r="B77" s="9" t="s">
        <v>241</v>
      </c>
      <c r="C77" s="9" t="s">
        <v>1693</v>
      </c>
      <c r="D77" s="9">
        <v>32</v>
      </c>
      <c r="E77" s="9" t="s">
        <v>53</v>
      </c>
      <c r="F77" s="9" t="s">
        <v>1158</v>
      </c>
      <c r="G77" s="9" t="s">
        <v>1159</v>
      </c>
      <c r="H77" s="9" t="s">
        <v>3</v>
      </c>
      <c r="I77" s="9" t="s">
        <v>54</v>
      </c>
      <c r="J77" s="9" t="s">
        <v>3394</v>
      </c>
      <c r="K77" s="9" t="s">
        <v>1805</v>
      </c>
    </row>
    <row r="78" spans="1:11" ht="42" x14ac:dyDescent="0.15">
      <c r="A78" s="9" t="s">
        <v>1170</v>
      </c>
      <c r="B78" s="9" t="s">
        <v>241</v>
      </c>
      <c r="C78" s="9" t="s">
        <v>1694</v>
      </c>
      <c r="D78" s="9">
        <v>2.1</v>
      </c>
      <c r="E78" s="9" t="s">
        <v>53</v>
      </c>
      <c r="F78" s="9" t="s">
        <v>1158</v>
      </c>
      <c r="G78" s="9" t="s">
        <v>1159</v>
      </c>
      <c r="H78" s="9" t="s">
        <v>3</v>
      </c>
      <c r="I78" s="9" t="s">
        <v>54</v>
      </c>
      <c r="J78" s="9" t="s">
        <v>3394</v>
      </c>
      <c r="K78" s="9" t="s">
        <v>1805</v>
      </c>
    </row>
    <row r="79" spans="1:11" ht="42" x14ac:dyDescent="0.15">
      <c r="A79" s="9" t="s">
        <v>1170</v>
      </c>
      <c r="B79" s="9" t="s">
        <v>241</v>
      </c>
      <c r="C79" s="9" t="s">
        <v>1571</v>
      </c>
      <c r="D79" s="9" t="s">
        <v>1599</v>
      </c>
      <c r="E79" s="9" t="s">
        <v>53</v>
      </c>
      <c r="F79" s="9" t="s">
        <v>1158</v>
      </c>
      <c r="G79" s="9" t="s">
        <v>1159</v>
      </c>
      <c r="H79" s="9" t="s">
        <v>3</v>
      </c>
      <c r="I79" s="9" t="s">
        <v>54</v>
      </c>
      <c r="J79" s="9" t="s">
        <v>3394</v>
      </c>
      <c r="K79" s="9" t="s">
        <v>1805</v>
      </c>
    </row>
    <row r="80" spans="1:11" ht="42" x14ac:dyDescent="0.15">
      <c r="A80" s="9" t="s">
        <v>1170</v>
      </c>
      <c r="B80" s="9" t="s">
        <v>241</v>
      </c>
      <c r="C80" s="9" t="s">
        <v>1703</v>
      </c>
      <c r="D80" s="9" t="s">
        <v>1804</v>
      </c>
      <c r="E80" s="9" t="s">
        <v>53</v>
      </c>
      <c r="F80" s="9" t="s">
        <v>1158</v>
      </c>
      <c r="G80" s="9" t="s">
        <v>1159</v>
      </c>
      <c r="H80" s="9" t="s">
        <v>3</v>
      </c>
      <c r="I80" s="9" t="s">
        <v>54</v>
      </c>
      <c r="J80" s="9" t="s">
        <v>3394</v>
      </c>
      <c r="K80" s="9" t="s">
        <v>1805</v>
      </c>
    </row>
    <row r="81" spans="1:11" ht="42" x14ac:dyDescent="0.15">
      <c r="A81" s="9" t="s">
        <v>1172</v>
      </c>
      <c r="B81" s="9" t="s">
        <v>241</v>
      </c>
      <c r="C81" s="9" t="s">
        <v>1693</v>
      </c>
      <c r="D81" s="9">
        <v>40</v>
      </c>
      <c r="E81" s="9" t="s">
        <v>53</v>
      </c>
      <c r="F81" s="9" t="s">
        <v>1158</v>
      </c>
      <c r="G81" s="9" t="s">
        <v>1159</v>
      </c>
      <c r="H81" s="9" t="s">
        <v>3</v>
      </c>
      <c r="I81" s="9" t="s">
        <v>54</v>
      </c>
      <c r="J81" s="9" t="s">
        <v>3394</v>
      </c>
      <c r="K81" s="9" t="s">
        <v>1805</v>
      </c>
    </row>
    <row r="82" spans="1:11" ht="42" x14ac:dyDescent="0.15">
      <c r="A82" s="9" t="s">
        <v>1172</v>
      </c>
      <c r="B82" s="9" t="s">
        <v>241</v>
      </c>
      <c r="C82" s="9" t="s">
        <v>1694</v>
      </c>
      <c r="D82" s="9">
        <v>2.1</v>
      </c>
      <c r="E82" s="9" t="s">
        <v>53</v>
      </c>
      <c r="F82" s="9" t="s">
        <v>1158</v>
      </c>
      <c r="G82" s="9" t="s">
        <v>1159</v>
      </c>
      <c r="H82" s="9" t="s">
        <v>3</v>
      </c>
      <c r="I82" s="9" t="s">
        <v>54</v>
      </c>
      <c r="J82" s="9" t="s">
        <v>3394</v>
      </c>
      <c r="K82" s="9" t="s">
        <v>1805</v>
      </c>
    </row>
    <row r="83" spans="1:11" ht="42" x14ac:dyDescent="0.15">
      <c r="A83" s="9" t="s">
        <v>1172</v>
      </c>
      <c r="B83" s="9" t="s">
        <v>241</v>
      </c>
      <c r="C83" s="9" t="s">
        <v>1571</v>
      </c>
      <c r="D83" s="9" t="s">
        <v>1599</v>
      </c>
      <c r="E83" s="9" t="s">
        <v>53</v>
      </c>
      <c r="F83" s="9" t="s">
        <v>1158</v>
      </c>
      <c r="G83" s="9" t="s">
        <v>1159</v>
      </c>
      <c r="H83" s="9" t="s">
        <v>3</v>
      </c>
      <c r="I83" s="9" t="s">
        <v>54</v>
      </c>
      <c r="J83" s="9" t="s">
        <v>3394</v>
      </c>
      <c r="K83" s="9" t="s">
        <v>1805</v>
      </c>
    </row>
    <row r="84" spans="1:11" ht="42" x14ac:dyDescent="0.15">
      <c r="A84" s="9" t="s">
        <v>1172</v>
      </c>
      <c r="B84" s="9" t="s">
        <v>241</v>
      </c>
      <c r="C84" s="9" t="s">
        <v>1703</v>
      </c>
      <c r="D84" s="9" t="s">
        <v>1804</v>
      </c>
      <c r="E84" s="9" t="s">
        <v>53</v>
      </c>
      <c r="F84" s="9" t="s">
        <v>1158</v>
      </c>
      <c r="G84" s="9" t="s">
        <v>1159</v>
      </c>
      <c r="H84" s="9" t="s">
        <v>3</v>
      </c>
      <c r="I84" s="9" t="s">
        <v>54</v>
      </c>
      <c r="J84" s="9" t="s">
        <v>3394</v>
      </c>
      <c r="K84" s="9" t="s">
        <v>1805</v>
      </c>
    </row>
    <row r="85" spans="1:11" ht="42" x14ac:dyDescent="0.15">
      <c r="A85" s="9" t="s">
        <v>1174</v>
      </c>
      <c r="B85" s="9" t="s">
        <v>241</v>
      </c>
      <c r="C85" s="9" t="s">
        <v>1693</v>
      </c>
      <c r="D85" s="9">
        <v>47</v>
      </c>
      <c r="E85" s="9" t="s">
        <v>53</v>
      </c>
      <c r="F85" s="9" t="s">
        <v>1158</v>
      </c>
      <c r="G85" s="9" t="s">
        <v>1159</v>
      </c>
      <c r="H85" s="9" t="s">
        <v>3</v>
      </c>
      <c r="I85" s="9" t="s">
        <v>54</v>
      </c>
      <c r="J85" s="9" t="s">
        <v>3394</v>
      </c>
      <c r="K85" s="9" t="s">
        <v>1805</v>
      </c>
    </row>
    <row r="86" spans="1:11" ht="42" x14ac:dyDescent="0.15">
      <c r="A86" s="9" t="s">
        <v>1174</v>
      </c>
      <c r="B86" s="9" t="s">
        <v>241</v>
      </c>
      <c r="C86" s="9" t="s">
        <v>1694</v>
      </c>
      <c r="D86" s="9">
        <v>2.1</v>
      </c>
      <c r="E86" s="9" t="s">
        <v>53</v>
      </c>
      <c r="F86" s="9" t="s">
        <v>1158</v>
      </c>
      <c r="G86" s="9" t="s">
        <v>1159</v>
      </c>
      <c r="H86" s="9" t="s">
        <v>3</v>
      </c>
      <c r="I86" s="9" t="s">
        <v>54</v>
      </c>
      <c r="J86" s="9" t="s">
        <v>3394</v>
      </c>
      <c r="K86" s="9" t="s">
        <v>1805</v>
      </c>
    </row>
    <row r="87" spans="1:11" ht="42" x14ac:dyDescent="0.15">
      <c r="A87" s="9" t="s">
        <v>1174</v>
      </c>
      <c r="B87" s="9" t="s">
        <v>241</v>
      </c>
      <c r="C87" s="9" t="s">
        <v>1571</v>
      </c>
      <c r="D87" s="9" t="s">
        <v>1599</v>
      </c>
      <c r="E87" s="9" t="s">
        <v>53</v>
      </c>
      <c r="F87" s="9" t="s">
        <v>1158</v>
      </c>
      <c r="G87" s="9" t="s">
        <v>1159</v>
      </c>
      <c r="H87" s="9" t="s">
        <v>3</v>
      </c>
      <c r="I87" s="9" t="s">
        <v>54</v>
      </c>
      <c r="J87" s="9" t="s">
        <v>3394</v>
      </c>
      <c r="K87" s="9" t="s">
        <v>1805</v>
      </c>
    </row>
    <row r="88" spans="1:11" ht="42" x14ac:dyDescent="0.15">
      <c r="A88" s="9" t="s">
        <v>1174</v>
      </c>
      <c r="B88" s="9" t="s">
        <v>241</v>
      </c>
      <c r="C88" s="9" t="s">
        <v>1703</v>
      </c>
      <c r="D88" s="9" t="s">
        <v>1804</v>
      </c>
      <c r="E88" s="9" t="s">
        <v>53</v>
      </c>
      <c r="F88" s="9" t="s">
        <v>1158</v>
      </c>
      <c r="G88" s="9" t="s">
        <v>1159</v>
      </c>
      <c r="H88" s="9" t="s">
        <v>3</v>
      </c>
      <c r="I88" s="9" t="s">
        <v>54</v>
      </c>
      <c r="J88" s="9" t="s">
        <v>3394</v>
      </c>
      <c r="K88" s="9" t="s">
        <v>1805</v>
      </c>
    </row>
    <row r="89" spans="1:11" ht="42" x14ac:dyDescent="0.15">
      <c r="A89" s="9" t="s">
        <v>1176</v>
      </c>
      <c r="B89" s="9" t="s">
        <v>241</v>
      </c>
      <c r="C89" s="9" t="s">
        <v>1693</v>
      </c>
      <c r="D89" s="9">
        <v>58</v>
      </c>
      <c r="E89" s="9" t="s">
        <v>53</v>
      </c>
      <c r="F89" s="9" t="s">
        <v>1158</v>
      </c>
      <c r="G89" s="9" t="s">
        <v>1159</v>
      </c>
      <c r="H89" s="9" t="s">
        <v>3</v>
      </c>
      <c r="I89" s="9" t="s">
        <v>54</v>
      </c>
      <c r="J89" s="9" t="s">
        <v>3394</v>
      </c>
      <c r="K89" s="9" t="s">
        <v>1805</v>
      </c>
    </row>
    <row r="90" spans="1:11" ht="42" x14ac:dyDescent="0.15">
      <c r="A90" s="9" t="s">
        <v>1176</v>
      </c>
      <c r="B90" s="9" t="s">
        <v>241</v>
      </c>
      <c r="C90" s="9" t="s">
        <v>1694</v>
      </c>
      <c r="D90" s="9">
        <v>2.1</v>
      </c>
      <c r="E90" s="9" t="s">
        <v>53</v>
      </c>
      <c r="F90" s="9" t="s">
        <v>1158</v>
      </c>
      <c r="G90" s="9" t="s">
        <v>1159</v>
      </c>
      <c r="H90" s="9" t="s">
        <v>3</v>
      </c>
      <c r="I90" s="9" t="s">
        <v>54</v>
      </c>
      <c r="J90" s="9" t="s">
        <v>3394</v>
      </c>
      <c r="K90" s="9" t="s">
        <v>1805</v>
      </c>
    </row>
    <row r="91" spans="1:11" ht="42" x14ac:dyDescent="0.15">
      <c r="A91" s="9" t="s">
        <v>1176</v>
      </c>
      <c r="B91" s="9" t="s">
        <v>241</v>
      </c>
      <c r="C91" s="9" t="s">
        <v>1571</v>
      </c>
      <c r="D91" s="9" t="s">
        <v>1599</v>
      </c>
      <c r="E91" s="9" t="s">
        <v>53</v>
      </c>
      <c r="F91" s="9" t="s">
        <v>1158</v>
      </c>
      <c r="G91" s="9" t="s">
        <v>1159</v>
      </c>
      <c r="H91" s="9" t="s">
        <v>3</v>
      </c>
      <c r="I91" s="9" t="s">
        <v>54</v>
      </c>
      <c r="J91" s="9" t="s">
        <v>3394</v>
      </c>
      <c r="K91" s="9" t="s">
        <v>1805</v>
      </c>
    </row>
    <row r="92" spans="1:11" ht="42" x14ac:dyDescent="0.15">
      <c r="A92" s="9" t="s">
        <v>1176</v>
      </c>
      <c r="B92" s="9" t="s">
        <v>241</v>
      </c>
      <c r="C92" s="9" t="s">
        <v>1703</v>
      </c>
      <c r="D92" s="9" t="s">
        <v>1804</v>
      </c>
      <c r="E92" s="9" t="s">
        <v>53</v>
      </c>
      <c r="F92" s="9" t="s">
        <v>1158</v>
      </c>
      <c r="G92" s="9" t="s">
        <v>1159</v>
      </c>
      <c r="H92" s="9" t="s">
        <v>3</v>
      </c>
      <c r="I92" s="9" t="s">
        <v>54</v>
      </c>
      <c r="J92" s="9" t="s">
        <v>3394</v>
      </c>
      <c r="K92" s="9" t="s">
        <v>1805</v>
      </c>
    </row>
    <row r="93" spans="1:11" ht="42" x14ac:dyDescent="0.15">
      <c r="A93" s="9" t="s">
        <v>1178</v>
      </c>
      <c r="B93" s="9" t="s">
        <v>241</v>
      </c>
      <c r="C93" s="9" t="s">
        <v>1693</v>
      </c>
      <c r="D93" s="9">
        <v>75</v>
      </c>
      <c r="E93" s="9" t="s">
        <v>53</v>
      </c>
      <c r="F93" s="9" t="s">
        <v>1158</v>
      </c>
      <c r="G93" s="9" t="s">
        <v>1159</v>
      </c>
      <c r="H93" s="9" t="s">
        <v>3</v>
      </c>
      <c r="I93" s="9" t="s">
        <v>54</v>
      </c>
      <c r="J93" s="9" t="s">
        <v>3394</v>
      </c>
      <c r="K93" s="9" t="s">
        <v>1805</v>
      </c>
    </row>
    <row r="94" spans="1:11" ht="42" x14ac:dyDescent="0.15">
      <c r="A94" s="9" t="s">
        <v>1178</v>
      </c>
      <c r="B94" s="9" t="s">
        <v>241</v>
      </c>
      <c r="C94" s="9" t="s">
        <v>1694</v>
      </c>
      <c r="D94" s="9">
        <v>2.1</v>
      </c>
      <c r="E94" s="9" t="s">
        <v>53</v>
      </c>
      <c r="F94" s="9" t="s">
        <v>1158</v>
      </c>
      <c r="G94" s="9" t="s">
        <v>1159</v>
      </c>
      <c r="H94" s="9" t="s">
        <v>3</v>
      </c>
      <c r="I94" s="9" t="s">
        <v>54</v>
      </c>
      <c r="J94" s="9" t="s">
        <v>3394</v>
      </c>
      <c r="K94" s="9" t="s">
        <v>1805</v>
      </c>
    </row>
    <row r="95" spans="1:11" ht="42" x14ac:dyDescent="0.15">
      <c r="A95" s="9" t="s">
        <v>1178</v>
      </c>
      <c r="B95" s="9" t="s">
        <v>241</v>
      </c>
      <c r="C95" s="9" t="s">
        <v>1571</v>
      </c>
      <c r="D95" s="9" t="s">
        <v>1599</v>
      </c>
      <c r="E95" s="9" t="s">
        <v>53</v>
      </c>
      <c r="F95" s="9" t="s">
        <v>1158</v>
      </c>
      <c r="G95" s="9" t="s">
        <v>1159</v>
      </c>
      <c r="H95" s="9" t="s">
        <v>3</v>
      </c>
      <c r="I95" s="9" t="s">
        <v>54</v>
      </c>
      <c r="J95" s="9" t="s">
        <v>3394</v>
      </c>
      <c r="K95" s="9" t="s">
        <v>1805</v>
      </c>
    </row>
    <row r="96" spans="1:11" ht="42" x14ac:dyDescent="0.15">
      <c r="A96" s="9" t="s">
        <v>1178</v>
      </c>
      <c r="B96" s="9" t="s">
        <v>241</v>
      </c>
      <c r="C96" s="9" t="s">
        <v>1703</v>
      </c>
      <c r="D96" s="9" t="s">
        <v>1804</v>
      </c>
      <c r="E96" s="9" t="s">
        <v>53</v>
      </c>
      <c r="F96" s="9" t="s">
        <v>1158</v>
      </c>
      <c r="G96" s="9" t="s">
        <v>1159</v>
      </c>
      <c r="H96" s="9" t="s">
        <v>3</v>
      </c>
      <c r="I96" s="9" t="s">
        <v>54</v>
      </c>
      <c r="J96" s="9" t="s">
        <v>3394</v>
      </c>
      <c r="K96" s="9" t="s">
        <v>1805</v>
      </c>
    </row>
    <row r="97" spans="1:11" ht="42" x14ac:dyDescent="0.15">
      <c r="A97" s="9" t="s">
        <v>1180</v>
      </c>
      <c r="B97" s="9" t="s">
        <v>241</v>
      </c>
      <c r="C97" s="9" t="s">
        <v>1693</v>
      </c>
      <c r="D97" s="9">
        <v>105</v>
      </c>
      <c r="E97" s="9" t="s">
        <v>53</v>
      </c>
      <c r="F97" s="9" t="s">
        <v>1158</v>
      </c>
      <c r="G97" s="9" t="s">
        <v>1159</v>
      </c>
      <c r="H97" s="9" t="s">
        <v>3</v>
      </c>
      <c r="I97" s="9" t="s">
        <v>54</v>
      </c>
      <c r="J97" s="9" t="s">
        <v>3394</v>
      </c>
      <c r="K97" s="9" t="s">
        <v>1805</v>
      </c>
    </row>
    <row r="98" spans="1:11" ht="42" x14ac:dyDescent="0.15">
      <c r="A98" s="9" t="s">
        <v>1180</v>
      </c>
      <c r="B98" s="9" t="s">
        <v>241</v>
      </c>
      <c r="C98" s="9" t="s">
        <v>1694</v>
      </c>
      <c r="D98" s="9">
        <v>2.1</v>
      </c>
      <c r="E98" s="9" t="s">
        <v>53</v>
      </c>
      <c r="F98" s="9" t="s">
        <v>1158</v>
      </c>
      <c r="G98" s="9" t="s">
        <v>1159</v>
      </c>
      <c r="H98" s="9" t="s">
        <v>3</v>
      </c>
      <c r="I98" s="9" t="s">
        <v>54</v>
      </c>
      <c r="J98" s="9" t="s">
        <v>3394</v>
      </c>
      <c r="K98" s="9" t="s">
        <v>1805</v>
      </c>
    </row>
    <row r="99" spans="1:11" ht="42" x14ac:dyDescent="0.15">
      <c r="A99" s="9" t="s">
        <v>1180</v>
      </c>
      <c r="B99" s="9" t="s">
        <v>241</v>
      </c>
      <c r="C99" s="9" t="s">
        <v>1571</v>
      </c>
      <c r="D99" s="9" t="s">
        <v>1599</v>
      </c>
      <c r="E99" s="9" t="s">
        <v>53</v>
      </c>
      <c r="F99" s="9" t="s">
        <v>1158</v>
      </c>
      <c r="G99" s="9" t="s">
        <v>1159</v>
      </c>
      <c r="H99" s="9" t="s">
        <v>3</v>
      </c>
      <c r="I99" s="9" t="s">
        <v>54</v>
      </c>
      <c r="J99" s="9" t="s">
        <v>3394</v>
      </c>
      <c r="K99" s="9" t="s">
        <v>1805</v>
      </c>
    </row>
    <row r="100" spans="1:11" ht="42" x14ac:dyDescent="0.15">
      <c r="A100" s="9" t="s">
        <v>1180</v>
      </c>
      <c r="B100" s="9" t="s">
        <v>241</v>
      </c>
      <c r="C100" s="9" t="s">
        <v>1703</v>
      </c>
      <c r="D100" s="9" t="s">
        <v>1804</v>
      </c>
      <c r="E100" s="9" t="s">
        <v>53</v>
      </c>
      <c r="F100" s="9" t="s">
        <v>1158</v>
      </c>
      <c r="G100" s="9" t="s">
        <v>1159</v>
      </c>
      <c r="H100" s="9" t="s">
        <v>3</v>
      </c>
      <c r="I100" s="9" t="s">
        <v>54</v>
      </c>
      <c r="J100" s="9" t="s">
        <v>3394</v>
      </c>
      <c r="K100" s="9" t="s">
        <v>1805</v>
      </c>
    </row>
    <row r="101" spans="1:11" ht="42" x14ac:dyDescent="0.15">
      <c r="A101" s="9" t="s">
        <v>1182</v>
      </c>
      <c r="B101" s="9" t="s">
        <v>241</v>
      </c>
      <c r="C101" s="9" t="s">
        <v>1693</v>
      </c>
      <c r="D101" s="9">
        <v>150</v>
      </c>
      <c r="E101" s="9" t="s">
        <v>53</v>
      </c>
      <c r="F101" s="9" t="s">
        <v>1158</v>
      </c>
      <c r="G101" s="9" t="s">
        <v>1159</v>
      </c>
      <c r="H101" s="9" t="s">
        <v>3</v>
      </c>
      <c r="I101" s="9" t="s">
        <v>54</v>
      </c>
      <c r="J101" s="9" t="s">
        <v>3394</v>
      </c>
      <c r="K101" s="9" t="s">
        <v>1805</v>
      </c>
    </row>
    <row r="102" spans="1:11" ht="42" x14ac:dyDescent="0.15">
      <c r="A102" s="9" t="s">
        <v>1182</v>
      </c>
      <c r="B102" s="9" t="s">
        <v>241</v>
      </c>
      <c r="C102" s="9" t="s">
        <v>1694</v>
      </c>
      <c r="D102" s="9">
        <v>2.5</v>
      </c>
      <c r="E102" s="9" t="s">
        <v>53</v>
      </c>
      <c r="F102" s="9" t="s">
        <v>1158</v>
      </c>
      <c r="G102" s="9" t="s">
        <v>1159</v>
      </c>
      <c r="H102" s="9" t="s">
        <v>3</v>
      </c>
      <c r="I102" s="9" t="s">
        <v>54</v>
      </c>
      <c r="J102" s="9" t="s">
        <v>3394</v>
      </c>
      <c r="K102" s="9" t="s">
        <v>1805</v>
      </c>
    </row>
    <row r="103" spans="1:11" ht="42" x14ac:dyDescent="0.15">
      <c r="A103" s="9" t="s">
        <v>1182</v>
      </c>
      <c r="B103" s="9" t="s">
        <v>241</v>
      </c>
      <c r="C103" s="9" t="s">
        <v>1571</v>
      </c>
      <c r="D103" s="9" t="s">
        <v>1599</v>
      </c>
      <c r="E103" s="9" t="s">
        <v>53</v>
      </c>
      <c r="F103" s="9" t="s">
        <v>1158</v>
      </c>
      <c r="G103" s="9" t="s">
        <v>1159</v>
      </c>
      <c r="H103" s="9" t="s">
        <v>3</v>
      </c>
      <c r="I103" s="9" t="s">
        <v>54</v>
      </c>
      <c r="J103" s="9" t="s">
        <v>3394</v>
      </c>
      <c r="K103" s="9" t="s">
        <v>1805</v>
      </c>
    </row>
    <row r="104" spans="1:11" ht="42" x14ac:dyDescent="0.15">
      <c r="A104" s="9" t="s">
        <v>1182</v>
      </c>
      <c r="B104" s="9" t="s">
        <v>241</v>
      </c>
      <c r="C104" s="9" t="s">
        <v>1703</v>
      </c>
      <c r="D104" s="9" t="s">
        <v>1804</v>
      </c>
      <c r="E104" s="9" t="s">
        <v>53</v>
      </c>
      <c r="F104" s="9" t="s">
        <v>1158</v>
      </c>
      <c r="G104" s="9" t="s">
        <v>1159</v>
      </c>
      <c r="H104" s="9" t="s">
        <v>3</v>
      </c>
      <c r="I104" s="9" t="s">
        <v>54</v>
      </c>
      <c r="J104" s="9" t="s">
        <v>3394</v>
      </c>
      <c r="K104" s="9" t="s">
        <v>1805</v>
      </c>
    </row>
    <row r="105" spans="1:11" ht="42" x14ac:dyDescent="0.15">
      <c r="A105" s="9" t="s">
        <v>1184</v>
      </c>
      <c r="B105" s="9" t="s">
        <v>241</v>
      </c>
      <c r="C105" s="9" t="s">
        <v>1693</v>
      </c>
      <c r="D105" s="9">
        <v>250</v>
      </c>
      <c r="E105" s="9" t="s">
        <v>53</v>
      </c>
      <c r="F105" s="9" t="s">
        <v>1158</v>
      </c>
      <c r="G105" s="9" t="s">
        <v>1159</v>
      </c>
      <c r="H105" s="9" t="s">
        <v>3</v>
      </c>
      <c r="I105" s="9" t="s">
        <v>54</v>
      </c>
      <c r="J105" s="9" t="s">
        <v>3394</v>
      </c>
      <c r="K105" s="9" t="s">
        <v>1805</v>
      </c>
    </row>
    <row r="106" spans="1:11" ht="42" x14ac:dyDescent="0.15">
      <c r="A106" s="9" t="s">
        <v>1184</v>
      </c>
      <c r="B106" s="9" t="s">
        <v>241</v>
      </c>
      <c r="C106" s="9" t="s">
        <v>1694</v>
      </c>
      <c r="D106" s="9">
        <v>2.8</v>
      </c>
      <c r="E106" s="9" t="s">
        <v>53</v>
      </c>
      <c r="F106" s="9" t="s">
        <v>1158</v>
      </c>
      <c r="G106" s="9" t="s">
        <v>1159</v>
      </c>
      <c r="H106" s="9" t="s">
        <v>3</v>
      </c>
      <c r="I106" s="9" t="s">
        <v>54</v>
      </c>
      <c r="J106" s="9" t="s">
        <v>3394</v>
      </c>
      <c r="K106" s="9" t="s">
        <v>1805</v>
      </c>
    </row>
    <row r="107" spans="1:11" ht="42" x14ac:dyDescent="0.15">
      <c r="A107" s="9" t="s">
        <v>1184</v>
      </c>
      <c r="B107" s="9" t="s">
        <v>241</v>
      </c>
      <c r="C107" s="9" t="s">
        <v>1571</v>
      </c>
      <c r="D107" s="9" t="s">
        <v>1599</v>
      </c>
      <c r="E107" s="9" t="s">
        <v>53</v>
      </c>
      <c r="F107" s="9" t="s">
        <v>1158</v>
      </c>
      <c r="G107" s="9" t="s">
        <v>1159</v>
      </c>
      <c r="H107" s="9" t="s">
        <v>3</v>
      </c>
      <c r="I107" s="9" t="s">
        <v>54</v>
      </c>
      <c r="J107" s="9" t="s">
        <v>3394</v>
      </c>
      <c r="K107" s="9" t="s">
        <v>1805</v>
      </c>
    </row>
    <row r="108" spans="1:11" ht="42" x14ac:dyDescent="0.15">
      <c r="A108" s="9" t="s">
        <v>1184</v>
      </c>
      <c r="B108" s="9" t="s">
        <v>241</v>
      </c>
      <c r="C108" s="9" t="s">
        <v>1703</v>
      </c>
      <c r="D108" s="9" t="s">
        <v>1804</v>
      </c>
      <c r="E108" s="9" t="s">
        <v>53</v>
      </c>
      <c r="F108" s="9" t="s">
        <v>1158</v>
      </c>
      <c r="G108" s="9" t="s">
        <v>1159</v>
      </c>
      <c r="H108" s="9" t="s">
        <v>3</v>
      </c>
      <c r="I108" s="9" t="s">
        <v>54</v>
      </c>
      <c r="J108" s="9" t="s">
        <v>3394</v>
      </c>
      <c r="K108" s="9" t="s">
        <v>1805</v>
      </c>
    </row>
    <row r="109" spans="1:11" ht="42" x14ac:dyDescent="0.15">
      <c r="A109" s="9" t="s">
        <v>1406</v>
      </c>
      <c r="B109" s="9" t="s">
        <v>1187</v>
      </c>
      <c r="C109" s="9" t="s">
        <v>1807</v>
      </c>
      <c r="D109" s="9">
        <v>1450</v>
      </c>
      <c r="E109" s="9" t="s">
        <v>228</v>
      </c>
      <c r="F109" s="9" t="s">
        <v>1409</v>
      </c>
      <c r="G109" s="9" t="s">
        <v>1410</v>
      </c>
      <c r="H109" s="9" t="s">
        <v>3</v>
      </c>
      <c r="I109" s="9" t="s">
        <v>54</v>
      </c>
      <c r="J109" s="9" t="s">
        <v>3395</v>
      </c>
      <c r="K109" s="9" t="s">
        <v>1877</v>
      </c>
    </row>
    <row r="110" spans="1:11" ht="42" x14ac:dyDescent="0.15">
      <c r="A110" s="9" t="s">
        <v>1406</v>
      </c>
      <c r="B110" s="9" t="s">
        <v>1187</v>
      </c>
      <c r="C110" s="9" t="s">
        <v>1808</v>
      </c>
      <c r="D110" s="9">
        <v>2500</v>
      </c>
      <c r="E110" s="9" t="s">
        <v>228</v>
      </c>
      <c r="F110" s="9" t="s">
        <v>1409</v>
      </c>
      <c r="G110" s="9" t="s">
        <v>1410</v>
      </c>
      <c r="H110" s="9" t="s">
        <v>3</v>
      </c>
      <c r="I110" s="9" t="s">
        <v>54</v>
      </c>
      <c r="J110" s="9" t="s">
        <v>3395</v>
      </c>
      <c r="K110" s="9" t="s">
        <v>1877</v>
      </c>
    </row>
    <row r="111" spans="1:11" ht="42" x14ac:dyDescent="0.15">
      <c r="A111" s="9" t="s">
        <v>1406</v>
      </c>
      <c r="B111" s="9" t="s">
        <v>1187</v>
      </c>
      <c r="C111" s="9" t="s">
        <v>1809</v>
      </c>
      <c r="D111" s="9">
        <v>10000</v>
      </c>
      <c r="E111" s="9" t="s">
        <v>228</v>
      </c>
      <c r="F111" s="9" t="s">
        <v>1409</v>
      </c>
      <c r="G111" s="9" t="s">
        <v>1410</v>
      </c>
      <c r="H111" s="9" t="s">
        <v>3</v>
      </c>
      <c r="I111" s="9" t="s">
        <v>54</v>
      </c>
      <c r="J111" s="9" t="s">
        <v>3395</v>
      </c>
      <c r="K111" s="9" t="s">
        <v>1877</v>
      </c>
    </row>
    <row r="112" spans="1:11" ht="42" x14ac:dyDescent="0.15">
      <c r="A112" s="9" t="s">
        <v>1406</v>
      </c>
      <c r="B112" s="9" t="s">
        <v>1187</v>
      </c>
      <c r="C112" s="9" t="s">
        <v>1812</v>
      </c>
      <c r="D112" s="9" t="s">
        <v>1872</v>
      </c>
      <c r="E112" s="9" t="s">
        <v>228</v>
      </c>
      <c r="F112" s="9" t="s">
        <v>1409</v>
      </c>
      <c r="G112" s="9" t="s">
        <v>1410</v>
      </c>
      <c r="H112" s="9" t="s">
        <v>3</v>
      </c>
      <c r="I112" s="9" t="s">
        <v>54</v>
      </c>
      <c r="J112" s="9" t="s">
        <v>3395</v>
      </c>
      <c r="K112" s="9" t="s">
        <v>1877</v>
      </c>
    </row>
    <row r="113" spans="1:11" ht="42" x14ac:dyDescent="0.15">
      <c r="A113" s="9" t="s">
        <v>1406</v>
      </c>
      <c r="B113" s="9" t="s">
        <v>1187</v>
      </c>
      <c r="C113" s="9" t="s">
        <v>1813</v>
      </c>
      <c r="D113" s="9" t="s">
        <v>1873</v>
      </c>
      <c r="E113" s="9" t="s">
        <v>228</v>
      </c>
      <c r="F113" s="9" t="s">
        <v>1409</v>
      </c>
      <c r="G113" s="9" t="s">
        <v>1410</v>
      </c>
      <c r="H113" s="9" t="s">
        <v>3</v>
      </c>
      <c r="I113" s="9" t="s">
        <v>54</v>
      </c>
      <c r="J113" s="9" t="s">
        <v>3395</v>
      </c>
      <c r="K113" s="9" t="s">
        <v>1877</v>
      </c>
    </row>
    <row r="114" spans="1:11" ht="42" x14ac:dyDescent="0.15">
      <c r="A114" s="9" t="s">
        <v>1406</v>
      </c>
      <c r="B114" s="9" t="s">
        <v>1187</v>
      </c>
      <c r="C114" s="9" t="s">
        <v>1814</v>
      </c>
      <c r="D114" s="9" t="s">
        <v>1873</v>
      </c>
      <c r="E114" s="9" t="s">
        <v>228</v>
      </c>
      <c r="F114" s="9" t="s">
        <v>1409</v>
      </c>
      <c r="G114" s="9" t="s">
        <v>1410</v>
      </c>
      <c r="H114" s="9" t="s">
        <v>3</v>
      </c>
      <c r="I114" s="9" t="s">
        <v>54</v>
      </c>
      <c r="J114" s="9" t="s">
        <v>3395</v>
      </c>
      <c r="K114" s="9" t="s">
        <v>1877</v>
      </c>
    </row>
    <row r="115" spans="1:11" ht="42" x14ac:dyDescent="0.15">
      <c r="A115" s="9" t="s">
        <v>1406</v>
      </c>
      <c r="B115" s="9" t="s">
        <v>1187</v>
      </c>
      <c r="C115" s="9" t="s">
        <v>1815</v>
      </c>
      <c r="D115" s="9" t="s">
        <v>1874</v>
      </c>
      <c r="E115" s="9" t="s">
        <v>228</v>
      </c>
      <c r="F115" s="9" t="s">
        <v>1409</v>
      </c>
      <c r="G115" s="9" t="s">
        <v>1410</v>
      </c>
      <c r="H115" s="9" t="s">
        <v>3</v>
      </c>
      <c r="I115" s="9" t="s">
        <v>54</v>
      </c>
      <c r="J115" s="9" t="s">
        <v>3395</v>
      </c>
      <c r="K115" s="9" t="s">
        <v>1877</v>
      </c>
    </row>
    <row r="116" spans="1:11" ht="42" x14ac:dyDescent="0.15">
      <c r="A116" s="9" t="s">
        <v>1406</v>
      </c>
      <c r="B116" s="9" t="s">
        <v>1187</v>
      </c>
      <c r="C116" s="9" t="s">
        <v>1816</v>
      </c>
      <c r="D116" s="9" t="s">
        <v>1875</v>
      </c>
      <c r="E116" s="9" t="s">
        <v>228</v>
      </c>
      <c r="F116" s="9" t="s">
        <v>1409</v>
      </c>
      <c r="G116" s="9" t="s">
        <v>1410</v>
      </c>
      <c r="H116" s="9" t="s">
        <v>3</v>
      </c>
      <c r="I116" s="9" t="s">
        <v>54</v>
      </c>
      <c r="J116" s="9" t="s">
        <v>3395</v>
      </c>
      <c r="K116" s="9" t="s">
        <v>1877</v>
      </c>
    </row>
    <row r="117" spans="1:11" ht="56" x14ac:dyDescent="0.15">
      <c r="A117" s="9" t="s">
        <v>1411</v>
      </c>
      <c r="B117" s="9" t="s">
        <v>1412</v>
      </c>
      <c r="C117" s="9" t="s">
        <v>1986</v>
      </c>
      <c r="D117" s="9" t="s">
        <v>1414</v>
      </c>
      <c r="E117" s="9" t="s">
        <v>53</v>
      </c>
      <c r="F117" s="9" t="s">
        <v>1417</v>
      </c>
      <c r="G117" s="9" t="s">
        <v>1418</v>
      </c>
      <c r="H117" s="9" t="s">
        <v>1608</v>
      </c>
      <c r="I117" s="9" t="s">
        <v>54</v>
      </c>
      <c r="J117" s="9" t="s">
        <v>3394</v>
      </c>
      <c r="K117" s="9" t="s">
        <v>2005</v>
      </c>
    </row>
    <row r="118" spans="1:11" ht="56" x14ac:dyDescent="0.15">
      <c r="A118" s="9" t="s">
        <v>1411</v>
      </c>
      <c r="B118" s="9" t="s">
        <v>1412</v>
      </c>
      <c r="C118" s="9" t="s">
        <v>1990</v>
      </c>
      <c r="D118" s="9">
        <v>50</v>
      </c>
      <c r="E118" s="9" t="s">
        <v>53</v>
      </c>
      <c r="F118" s="9" t="s">
        <v>1417</v>
      </c>
      <c r="G118" s="9" t="s">
        <v>1418</v>
      </c>
      <c r="H118" s="9" t="s">
        <v>1608</v>
      </c>
      <c r="I118" s="9" t="s">
        <v>54</v>
      </c>
      <c r="J118" s="9" t="s">
        <v>3394</v>
      </c>
      <c r="K118" s="9" t="s">
        <v>2005</v>
      </c>
    </row>
    <row r="119" spans="1:11" ht="56" x14ac:dyDescent="0.15">
      <c r="A119" s="9" t="s">
        <v>1411</v>
      </c>
      <c r="B119" s="9" t="s">
        <v>1412</v>
      </c>
      <c r="C119" s="9" t="s">
        <v>1991</v>
      </c>
      <c r="D119" s="9" t="s">
        <v>1999</v>
      </c>
      <c r="E119" s="9" t="s">
        <v>53</v>
      </c>
      <c r="F119" s="9" t="s">
        <v>1417</v>
      </c>
      <c r="G119" s="9" t="s">
        <v>1418</v>
      </c>
      <c r="H119" s="9" t="s">
        <v>1608</v>
      </c>
      <c r="I119" s="9" t="s">
        <v>54</v>
      </c>
      <c r="J119" s="9" t="s">
        <v>3394</v>
      </c>
      <c r="K119" s="9" t="s">
        <v>2005</v>
      </c>
    </row>
    <row r="120" spans="1:11" ht="56" x14ac:dyDescent="0.15">
      <c r="A120" s="9" t="s">
        <v>1411</v>
      </c>
      <c r="B120" s="9" t="s">
        <v>1412</v>
      </c>
      <c r="C120" s="9" t="s">
        <v>1987</v>
      </c>
      <c r="D120" s="9" t="s">
        <v>1996</v>
      </c>
      <c r="E120" s="9" t="s">
        <v>53</v>
      </c>
      <c r="F120" s="9" t="s">
        <v>1417</v>
      </c>
      <c r="G120" s="9" t="s">
        <v>1418</v>
      </c>
      <c r="H120" s="9" t="s">
        <v>1608</v>
      </c>
      <c r="I120" s="9" t="s">
        <v>54</v>
      </c>
      <c r="J120" s="9" t="s">
        <v>3394</v>
      </c>
      <c r="K120" s="9" t="s">
        <v>2005</v>
      </c>
    </row>
    <row r="121" spans="1:11" ht="56" x14ac:dyDescent="0.15">
      <c r="A121" s="9" t="s">
        <v>1411</v>
      </c>
      <c r="B121" s="9" t="s">
        <v>1412</v>
      </c>
      <c r="C121" s="9" t="s">
        <v>1988</v>
      </c>
      <c r="D121" s="9" t="s">
        <v>1997</v>
      </c>
      <c r="E121" s="9" t="s">
        <v>53</v>
      </c>
      <c r="F121" s="9" t="s">
        <v>1417</v>
      </c>
      <c r="G121" s="9" t="s">
        <v>1418</v>
      </c>
      <c r="H121" s="9" t="s">
        <v>1608</v>
      </c>
      <c r="I121" s="9" t="s">
        <v>54</v>
      </c>
      <c r="J121" s="9" t="s">
        <v>3394</v>
      </c>
      <c r="K121" s="9" t="s">
        <v>2005</v>
      </c>
    </row>
    <row r="122" spans="1:11" ht="28" x14ac:dyDescent="0.15">
      <c r="A122" s="9" t="s">
        <v>1419</v>
      </c>
      <c r="B122" s="9" t="s">
        <v>1412</v>
      </c>
      <c r="C122" s="9" t="s">
        <v>1986</v>
      </c>
      <c r="D122" s="9" t="s">
        <v>1420</v>
      </c>
      <c r="E122" s="9" t="s">
        <v>53</v>
      </c>
      <c r="F122" s="9" t="s">
        <v>1421</v>
      </c>
      <c r="G122" s="9" t="s">
        <v>1422</v>
      </c>
      <c r="H122" s="9" t="s">
        <v>1608</v>
      </c>
      <c r="I122" s="9" t="s">
        <v>54</v>
      </c>
      <c r="J122" s="9" t="s">
        <v>3394</v>
      </c>
      <c r="K122" s="9" t="s">
        <v>2010</v>
      </c>
    </row>
    <row r="123" spans="1:11" ht="28" x14ac:dyDescent="0.15">
      <c r="A123" s="9" t="s">
        <v>1419</v>
      </c>
      <c r="B123" s="9" t="s">
        <v>1412</v>
      </c>
      <c r="C123" s="9" t="s">
        <v>1990</v>
      </c>
      <c r="D123" s="9">
        <v>200</v>
      </c>
      <c r="E123" s="9" t="s">
        <v>53</v>
      </c>
      <c r="F123" s="9" t="s">
        <v>1421</v>
      </c>
      <c r="G123" s="9" t="s">
        <v>1422</v>
      </c>
      <c r="H123" s="9" t="s">
        <v>1608</v>
      </c>
      <c r="I123" s="9" t="s">
        <v>54</v>
      </c>
      <c r="J123" s="9" t="s">
        <v>3394</v>
      </c>
      <c r="K123" s="9" t="s">
        <v>2010</v>
      </c>
    </row>
    <row r="124" spans="1:11" ht="28" x14ac:dyDescent="0.15">
      <c r="A124" s="9" t="s">
        <v>1419</v>
      </c>
      <c r="B124" s="9" t="s">
        <v>1412</v>
      </c>
      <c r="C124" s="9" t="s">
        <v>1991</v>
      </c>
      <c r="D124" s="9" t="s">
        <v>2008</v>
      </c>
      <c r="E124" s="9" t="s">
        <v>53</v>
      </c>
      <c r="F124" s="9" t="s">
        <v>1421</v>
      </c>
      <c r="G124" s="9" t="s">
        <v>1422</v>
      </c>
      <c r="H124" s="9" t="s">
        <v>1608</v>
      </c>
      <c r="I124" s="9" t="s">
        <v>54</v>
      </c>
      <c r="J124" s="9" t="s">
        <v>3394</v>
      </c>
      <c r="K124" s="9" t="s">
        <v>2010</v>
      </c>
    </row>
    <row r="125" spans="1:11" ht="28" x14ac:dyDescent="0.15">
      <c r="A125" s="9" t="s">
        <v>1419</v>
      </c>
      <c r="B125" s="9" t="s">
        <v>1412</v>
      </c>
      <c r="C125" s="9" t="s">
        <v>1987</v>
      </c>
      <c r="D125" s="9" t="s">
        <v>2006</v>
      </c>
      <c r="E125" s="9" t="s">
        <v>53</v>
      </c>
      <c r="F125" s="9" t="s">
        <v>1421</v>
      </c>
      <c r="G125" s="9" t="s">
        <v>1422</v>
      </c>
      <c r="H125" s="9" t="s">
        <v>1608</v>
      </c>
      <c r="I125" s="9" t="s">
        <v>54</v>
      </c>
      <c r="J125" s="9" t="s">
        <v>3394</v>
      </c>
      <c r="K125" s="9" t="s">
        <v>2010</v>
      </c>
    </row>
    <row r="126" spans="1:11" ht="28" x14ac:dyDescent="0.15">
      <c r="A126" s="9" t="s">
        <v>1419</v>
      </c>
      <c r="B126" s="9" t="s">
        <v>1412</v>
      </c>
      <c r="C126" s="9" t="s">
        <v>1988</v>
      </c>
      <c r="D126" s="9" t="s">
        <v>2007</v>
      </c>
      <c r="E126" s="9" t="s">
        <v>53</v>
      </c>
      <c r="F126" s="9" t="s">
        <v>1421</v>
      </c>
      <c r="G126" s="9" t="s">
        <v>1422</v>
      </c>
      <c r="H126" s="9" t="s">
        <v>1608</v>
      </c>
      <c r="I126" s="9" t="s">
        <v>54</v>
      </c>
      <c r="J126" s="9" t="s">
        <v>3394</v>
      </c>
      <c r="K126" s="9" t="s">
        <v>2010</v>
      </c>
    </row>
    <row r="127" spans="1:11" ht="42" x14ac:dyDescent="0.15">
      <c r="A127" s="9" t="s">
        <v>1431</v>
      </c>
      <c r="B127" s="9" t="s">
        <v>1412</v>
      </c>
      <c r="C127" s="9" t="s">
        <v>1986</v>
      </c>
      <c r="D127" s="9" t="s">
        <v>1432</v>
      </c>
      <c r="E127" s="9" t="s">
        <v>53</v>
      </c>
      <c r="F127" s="9" t="s">
        <v>1434</v>
      </c>
      <c r="G127" s="9" t="s">
        <v>1435</v>
      </c>
      <c r="H127" s="9" t="s">
        <v>1608</v>
      </c>
      <c r="I127" s="9" t="s">
        <v>54</v>
      </c>
      <c r="J127" s="9" t="s">
        <v>3394</v>
      </c>
      <c r="K127" s="9" t="s">
        <v>2031</v>
      </c>
    </row>
    <row r="128" spans="1:11" ht="42" x14ac:dyDescent="0.15">
      <c r="A128" s="9" t="s">
        <v>1431</v>
      </c>
      <c r="B128" s="9" t="s">
        <v>1412</v>
      </c>
      <c r="C128" s="9" t="s">
        <v>1987</v>
      </c>
      <c r="D128" s="9" t="s">
        <v>2025</v>
      </c>
      <c r="E128" s="9" t="s">
        <v>53</v>
      </c>
      <c r="F128" s="9" t="s">
        <v>1434</v>
      </c>
      <c r="G128" s="9" t="s">
        <v>1435</v>
      </c>
      <c r="H128" s="9" t="s">
        <v>1608</v>
      </c>
      <c r="I128" s="9" t="s">
        <v>54</v>
      </c>
      <c r="J128" s="9" t="s">
        <v>3394</v>
      </c>
      <c r="K128" s="9" t="s">
        <v>2031</v>
      </c>
    </row>
    <row r="129" spans="1:11" ht="42" x14ac:dyDescent="0.15">
      <c r="A129" s="9" t="s">
        <v>1431</v>
      </c>
      <c r="B129" s="9" t="s">
        <v>1412</v>
      </c>
      <c r="C129" s="9" t="s">
        <v>1988</v>
      </c>
      <c r="D129" s="9" t="s">
        <v>2026</v>
      </c>
      <c r="E129" s="9" t="s">
        <v>53</v>
      </c>
      <c r="F129" s="9" t="s">
        <v>1434</v>
      </c>
      <c r="G129" s="9" t="s">
        <v>1435</v>
      </c>
      <c r="H129" s="9" t="s">
        <v>1608</v>
      </c>
      <c r="I129" s="9" t="s">
        <v>54</v>
      </c>
      <c r="J129" s="9" t="s">
        <v>3394</v>
      </c>
      <c r="K129" s="9" t="s">
        <v>2031</v>
      </c>
    </row>
    <row r="130" spans="1:11" ht="28" x14ac:dyDescent="0.15">
      <c r="A130" s="9" t="s">
        <v>1436</v>
      </c>
      <c r="B130" s="9" t="s">
        <v>1412</v>
      </c>
      <c r="C130" s="9" t="s">
        <v>1986</v>
      </c>
      <c r="D130" s="9" t="s">
        <v>1437</v>
      </c>
      <c r="E130" s="9" t="s">
        <v>53</v>
      </c>
      <c r="F130" s="9" t="s">
        <v>1439</v>
      </c>
      <c r="G130" s="9" t="s">
        <v>1440</v>
      </c>
      <c r="H130" s="9" t="s">
        <v>1608</v>
      </c>
      <c r="I130" s="9" t="s">
        <v>54</v>
      </c>
      <c r="J130" s="9" t="s">
        <v>3394</v>
      </c>
      <c r="K130" s="9" t="s">
        <v>2039</v>
      </c>
    </row>
    <row r="131" spans="1:11" ht="28" x14ac:dyDescent="0.15">
      <c r="A131" s="9" t="s">
        <v>1436</v>
      </c>
      <c r="B131" s="9" t="s">
        <v>1412</v>
      </c>
      <c r="C131" s="9" t="s">
        <v>1990</v>
      </c>
      <c r="D131" s="9">
        <v>100</v>
      </c>
      <c r="E131" s="9" t="s">
        <v>53</v>
      </c>
      <c r="F131" s="9" t="s">
        <v>1439</v>
      </c>
      <c r="G131" s="9" t="s">
        <v>1440</v>
      </c>
      <c r="H131" s="9" t="s">
        <v>1608</v>
      </c>
      <c r="I131" s="9" t="s">
        <v>54</v>
      </c>
      <c r="J131" s="9" t="s">
        <v>3394</v>
      </c>
      <c r="K131" s="9" t="s">
        <v>2039</v>
      </c>
    </row>
    <row r="132" spans="1:11" ht="28" x14ac:dyDescent="0.15">
      <c r="A132" s="9" t="s">
        <v>1436</v>
      </c>
      <c r="B132" s="9" t="s">
        <v>1412</v>
      </c>
      <c r="C132" s="9" t="s">
        <v>1987</v>
      </c>
      <c r="D132" s="9" t="s">
        <v>2033</v>
      </c>
      <c r="E132" s="9" t="s">
        <v>53</v>
      </c>
      <c r="F132" s="9" t="s">
        <v>1439</v>
      </c>
      <c r="G132" s="9" t="s">
        <v>1440</v>
      </c>
      <c r="H132" s="9" t="s">
        <v>1608</v>
      </c>
      <c r="I132" s="9" t="s">
        <v>54</v>
      </c>
      <c r="J132" s="9" t="s">
        <v>3394</v>
      </c>
      <c r="K132" s="9" t="s">
        <v>2039</v>
      </c>
    </row>
    <row r="133" spans="1:11" ht="28" x14ac:dyDescent="0.15">
      <c r="A133" s="9" t="s">
        <v>1436</v>
      </c>
      <c r="B133" s="9" t="s">
        <v>1412</v>
      </c>
      <c r="C133" s="9" t="s">
        <v>1988</v>
      </c>
      <c r="D133" s="9" t="s">
        <v>2034</v>
      </c>
      <c r="E133" s="9" t="s">
        <v>53</v>
      </c>
      <c r="F133" s="9" t="s">
        <v>1439</v>
      </c>
      <c r="G133" s="9" t="s">
        <v>1440</v>
      </c>
      <c r="H133" s="9" t="s">
        <v>1608</v>
      </c>
      <c r="I133" s="9" t="s">
        <v>54</v>
      </c>
      <c r="J133" s="9" t="s">
        <v>3394</v>
      </c>
      <c r="K133" s="9" t="s">
        <v>2039</v>
      </c>
    </row>
    <row r="134" spans="1:11" ht="28" x14ac:dyDescent="0.15">
      <c r="A134" s="9" t="s">
        <v>1436</v>
      </c>
      <c r="B134" s="9" t="s">
        <v>1412</v>
      </c>
      <c r="C134" s="9" t="s">
        <v>1989</v>
      </c>
      <c r="D134" s="9" t="s">
        <v>2034</v>
      </c>
      <c r="E134" s="9" t="s">
        <v>53</v>
      </c>
      <c r="F134" s="9" t="s">
        <v>1439</v>
      </c>
      <c r="G134" s="9" t="s">
        <v>1440</v>
      </c>
      <c r="H134" s="9" t="s">
        <v>1608</v>
      </c>
      <c r="I134" s="9" t="s">
        <v>54</v>
      </c>
      <c r="J134" s="9" t="s">
        <v>3394</v>
      </c>
      <c r="K134" s="9" t="s">
        <v>2039</v>
      </c>
    </row>
    <row r="135" spans="1:11" ht="42" x14ac:dyDescent="0.15">
      <c r="A135" s="9" t="s">
        <v>1441</v>
      </c>
      <c r="B135" s="9" t="s">
        <v>1412</v>
      </c>
      <c r="C135" s="9" t="s">
        <v>1986</v>
      </c>
      <c r="D135" s="9" t="s">
        <v>1442</v>
      </c>
      <c r="E135" s="9" t="s">
        <v>53</v>
      </c>
      <c r="F135" s="9" t="s">
        <v>1444</v>
      </c>
      <c r="G135" s="9" t="s">
        <v>1426</v>
      </c>
      <c r="H135" s="9" t="s">
        <v>1608</v>
      </c>
      <c r="I135" s="9" t="s">
        <v>54</v>
      </c>
      <c r="J135" s="9" t="s">
        <v>3394</v>
      </c>
      <c r="K135" s="9" t="s">
        <v>2045</v>
      </c>
    </row>
    <row r="136" spans="1:11" ht="42" x14ac:dyDescent="0.15">
      <c r="A136" s="9" t="s">
        <v>1441</v>
      </c>
      <c r="B136" s="9" t="s">
        <v>1412</v>
      </c>
      <c r="C136" s="9" t="s">
        <v>1988</v>
      </c>
      <c r="D136" s="9" t="s">
        <v>1442</v>
      </c>
      <c r="E136" s="9" t="s">
        <v>53</v>
      </c>
      <c r="F136" s="9" t="s">
        <v>1444</v>
      </c>
      <c r="G136" s="9" t="s">
        <v>1426</v>
      </c>
      <c r="H136" s="9" t="s">
        <v>1608</v>
      </c>
      <c r="I136" s="9" t="s">
        <v>54</v>
      </c>
      <c r="J136" s="9" t="s">
        <v>3394</v>
      </c>
      <c r="K136" s="9" t="s">
        <v>2045</v>
      </c>
    </row>
    <row r="137" spans="1:11" ht="42" x14ac:dyDescent="0.15">
      <c r="A137" s="9" t="s">
        <v>1441</v>
      </c>
      <c r="B137" s="9" t="s">
        <v>1412</v>
      </c>
      <c r="C137" s="9" t="s">
        <v>1989</v>
      </c>
      <c r="D137" s="9" t="s">
        <v>1442</v>
      </c>
      <c r="E137" s="9" t="s">
        <v>53</v>
      </c>
      <c r="F137" s="9" t="s">
        <v>1444</v>
      </c>
      <c r="G137" s="9" t="s">
        <v>1426</v>
      </c>
      <c r="H137" s="9" t="s">
        <v>1608</v>
      </c>
      <c r="I137" s="9" t="s">
        <v>54</v>
      </c>
      <c r="J137" s="9" t="s">
        <v>3394</v>
      </c>
      <c r="K137" s="9" t="s">
        <v>2045</v>
      </c>
    </row>
    <row r="138" spans="1:11" ht="28" x14ac:dyDescent="0.15">
      <c r="A138" s="9" t="s">
        <v>1512</v>
      </c>
      <c r="B138" s="9" t="s">
        <v>1447</v>
      </c>
      <c r="C138" s="9" t="s">
        <v>1879</v>
      </c>
      <c r="D138" s="9" t="s">
        <v>1975</v>
      </c>
      <c r="E138" s="9" t="s">
        <v>228</v>
      </c>
      <c r="F138" s="9" t="s">
        <v>230</v>
      </c>
      <c r="G138" s="9" t="s">
        <v>231</v>
      </c>
      <c r="H138" s="9" t="s">
        <v>3</v>
      </c>
      <c r="I138" s="9" t="s">
        <v>54</v>
      </c>
      <c r="J138" s="9" t="s">
        <v>3395</v>
      </c>
      <c r="K138" s="9" t="s">
        <v>1978</v>
      </c>
    </row>
    <row r="139" spans="1:11" ht="28" x14ac:dyDescent="0.15">
      <c r="A139" s="9" t="s">
        <v>1512</v>
      </c>
      <c r="B139" s="9" t="s">
        <v>1447</v>
      </c>
      <c r="C139" s="9" t="s">
        <v>1880</v>
      </c>
      <c r="D139" s="9">
        <v>6560</v>
      </c>
      <c r="E139" s="9" t="s">
        <v>228</v>
      </c>
      <c r="F139" s="9" t="s">
        <v>230</v>
      </c>
      <c r="G139" s="9" t="s">
        <v>231</v>
      </c>
      <c r="H139" s="9" t="s">
        <v>3</v>
      </c>
      <c r="I139" s="9" t="s">
        <v>54</v>
      </c>
      <c r="J139" s="9" t="s">
        <v>3395</v>
      </c>
      <c r="K139" s="9" t="s">
        <v>1978</v>
      </c>
    </row>
    <row r="140" spans="1:11" ht="28" x14ac:dyDescent="0.15">
      <c r="A140" s="9" t="s">
        <v>1512</v>
      </c>
      <c r="B140" s="9" t="s">
        <v>1447</v>
      </c>
      <c r="C140" s="9" t="s">
        <v>1881</v>
      </c>
      <c r="D140" s="9">
        <v>3100</v>
      </c>
      <c r="E140" s="9" t="s">
        <v>228</v>
      </c>
      <c r="F140" s="9" t="s">
        <v>230</v>
      </c>
      <c r="G140" s="9" t="s">
        <v>231</v>
      </c>
      <c r="H140" s="9" t="s">
        <v>3</v>
      </c>
      <c r="I140" s="9" t="s">
        <v>54</v>
      </c>
      <c r="J140" s="9" t="s">
        <v>3395</v>
      </c>
      <c r="K140" s="9" t="s">
        <v>1978</v>
      </c>
    </row>
    <row r="141" spans="1:11" ht="28" x14ac:dyDescent="0.15">
      <c r="A141" s="9" t="s">
        <v>1512</v>
      </c>
      <c r="B141" s="9" t="s">
        <v>1447</v>
      </c>
      <c r="C141" s="9" t="s">
        <v>1882</v>
      </c>
      <c r="D141" s="9" t="s">
        <v>1976</v>
      </c>
      <c r="E141" s="9" t="s">
        <v>228</v>
      </c>
      <c r="F141" s="9" t="s">
        <v>230</v>
      </c>
      <c r="G141" s="9" t="s">
        <v>231</v>
      </c>
      <c r="H141" s="9" t="s">
        <v>3</v>
      </c>
      <c r="I141" s="9" t="s">
        <v>54</v>
      </c>
      <c r="J141" s="9" t="s">
        <v>3395</v>
      </c>
      <c r="K141" s="9" t="s">
        <v>1978</v>
      </c>
    </row>
    <row r="142" spans="1:11" ht="28" x14ac:dyDescent="0.15">
      <c r="A142" s="9" t="s">
        <v>1512</v>
      </c>
      <c r="B142" s="9" t="s">
        <v>1447</v>
      </c>
      <c r="C142" s="9" t="s">
        <v>1883</v>
      </c>
      <c r="D142" s="9">
        <v>54.12</v>
      </c>
      <c r="E142" s="9" t="s">
        <v>228</v>
      </c>
      <c r="F142" s="9" t="s">
        <v>230</v>
      </c>
      <c r="G142" s="9" t="s">
        <v>231</v>
      </c>
      <c r="H142" s="9" t="s">
        <v>3</v>
      </c>
      <c r="I142" s="9" t="s">
        <v>54</v>
      </c>
      <c r="J142" s="9" t="s">
        <v>3395</v>
      </c>
      <c r="K142" s="9" t="s">
        <v>1978</v>
      </c>
    </row>
    <row r="143" spans="1:11" ht="28" x14ac:dyDescent="0.15">
      <c r="A143" s="9" t="s">
        <v>1512</v>
      </c>
      <c r="B143" s="9" t="s">
        <v>1447</v>
      </c>
      <c r="C143" s="9" t="s">
        <v>1884</v>
      </c>
      <c r="D143" s="9">
        <v>25.58</v>
      </c>
      <c r="E143" s="9" t="s">
        <v>228</v>
      </c>
      <c r="F143" s="9" t="s">
        <v>230</v>
      </c>
      <c r="G143" s="9" t="s">
        <v>231</v>
      </c>
      <c r="H143" s="9" t="s">
        <v>3</v>
      </c>
      <c r="I143" s="9" t="s">
        <v>54</v>
      </c>
      <c r="J143" s="9" t="s">
        <v>3395</v>
      </c>
      <c r="K143" s="9" t="s">
        <v>1978</v>
      </c>
    </row>
    <row r="144" spans="1:11" ht="28" x14ac:dyDescent="0.15">
      <c r="A144" s="9" t="s">
        <v>1512</v>
      </c>
      <c r="B144" s="9" t="s">
        <v>1447</v>
      </c>
      <c r="C144" s="9" t="s">
        <v>1887</v>
      </c>
      <c r="D144" s="9" t="s">
        <v>1977</v>
      </c>
      <c r="E144" s="9" t="s">
        <v>228</v>
      </c>
      <c r="F144" s="9" t="s">
        <v>230</v>
      </c>
      <c r="G144" s="9" t="s">
        <v>231</v>
      </c>
      <c r="H144" s="9" t="s">
        <v>3</v>
      </c>
      <c r="I144" s="9" t="s">
        <v>54</v>
      </c>
      <c r="J144" s="9" t="s">
        <v>3395</v>
      </c>
      <c r="K144" s="9" t="s">
        <v>1978</v>
      </c>
    </row>
    <row r="145" spans="1:11" ht="28" x14ac:dyDescent="0.15">
      <c r="A145" s="9" t="s">
        <v>1512</v>
      </c>
      <c r="B145" s="9" t="s">
        <v>1447</v>
      </c>
      <c r="C145" s="9" t="s">
        <v>1888</v>
      </c>
      <c r="D145" s="9">
        <v>60</v>
      </c>
      <c r="E145" s="9" t="s">
        <v>228</v>
      </c>
      <c r="F145" s="9" t="s">
        <v>230</v>
      </c>
      <c r="G145" s="9" t="s">
        <v>231</v>
      </c>
      <c r="H145" s="9" t="s">
        <v>3</v>
      </c>
      <c r="I145" s="9" t="s">
        <v>54</v>
      </c>
      <c r="J145" s="9" t="s">
        <v>3395</v>
      </c>
      <c r="K145" s="9" t="s">
        <v>1978</v>
      </c>
    </row>
    <row r="146" spans="1:11" ht="28" x14ac:dyDescent="0.15">
      <c r="A146" s="9" t="s">
        <v>1514</v>
      </c>
      <c r="B146" s="9" t="s">
        <v>1447</v>
      </c>
      <c r="C146" s="9" t="s">
        <v>1879</v>
      </c>
      <c r="D146" s="9" t="s">
        <v>1979</v>
      </c>
      <c r="E146" s="9" t="s">
        <v>228</v>
      </c>
      <c r="F146" s="9" t="s">
        <v>230</v>
      </c>
      <c r="G146" s="9" t="s">
        <v>231</v>
      </c>
      <c r="H146" s="9" t="s">
        <v>3</v>
      </c>
      <c r="I146" s="9" t="s">
        <v>54</v>
      </c>
      <c r="J146" s="9" t="s">
        <v>3395</v>
      </c>
      <c r="K146" s="9" t="s">
        <v>1981</v>
      </c>
    </row>
    <row r="147" spans="1:11" ht="28" x14ac:dyDescent="0.15">
      <c r="A147" s="9" t="s">
        <v>1514</v>
      </c>
      <c r="B147" s="9" t="s">
        <v>1447</v>
      </c>
      <c r="C147" s="9" t="s">
        <v>1880</v>
      </c>
      <c r="D147" s="9">
        <v>5120</v>
      </c>
      <c r="E147" s="9" t="s">
        <v>228</v>
      </c>
      <c r="F147" s="9" t="s">
        <v>230</v>
      </c>
      <c r="G147" s="9" t="s">
        <v>231</v>
      </c>
      <c r="H147" s="9" t="s">
        <v>3</v>
      </c>
      <c r="I147" s="9" t="s">
        <v>54</v>
      </c>
      <c r="J147" s="9" t="s">
        <v>3395</v>
      </c>
      <c r="K147" s="9" t="s">
        <v>1981</v>
      </c>
    </row>
    <row r="148" spans="1:11" ht="28" x14ac:dyDescent="0.15">
      <c r="A148" s="9" t="s">
        <v>1514</v>
      </c>
      <c r="B148" s="9" t="s">
        <v>1447</v>
      </c>
      <c r="C148" s="9" t="s">
        <v>1881</v>
      </c>
      <c r="D148" s="9">
        <v>3100</v>
      </c>
      <c r="E148" s="9" t="s">
        <v>228</v>
      </c>
      <c r="F148" s="9" t="s">
        <v>230</v>
      </c>
      <c r="G148" s="9" t="s">
        <v>231</v>
      </c>
      <c r="H148" s="9" t="s">
        <v>3</v>
      </c>
      <c r="I148" s="9" t="s">
        <v>54</v>
      </c>
      <c r="J148" s="9" t="s">
        <v>3395</v>
      </c>
      <c r="K148" s="9" t="s">
        <v>1981</v>
      </c>
    </row>
    <row r="149" spans="1:11" ht="28" x14ac:dyDescent="0.15">
      <c r="A149" s="9" t="s">
        <v>1514</v>
      </c>
      <c r="B149" s="9" t="s">
        <v>1447</v>
      </c>
      <c r="C149" s="9" t="s">
        <v>1882</v>
      </c>
      <c r="D149" s="9" t="s">
        <v>1980</v>
      </c>
      <c r="E149" s="9" t="s">
        <v>228</v>
      </c>
      <c r="F149" s="9" t="s">
        <v>230</v>
      </c>
      <c r="G149" s="9" t="s">
        <v>231</v>
      </c>
      <c r="H149" s="9" t="s">
        <v>3</v>
      </c>
      <c r="I149" s="9" t="s">
        <v>54</v>
      </c>
      <c r="J149" s="9" t="s">
        <v>3395</v>
      </c>
      <c r="K149" s="9" t="s">
        <v>1981</v>
      </c>
    </row>
    <row r="150" spans="1:11" ht="28" x14ac:dyDescent="0.15">
      <c r="A150" s="9" t="s">
        <v>1514</v>
      </c>
      <c r="B150" s="9" t="s">
        <v>1447</v>
      </c>
      <c r="C150" s="9" t="s">
        <v>1883</v>
      </c>
      <c r="D150" s="9">
        <v>42.24</v>
      </c>
      <c r="E150" s="9" t="s">
        <v>228</v>
      </c>
      <c r="F150" s="9" t="s">
        <v>230</v>
      </c>
      <c r="G150" s="9" t="s">
        <v>231</v>
      </c>
      <c r="H150" s="9" t="s">
        <v>3</v>
      </c>
      <c r="I150" s="9" t="s">
        <v>54</v>
      </c>
      <c r="J150" s="9" t="s">
        <v>3395</v>
      </c>
      <c r="K150" s="9" t="s">
        <v>1981</v>
      </c>
    </row>
    <row r="151" spans="1:11" ht="28" x14ac:dyDescent="0.15">
      <c r="A151" s="9" t="s">
        <v>1514</v>
      </c>
      <c r="B151" s="9" t="s">
        <v>1447</v>
      </c>
      <c r="C151" s="9" t="s">
        <v>1884</v>
      </c>
      <c r="D151" s="9">
        <v>25.58</v>
      </c>
      <c r="E151" s="9" t="s">
        <v>228</v>
      </c>
      <c r="F151" s="9" t="s">
        <v>230</v>
      </c>
      <c r="G151" s="9" t="s">
        <v>231</v>
      </c>
      <c r="H151" s="9" t="s">
        <v>3</v>
      </c>
      <c r="I151" s="9" t="s">
        <v>54</v>
      </c>
      <c r="J151" s="9" t="s">
        <v>3395</v>
      </c>
      <c r="K151" s="9" t="s">
        <v>1981</v>
      </c>
    </row>
    <row r="152" spans="1:11" ht="28" x14ac:dyDescent="0.15">
      <c r="A152" s="9" t="s">
        <v>1514</v>
      </c>
      <c r="B152" s="9" t="s">
        <v>1447</v>
      </c>
      <c r="C152" s="9" t="s">
        <v>1887</v>
      </c>
      <c r="D152" s="9" t="s">
        <v>1977</v>
      </c>
      <c r="E152" s="9" t="s">
        <v>228</v>
      </c>
      <c r="F152" s="9" t="s">
        <v>230</v>
      </c>
      <c r="G152" s="9" t="s">
        <v>231</v>
      </c>
      <c r="H152" s="9" t="s">
        <v>3</v>
      </c>
      <c r="I152" s="9" t="s">
        <v>54</v>
      </c>
      <c r="J152" s="9" t="s">
        <v>3395</v>
      </c>
      <c r="K152" s="9" t="s">
        <v>1981</v>
      </c>
    </row>
    <row r="153" spans="1:11" ht="28" x14ac:dyDescent="0.15">
      <c r="A153" s="9" t="s">
        <v>1514</v>
      </c>
      <c r="B153" s="9" t="s">
        <v>1447</v>
      </c>
      <c r="C153" s="9" t="s">
        <v>1888</v>
      </c>
      <c r="D153" s="9">
        <v>60</v>
      </c>
      <c r="E153" s="9" t="s">
        <v>228</v>
      </c>
      <c r="F153" s="9" t="s">
        <v>230</v>
      </c>
      <c r="G153" s="9" t="s">
        <v>231</v>
      </c>
      <c r="H153" s="9" t="s">
        <v>3</v>
      </c>
      <c r="I153" s="9" t="s">
        <v>54</v>
      </c>
      <c r="J153" s="9" t="s">
        <v>3395</v>
      </c>
      <c r="K153" s="9" t="s">
        <v>1981</v>
      </c>
    </row>
    <row r="154" spans="1:11" ht="28" x14ac:dyDescent="0.15">
      <c r="A154" s="9" t="s">
        <v>1515</v>
      </c>
      <c r="B154" s="9" t="s">
        <v>1447</v>
      </c>
      <c r="C154" s="9" t="s">
        <v>1879</v>
      </c>
      <c r="D154" s="9" t="s">
        <v>1982</v>
      </c>
      <c r="E154" s="9" t="s">
        <v>228</v>
      </c>
      <c r="F154" s="9" t="s">
        <v>230</v>
      </c>
      <c r="G154" s="9" t="s">
        <v>231</v>
      </c>
      <c r="H154" s="9" t="s">
        <v>3</v>
      </c>
      <c r="I154" s="9" t="s">
        <v>54</v>
      </c>
      <c r="J154" s="9" t="s">
        <v>3395</v>
      </c>
      <c r="K154" s="9" t="s">
        <v>1983</v>
      </c>
    </row>
    <row r="155" spans="1:11" ht="28" x14ac:dyDescent="0.15">
      <c r="A155" s="9" t="s">
        <v>1515</v>
      </c>
      <c r="B155" s="9" t="s">
        <v>1447</v>
      </c>
      <c r="C155" s="9" t="s">
        <v>1880</v>
      </c>
      <c r="D155" s="9">
        <v>4448</v>
      </c>
      <c r="E155" s="9" t="s">
        <v>228</v>
      </c>
      <c r="F155" s="9" t="s">
        <v>230</v>
      </c>
      <c r="G155" s="9" t="s">
        <v>231</v>
      </c>
      <c r="H155" s="9" t="s">
        <v>3</v>
      </c>
      <c r="I155" s="9" t="s">
        <v>54</v>
      </c>
      <c r="J155" s="9" t="s">
        <v>3395</v>
      </c>
      <c r="K155" s="9" t="s">
        <v>1983</v>
      </c>
    </row>
    <row r="156" spans="1:11" ht="28" x14ac:dyDescent="0.15">
      <c r="A156" s="9" t="s">
        <v>1515</v>
      </c>
      <c r="B156" s="9" t="s">
        <v>1447</v>
      </c>
      <c r="C156" s="9" t="s">
        <v>1881</v>
      </c>
      <c r="D156" s="9">
        <v>3096</v>
      </c>
      <c r="E156" s="9" t="s">
        <v>228</v>
      </c>
      <c r="F156" s="9" t="s">
        <v>230</v>
      </c>
      <c r="G156" s="9" t="s">
        <v>231</v>
      </c>
      <c r="H156" s="9" t="s">
        <v>3</v>
      </c>
      <c r="I156" s="9" t="s">
        <v>54</v>
      </c>
      <c r="J156" s="9" t="s">
        <v>3395</v>
      </c>
      <c r="K156" s="9" t="s">
        <v>1983</v>
      </c>
    </row>
    <row r="157" spans="1:11" ht="28" x14ac:dyDescent="0.15">
      <c r="A157" s="9" t="s">
        <v>1515</v>
      </c>
      <c r="B157" s="9" t="s">
        <v>1447</v>
      </c>
      <c r="C157" s="9" t="s">
        <v>1882</v>
      </c>
      <c r="D157" s="9" t="s">
        <v>1892</v>
      </c>
      <c r="E157" s="9" t="s">
        <v>228</v>
      </c>
      <c r="F157" s="9" t="s">
        <v>230</v>
      </c>
      <c r="G157" s="9" t="s">
        <v>231</v>
      </c>
      <c r="H157" s="9" t="s">
        <v>3</v>
      </c>
      <c r="I157" s="9" t="s">
        <v>54</v>
      </c>
      <c r="J157" s="9" t="s">
        <v>3395</v>
      </c>
      <c r="K157" s="9" t="s">
        <v>1983</v>
      </c>
    </row>
    <row r="158" spans="1:11" ht="28" x14ac:dyDescent="0.15">
      <c r="A158" s="9" t="s">
        <v>1515</v>
      </c>
      <c r="B158" s="9" t="s">
        <v>1447</v>
      </c>
      <c r="C158" s="9" t="s">
        <v>1883</v>
      </c>
      <c r="D158" s="9">
        <v>36.700000000000003</v>
      </c>
      <c r="E158" s="9" t="s">
        <v>228</v>
      </c>
      <c r="F158" s="9" t="s">
        <v>230</v>
      </c>
      <c r="G158" s="9" t="s">
        <v>231</v>
      </c>
      <c r="H158" s="9" t="s">
        <v>3</v>
      </c>
      <c r="I158" s="9" t="s">
        <v>54</v>
      </c>
      <c r="J158" s="9" t="s">
        <v>3395</v>
      </c>
      <c r="K158" s="9" t="s">
        <v>1983</v>
      </c>
    </row>
    <row r="159" spans="1:11" ht="28" x14ac:dyDescent="0.15">
      <c r="A159" s="9" t="s">
        <v>1515</v>
      </c>
      <c r="B159" s="9" t="s">
        <v>1447</v>
      </c>
      <c r="C159" s="9" t="s">
        <v>1884</v>
      </c>
      <c r="D159" s="9">
        <v>25.54</v>
      </c>
      <c r="E159" s="9" t="s">
        <v>228</v>
      </c>
      <c r="F159" s="9" t="s">
        <v>230</v>
      </c>
      <c r="G159" s="9" t="s">
        <v>231</v>
      </c>
      <c r="H159" s="9" t="s">
        <v>3</v>
      </c>
      <c r="I159" s="9" t="s">
        <v>54</v>
      </c>
      <c r="J159" s="9" t="s">
        <v>3395</v>
      </c>
      <c r="K159" s="9" t="s">
        <v>1983</v>
      </c>
    </row>
    <row r="160" spans="1:11" ht="28" x14ac:dyDescent="0.15">
      <c r="A160" s="9" t="s">
        <v>1515</v>
      </c>
      <c r="B160" s="9" t="s">
        <v>1447</v>
      </c>
      <c r="C160" s="9" t="s">
        <v>1887</v>
      </c>
      <c r="D160" s="9" t="s">
        <v>1977</v>
      </c>
      <c r="E160" s="9" t="s">
        <v>228</v>
      </c>
      <c r="F160" s="9" t="s">
        <v>230</v>
      </c>
      <c r="G160" s="9" t="s">
        <v>231</v>
      </c>
      <c r="H160" s="9" t="s">
        <v>3</v>
      </c>
      <c r="I160" s="9" t="s">
        <v>54</v>
      </c>
      <c r="J160" s="9" t="s">
        <v>3395</v>
      </c>
      <c r="K160" s="9" t="s">
        <v>1983</v>
      </c>
    </row>
    <row r="161" spans="1:11" ht="28" x14ac:dyDescent="0.15">
      <c r="A161" s="9" t="s">
        <v>1515</v>
      </c>
      <c r="B161" s="9" t="s">
        <v>1447</v>
      </c>
      <c r="C161" s="9" t="s">
        <v>1888</v>
      </c>
      <c r="D161" s="9">
        <v>60</v>
      </c>
      <c r="E161" s="9" t="s">
        <v>228</v>
      </c>
      <c r="F161" s="9" t="s">
        <v>230</v>
      </c>
      <c r="G161" s="9" t="s">
        <v>231</v>
      </c>
      <c r="H161" s="9" t="s">
        <v>3</v>
      </c>
      <c r="I161" s="9" t="s">
        <v>54</v>
      </c>
      <c r="J161" s="9" t="s">
        <v>3395</v>
      </c>
      <c r="K161" s="9" t="s">
        <v>1983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9" customWidth="1"/>
    <col min="2" max="2" width="20" customWidth="1"/>
    <col min="3" max="3" width="29" customWidth="1"/>
    <col min="4" max="4" width="15" customWidth="1"/>
    <col min="5" max="5" width="50" customWidth="1"/>
    <col min="6" max="6" width="12" customWidth="1"/>
    <col min="7" max="7" width="14" customWidth="1"/>
    <col min="8" max="8" width="16" customWidth="1"/>
  </cols>
  <sheetData>
    <row r="1" spans="1:8" ht="14" x14ac:dyDescent="0.15">
      <c r="A1" s="8" t="s">
        <v>3396</v>
      </c>
      <c r="B1" s="8" t="s">
        <v>3397</v>
      </c>
      <c r="C1" s="8" t="s">
        <v>3398</v>
      </c>
      <c r="D1" s="8" t="s">
        <v>2488</v>
      </c>
      <c r="E1" s="8" t="s">
        <v>3310</v>
      </c>
      <c r="F1" s="8" t="s">
        <v>38</v>
      </c>
      <c r="G1" s="8" t="s">
        <v>3399</v>
      </c>
      <c r="H1" s="8" t="s">
        <v>2493</v>
      </c>
    </row>
    <row r="2" spans="1:8" ht="28" x14ac:dyDescent="0.15">
      <c r="A2" s="9" t="s">
        <v>3400</v>
      </c>
      <c r="B2" s="9" t="s">
        <v>3401</v>
      </c>
      <c r="C2" s="9" t="s">
        <v>3378</v>
      </c>
      <c r="D2" s="9" t="s">
        <v>227</v>
      </c>
      <c r="E2" s="9" t="s">
        <v>231</v>
      </c>
      <c r="F2" s="9" t="s">
        <v>3402</v>
      </c>
      <c r="G2" s="9" t="s">
        <v>3403</v>
      </c>
      <c r="H2" s="9" t="s">
        <v>3</v>
      </c>
    </row>
    <row r="3" spans="1:8" ht="28" x14ac:dyDescent="0.15">
      <c r="A3" s="9" t="s">
        <v>3404</v>
      </c>
      <c r="B3" s="9" t="s">
        <v>235</v>
      </c>
      <c r="C3" s="9" t="s">
        <v>3378</v>
      </c>
      <c r="D3" s="9" t="s">
        <v>3405</v>
      </c>
      <c r="E3" s="9" t="s">
        <v>239</v>
      </c>
      <c r="F3" s="9" t="s">
        <v>3402</v>
      </c>
      <c r="G3" s="9" t="s">
        <v>3403</v>
      </c>
      <c r="H3" s="9" t="s">
        <v>3</v>
      </c>
    </row>
    <row r="4" spans="1:8" ht="28" x14ac:dyDescent="0.15">
      <c r="A4" s="9" t="s">
        <v>3406</v>
      </c>
      <c r="B4" s="9" t="s">
        <v>1223</v>
      </c>
      <c r="C4" s="9" t="s">
        <v>2563</v>
      </c>
      <c r="D4" s="9" t="s">
        <v>1407</v>
      </c>
      <c r="E4" s="9" t="s">
        <v>1410</v>
      </c>
      <c r="F4" s="9" t="s">
        <v>3402</v>
      </c>
      <c r="G4" s="9" t="s">
        <v>3403</v>
      </c>
      <c r="H4" s="9" t="s">
        <v>3</v>
      </c>
    </row>
    <row r="5" spans="1:8" ht="42" x14ac:dyDescent="0.15">
      <c r="A5" s="9" t="s">
        <v>3407</v>
      </c>
      <c r="B5" s="9" t="s">
        <v>49</v>
      </c>
      <c r="C5" s="9" t="s">
        <v>3408</v>
      </c>
      <c r="D5" s="9" t="s">
        <v>3409</v>
      </c>
      <c r="E5" s="9" t="s">
        <v>1159</v>
      </c>
      <c r="F5" s="9" t="s">
        <v>3402</v>
      </c>
      <c r="G5" s="9" t="s">
        <v>3403</v>
      </c>
      <c r="H5" s="9" t="s">
        <v>3</v>
      </c>
    </row>
    <row r="6" spans="1:8" ht="28" x14ac:dyDescent="0.15">
      <c r="A6" s="9" t="s">
        <v>3410</v>
      </c>
      <c r="B6" s="9" t="s">
        <v>1098</v>
      </c>
      <c r="C6" s="9" t="s">
        <v>3378</v>
      </c>
      <c r="D6" s="9" t="s">
        <v>1131</v>
      </c>
      <c r="E6" s="9" t="s">
        <v>3411</v>
      </c>
      <c r="F6" s="9" t="s">
        <v>3402</v>
      </c>
      <c r="G6" s="9" t="s">
        <v>3403</v>
      </c>
      <c r="H6" s="9" t="s">
        <v>3</v>
      </c>
    </row>
    <row r="7" spans="1:8" ht="14" x14ac:dyDescent="0.15">
      <c r="A7" s="9" t="s">
        <v>3412</v>
      </c>
      <c r="B7" s="9" t="s">
        <v>3413</v>
      </c>
      <c r="C7" s="9" t="s">
        <v>3378</v>
      </c>
      <c r="D7" s="9" t="s">
        <v>3414</v>
      </c>
      <c r="E7" s="9" t="s">
        <v>3415</v>
      </c>
      <c r="F7" s="9" t="s">
        <v>3402</v>
      </c>
      <c r="G7" s="9" t="s">
        <v>3403</v>
      </c>
      <c r="H7" s="9" t="s">
        <v>3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1" customWidth="1"/>
    <col min="2" max="2" width="13" customWidth="1"/>
    <col min="3" max="3" width="17" customWidth="1"/>
    <col min="4" max="4" width="50" customWidth="1"/>
    <col min="5" max="5" width="23" customWidth="1"/>
    <col min="6" max="6" width="45" customWidth="1"/>
    <col min="7" max="7" width="22" customWidth="1"/>
  </cols>
  <sheetData>
    <row r="1" spans="1:7" ht="14" x14ac:dyDescent="0.15">
      <c r="A1" s="8" t="s">
        <v>2578</v>
      </c>
      <c r="B1" s="8" t="s">
        <v>3271</v>
      </c>
      <c r="C1" s="8" t="s">
        <v>2973</v>
      </c>
      <c r="D1" s="8" t="s">
        <v>3416</v>
      </c>
      <c r="E1" s="8" t="s">
        <v>2975</v>
      </c>
      <c r="F1" s="8" t="s">
        <v>3417</v>
      </c>
      <c r="G1" s="8" t="s">
        <v>3418</v>
      </c>
    </row>
    <row r="2" spans="1:7" ht="14" x14ac:dyDescent="0.15">
      <c r="A2" s="9" t="s">
        <v>1569</v>
      </c>
      <c r="B2" s="9" t="s">
        <v>48</v>
      </c>
      <c r="C2" s="9" t="s">
        <v>3020</v>
      </c>
      <c r="D2" s="9" t="s">
        <v>3419</v>
      </c>
      <c r="E2" s="9" t="s">
        <v>1846</v>
      </c>
      <c r="F2" s="9" t="s">
        <v>3420</v>
      </c>
      <c r="G2" s="9" t="s">
        <v>3421</v>
      </c>
    </row>
    <row r="3" spans="1:7" ht="14" x14ac:dyDescent="0.15">
      <c r="A3" s="9" t="s">
        <v>1570</v>
      </c>
      <c r="B3" s="9" t="s">
        <v>48</v>
      </c>
      <c r="C3" s="9" t="s">
        <v>3020</v>
      </c>
      <c r="D3" s="9" t="s">
        <v>3419</v>
      </c>
      <c r="E3" s="9" t="s">
        <v>1846</v>
      </c>
      <c r="F3" s="9" t="s">
        <v>3422</v>
      </c>
      <c r="G3" s="9" t="s">
        <v>3421</v>
      </c>
    </row>
    <row r="4" spans="1:7" ht="14" x14ac:dyDescent="0.15">
      <c r="A4" s="9" t="s">
        <v>1699</v>
      </c>
      <c r="B4" s="9" t="s">
        <v>241</v>
      </c>
      <c r="C4" s="9" t="s">
        <v>3020</v>
      </c>
      <c r="D4" s="9" t="s">
        <v>3423</v>
      </c>
      <c r="E4" s="9" t="s">
        <v>1846</v>
      </c>
      <c r="F4" s="9" t="s">
        <v>3424</v>
      </c>
      <c r="G4" s="9" t="s">
        <v>2075</v>
      </c>
    </row>
    <row r="5" spans="1:7" ht="14" x14ac:dyDescent="0.15">
      <c r="A5" s="9" t="s">
        <v>1694</v>
      </c>
      <c r="B5" s="9" t="s">
        <v>241</v>
      </c>
      <c r="C5" s="9" t="s">
        <v>3425</v>
      </c>
      <c r="D5" s="9" t="s">
        <v>3426</v>
      </c>
      <c r="E5" s="9" t="s">
        <v>1846</v>
      </c>
      <c r="F5" s="9" t="s">
        <v>3427</v>
      </c>
      <c r="G5" s="9" t="s">
        <v>3428</v>
      </c>
    </row>
    <row r="6" spans="1:7" ht="14" x14ac:dyDescent="0.15">
      <c r="A6" s="9" t="s">
        <v>2976</v>
      </c>
      <c r="B6" s="9" t="s">
        <v>3281</v>
      </c>
      <c r="C6" s="9" t="s">
        <v>3429</v>
      </c>
      <c r="D6" s="9" t="s">
        <v>3430</v>
      </c>
      <c r="E6" s="9" t="s">
        <v>3431</v>
      </c>
      <c r="F6" s="9" t="s">
        <v>3432</v>
      </c>
      <c r="G6" s="9" t="s">
        <v>3433</v>
      </c>
    </row>
    <row r="7" spans="1:7" ht="14" x14ac:dyDescent="0.15">
      <c r="A7" s="9" t="s">
        <v>3000</v>
      </c>
      <c r="B7" s="9" t="s">
        <v>3281</v>
      </c>
      <c r="C7" s="9" t="s">
        <v>3001</v>
      </c>
      <c r="D7" s="9" t="s">
        <v>3434</v>
      </c>
      <c r="E7" s="9" t="s">
        <v>1846</v>
      </c>
      <c r="F7" s="9" t="s">
        <v>3435</v>
      </c>
      <c r="G7" s="9" t="s">
        <v>3436</v>
      </c>
    </row>
    <row r="8" spans="1:7" ht="14" x14ac:dyDescent="0.15">
      <c r="A8" s="9" t="s">
        <v>3437</v>
      </c>
      <c r="B8" s="9" t="s">
        <v>3281</v>
      </c>
      <c r="C8" s="9" t="s">
        <v>3001</v>
      </c>
      <c r="D8" s="9" t="s">
        <v>3438</v>
      </c>
      <c r="E8" s="9" t="s">
        <v>1846</v>
      </c>
      <c r="F8" s="9" t="s">
        <v>3439</v>
      </c>
      <c r="G8" s="9" t="s">
        <v>3440</v>
      </c>
    </row>
    <row r="9" spans="1:7" ht="14" x14ac:dyDescent="0.15">
      <c r="A9" s="9" t="s">
        <v>1888</v>
      </c>
      <c r="B9" s="9" t="s">
        <v>3441</v>
      </c>
      <c r="C9" s="9" t="s">
        <v>3442</v>
      </c>
      <c r="D9" s="9" t="s">
        <v>3443</v>
      </c>
      <c r="E9" s="9" t="s">
        <v>1846</v>
      </c>
      <c r="F9" s="9" t="s">
        <v>3444</v>
      </c>
      <c r="G9" s="9" t="s">
        <v>3445</v>
      </c>
    </row>
    <row r="10" spans="1:7" ht="28" x14ac:dyDescent="0.15">
      <c r="A10" s="9" t="s">
        <v>39</v>
      </c>
      <c r="B10" s="9" t="s">
        <v>3446</v>
      </c>
      <c r="C10" s="9" t="s">
        <v>3447</v>
      </c>
      <c r="D10" s="9" t="s">
        <v>3448</v>
      </c>
      <c r="E10" s="9" t="s">
        <v>3449</v>
      </c>
      <c r="F10" s="9" t="s">
        <v>3450</v>
      </c>
      <c r="G10" s="9" t="s">
        <v>3451</v>
      </c>
    </row>
    <row r="11" spans="1:7" ht="14" x14ac:dyDescent="0.15">
      <c r="A11" s="9" t="s">
        <v>37</v>
      </c>
      <c r="B11" s="9" t="s">
        <v>3446</v>
      </c>
      <c r="C11" s="9" t="s">
        <v>3447</v>
      </c>
      <c r="D11" s="9" t="s">
        <v>3452</v>
      </c>
      <c r="E11" s="9" t="s">
        <v>3449</v>
      </c>
      <c r="F11" s="9" t="s">
        <v>3453</v>
      </c>
      <c r="G11" s="9" t="s">
        <v>3454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3" customWidth="1"/>
    <col min="2" max="2" width="18" customWidth="1"/>
    <col min="3" max="3" width="12" customWidth="1"/>
    <col min="4" max="4" width="16" customWidth="1"/>
    <col min="5" max="5" width="41" customWidth="1"/>
    <col min="6" max="6" width="13" customWidth="1"/>
    <col min="7" max="7" width="23" customWidth="1"/>
    <col min="8" max="8" width="12" customWidth="1"/>
    <col min="9" max="9" width="50" customWidth="1"/>
  </cols>
  <sheetData>
    <row r="1" spans="1:9" ht="14" x14ac:dyDescent="0.15">
      <c r="A1" s="8" t="s">
        <v>3455</v>
      </c>
      <c r="B1" s="8" t="s">
        <v>3456</v>
      </c>
      <c r="C1" s="8" t="s">
        <v>3457</v>
      </c>
      <c r="D1" s="8" t="s">
        <v>3458</v>
      </c>
      <c r="E1" s="8" t="s">
        <v>3459</v>
      </c>
      <c r="F1" s="8" t="s">
        <v>1567</v>
      </c>
      <c r="G1" s="8" t="s">
        <v>1566</v>
      </c>
      <c r="H1" s="8" t="s">
        <v>3311</v>
      </c>
      <c r="I1" s="8" t="s">
        <v>3460</v>
      </c>
    </row>
    <row r="2" spans="1:9" ht="14" x14ac:dyDescent="0.15">
      <c r="A2" s="9" t="s">
        <v>3461</v>
      </c>
      <c r="B2" s="9" t="s">
        <v>3462</v>
      </c>
      <c r="C2" s="9" t="s">
        <v>3463</v>
      </c>
      <c r="D2" s="9" t="s">
        <v>3464</v>
      </c>
      <c r="E2" s="9" t="s">
        <v>3465</v>
      </c>
      <c r="F2" s="9" t="s">
        <v>3466</v>
      </c>
      <c r="G2" s="9" t="s">
        <v>3467</v>
      </c>
      <c r="H2" s="9" t="s">
        <v>3</v>
      </c>
      <c r="I2" s="9" t="s">
        <v>3468</v>
      </c>
    </row>
    <row r="3" spans="1:9" ht="14" x14ac:dyDescent="0.15">
      <c r="A3" s="9" t="s">
        <v>3469</v>
      </c>
      <c r="B3" s="9" t="s">
        <v>3470</v>
      </c>
      <c r="C3" s="9" t="s">
        <v>3463</v>
      </c>
      <c r="D3" s="9" t="s">
        <v>3471</v>
      </c>
      <c r="E3" s="9" t="s">
        <v>3472</v>
      </c>
      <c r="F3" s="9" t="s">
        <v>3473</v>
      </c>
      <c r="G3" s="9" t="s">
        <v>1846</v>
      </c>
      <c r="H3" s="9" t="s">
        <v>3</v>
      </c>
      <c r="I3" s="9" t="s">
        <v>3474</v>
      </c>
    </row>
    <row r="4" spans="1:9" ht="14" x14ac:dyDescent="0.15">
      <c r="A4" s="9" t="s">
        <v>3475</v>
      </c>
      <c r="B4" s="9" t="s">
        <v>3476</v>
      </c>
      <c r="C4" s="9" t="s">
        <v>3477</v>
      </c>
      <c r="D4" s="9" t="s">
        <v>3478</v>
      </c>
      <c r="E4" s="9" t="s">
        <v>3479</v>
      </c>
      <c r="F4" s="9" t="s">
        <v>69</v>
      </c>
      <c r="G4" s="9" t="s">
        <v>1846</v>
      </c>
      <c r="H4" s="9" t="s">
        <v>3</v>
      </c>
      <c r="I4" s="9" t="s">
        <v>3480</v>
      </c>
    </row>
    <row r="5" spans="1:9" ht="14" x14ac:dyDescent="0.15">
      <c r="A5" s="9" t="s">
        <v>3481</v>
      </c>
      <c r="B5" s="9" t="s">
        <v>3482</v>
      </c>
      <c r="C5" s="9" t="s">
        <v>3483</v>
      </c>
      <c r="D5" s="9" t="s">
        <v>3484</v>
      </c>
      <c r="E5" s="9" t="s">
        <v>3485</v>
      </c>
      <c r="F5" s="9" t="s">
        <v>69</v>
      </c>
      <c r="G5" s="9" t="s">
        <v>1846</v>
      </c>
      <c r="H5" s="9" t="s">
        <v>3</v>
      </c>
      <c r="I5" s="9" t="s">
        <v>3486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34" customWidth="1"/>
    <col min="2" max="2" width="40" customWidth="1"/>
    <col min="3" max="3" width="25" customWidth="1"/>
    <col min="4" max="4" width="34" customWidth="1"/>
    <col min="5" max="5" width="24" customWidth="1"/>
    <col min="6" max="6" width="12" customWidth="1"/>
    <col min="7" max="7" width="13" customWidth="1"/>
    <col min="8" max="8" width="12" customWidth="1"/>
    <col min="9" max="9" width="23" customWidth="1"/>
  </cols>
  <sheetData>
    <row r="1" spans="1:9" ht="14" x14ac:dyDescent="0.15">
      <c r="A1" s="8" t="s">
        <v>3487</v>
      </c>
      <c r="B1" s="8" t="s">
        <v>2663</v>
      </c>
      <c r="C1" s="8" t="s">
        <v>2664</v>
      </c>
      <c r="D1" s="8" t="s">
        <v>3105</v>
      </c>
      <c r="E1" s="8" t="s">
        <v>2666</v>
      </c>
      <c r="F1" s="8" t="s">
        <v>38</v>
      </c>
      <c r="G1" s="8" t="s">
        <v>3142</v>
      </c>
      <c r="H1" s="8" t="s">
        <v>1567</v>
      </c>
      <c r="I1" s="8" t="s">
        <v>3488</v>
      </c>
    </row>
    <row r="2" spans="1:9" ht="14" x14ac:dyDescent="0.15">
      <c r="A2" s="9" t="s">
        <v>3489</v>
      </c>
      <c r="B2" s="9" t="s">
        <v>3490</v>
      </c>
      <c r="C2" s="9" t="s">
        <v>2678</v>
      </c>
      <c r="D2" s="9" t="s">
        <v>2679</v>
      </c>
      <c r="E2" s="9" t="s">
        <v>3491</v>
      </c>
      <c r="F2" s="9" t="s">
        <v>52</v>
      </c>
      <c r="G2" s="9" t="s">
        <v>20</v>
      </c>
      <c r="H2" s="9" t="s">
        <v>2673</v>
      </c>
      <c r="I2" s="9" t="s">
        <v>3492</v>
      </c>
    </row>
    <row r="3" spans="1:9" ht="14" x14ac:dyDescent="0.15">
      <c r="A3" s="9" t="s">
        <v>3493</v>
      </c>
      <c r="B3" s="9" t="s">
        <v>3494</v>
      </c>
      <c r="C3" s="9" t="s">
        <v>3495</v>
      </c>
      <c r="D3" s="9" t="s">
        <v>3496</v>
      </c>
      <c r="E3" s="9" t="s">
        <v>3497</v>
      </c>
      <c r="F3" s="9" t="s">
        <v>54</v>
      </c>
      <c r="G3" s="9" t="s">
        <v>27</v>
      </c>
      <c r="H3" s="9" t="s">
        <v>3498</v>
      </c>
      <c r="I3" s="9" t="s">
        <v>3492</v>
      </c>
    </row>
    <row r="4" spans="1:9" ht="14" x14ac:dyDescent="0.15">
      <c r="A4" s="9" t="s">
        <v>3499</v>
      </c>
      <c r="B4" s="9" t="s">
        <v>3500</v>
      </c>
      <c r="C4" s="9" t="s">
        <v>3501</v>
      </c>
      <c r="D4" s="9" t="s">
        <v>3502</v>
      </c>
      <c r="E4" s="9" t="s">
        <v>3503</v>
      </c>
      <c r="F4" s="9" t="s">
        <v>54</v>
      </c>
      <c r="G4" s="9" t="s">
        <v>27</v>
      </c>
      <c r="H4" s="9" t="s">
        <v>3498</v>
      </c>
      <c r="I4" s="9" t="s">
        <v>3492</v>
      </c>
    </row>
    <row r="5" spans="1:9" ht="14" x14ac:dyDescent="0.15">
      <c r="A5" s="9" t="s">
        <v>3504</v>
      </c>
      <c r="B5" s="9" t="s">
        <v>3505</v>
      </c>
      <c r="C5" s="9" t="s">
        <v>3506</v>
      </c>
      <c r="D5" s="9" t="s">
        <v>3507</v>
      </c>
      <c r="E5" s="9" t="s">
        <v>3508</v>
      </c>
      <c r="F5" s="9" t="s">
        <v>54</v>
      </c>
      <c r="G5" s="9" t="s">
        <v>25</v>
      </c>
      <c r="H5" s="9" t="s">
        <v>3498</v>
      </c>
      <c r="I5" s="9" t="s">
        <v>3492</v>
      </c>
    </row>
    <row r="6" spans="1:9" ht="14" x14ac:dyDescent="0.15">
      <c r="A6" s="9" t="s">
        <v>3509</v>
      </c>
      <c r="B6" s="9" t="s">
        <v>3510</v>
      </c>
      <c r="C6" s="9" t="s">
        <v>3511</v>
      </c>
      <c r="D6" s="9" t="s">
        <v>3512</v>
      </c>
      <c r="E6" s="9" t="s">
        <v>3513</v>
      </c>
      <c r="F6" s="9" t="s">
        <v>52</v>
      </c>
      <c r="G6" s="9" t="s">
        <v>23</v>
      </c>
      <c r="H6" s="9" t="s">
        <v>2673</v>
      </c>
      <c r="I6" s="9" t="s">
        <v>3492</v>
      </c>
    </row>
    <row r="7" spans="1:9" ht="14" x14ac:dyDescent="0.15">
      <c r="A7" s="9" t="s">
        <v>3514</v>
      </c>
      <c r="B7" s="9" t="s">
        <v>3515</v>
      </c>
      <c r="C7" s="9" t="s">
        <v>3516</v>
      </c>
      <c r="D7" s="9" t="s">
        <v>3517</v>
      </c>
      <c r="E7" s="9" t="s">
        <v>3518</v>
      </c>
      <c r="F7" s="9" t="s">
        <v>52</v>
      </c>
      <c r="G7" s="9" t="s">
        <v>2674</v>
      </c>
      <c r="H7" s="9" t="s">
        <v>2673</v>
      </c>
      <c r="I7" s="9" t="s">
        <v>3519</v>
      </c>
    </row>
    <row r="8" spans="1:9" ht="14" x14ac:dyDescent="0.15">
      <c r="A8" s="9" t="s">
        <v>3520</v>
      </c>
      <c r="B8" s="9" t="s">
        <v>3521</v>
      </c>
      <c r="C8" s="9" t="s">
        <v>3522</v>
      </c>
      <c r="D8" s="9" t="s">
        <v>3523</v>
      </c>
      <c r="E8" s="9" t="s">
        <v>3524</v>
      </c>
      <c r="F8" s="9" t="s">
        <v>52</v>
      </c>
      <c r="G8" s="9" t="s">
        <v>2674</v>
      </c>
      <c r="H8" s="9" t="s">
        <v>2673</v>
      </c>
      <c r="I8" s="9" t="s">
        <v>3492</v>
      </c>
    </row>
    <row r="9" spans="1:9" ht="14" x14ac:dyDescent="0.15">
      <c r="A9" s="9" t="s">
        <v>3525</v>
      </c>
      <c r="B9" s="9" t="s">
        <v>3526</v>
      </c>
      <c r="C9" s="9" t="s">
        <v>3527</v>
      </c>
      <c r="D9" s="9" t="s">
        <v>3220</v>
      </c>
      <c r="E9" s="9" t="s">
        <v>3528</v>
      </c>
      <c r="F9" s="9" t="s">
        <v>54</v>
      </c>
      <c r="G9" s="9" t="s">
        <v>2674</v>
      </c>
      <c r="H9" s="9" t="s">
        <v>3498</v>
      </c>
      <c r="I9" s="9" t="s">
        <v>3519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12" customWidth="1"/>
    <col min="3" max="3" width="13" customWidth="1"/>
    <col min="4" max="5" width="50" customWidth="1"/>
    <col min="6" max="6" width="27" customWidth="1"/>
    <col min="7" max="7" width="12" customWidth="1"/>
  </cols>
  <sheetData>
    <row r="1" spans="1:7" ht="14" x14ac:dyDescent="0.15">
      <c r="A1" s="8" t="s">
        <v>3529</v>
      </c>
      <c r="B1" s="8" t="s">
        <v>3311</v>
      </c>
      <c r="C1" s="8" t="s">
        <v>3142</v>
      </c>
      <c r="D1" s="8" t="s">
        <v>3530</v>
      </c>
      <c r="E1" s="8" t="s">
        <v>2850</v>
      </c>
      <c r="F1" s="8" t="s">
        <v>3531</v>
      </c>
      <c r="G1" s="8" t="s">
        <v>3532</v>
      </c>
    </row>
    <row r="2" spans="1:7" ht="28" x14ac:dyDescent="0.15">
      <c r="A2" s="9" t="s">
        <v>3533</v>
      </c>
      <c r="B2" s="9" t="s">
        <v>3</v>
      </c>
      <c r="C2" s="9" t="s">
        <v>17</v>
      </c>
      <c r="D2" s="9" t="s">
        <v>3534</v>
      </c>
      <c r="E2" s="9" t="s">
        <v>3535</v>
      </c>
      <c r="F2" s="9" t="s">
        <v>3536</v>
      </c>
      <c r="G2" s="9" t="s">
        <v>2301</v>
      </c>
    </row>
    <row r="3" spans="1:7" ht="14" x14ac:dyDescent="0.15">
      <c r="A3" s="9" t="s">
        <v>3533</v>
      </c>
      <c r="B3" s="9" t="s">
        <v>3</v>
      </c>
      <c r="C3" s="9" t="s">
        <v>17</v>
      </c>
      <c r="D3" s="9" t="s">
        <v>3537</v>
      </c>
      <c r="E3" s="9" t="s">
        <v>3538</v>
      </c>
      <c r="F3" s="9" t="s">
        <v>3539</v>
      </c>
      <c r="G3" s="9" t="s">
        <v>2310</v>
      </c>
    </row>
    <row r="4" spans="1:7" ht="14" x14ac:dyDescent="0.15">
      <c r="A4" s="9" t="s">
        <v>3533</v>
      </c>
      <c r="B4" s="9" t="s">
        <v>3</v>
      </c>
      <c r="C4" s="9" t="s">
        <v>17</v>
      </c>
      <c r="D4" s="9" t="s">
        <v>3540</v>
      </c>
      <c r="E4" s="9" t="s">
        <v>3541</v>
      </c>
      <c r="F4" s="9" t="s">
        <v>235</v>
      </c>
      <c r="G4" s="9" t="s">
        <v>2398</v>
      </c>
    </row>
    <row r="5" spans="1:7" ht="14" x14ac:dyDescent="0.15">
      <c r="A5" s="9" t="s">
        <v>3533</v>
      </c>
      <c r="B5" s="9" t="s">
        <v>3</v>
      </c>
      <c r="C5" s="9" t="s">
        <v>20</v>
      </c>
      <c r="D5" s="9" t="s">
        <v>3542</v>
      </c>
      <c r="E5" s="9" t="s">
        <v>3543</v>
      </c>
      <c r="F5" s="9" t="s">
        <v>49</v>
      </c>
      <c r="G5" s="9" t="s">
        <v>2310</v>
      </c>
    </row>
    <row r="6" spans="1:7" ht="14" x14ac:dyDescent="0.15">
      <c r="A6" s="9" t="s">
        <v>3533</v>
      </c>
      <c r="B6" s="9" t="s">
        <v>3</v>
      </c>
      <c r="C6" s="9" t="s">
        <v>23</v>
      </c>
      <c r="D6" s="9" t="s">
        <v>3544</v>
      </c>
      <c r="E6" s="9" t="s">
        <v>3545</v>
      </c>
      <c r="F6" s="9" t="s">
        <v>1223</v>
      </c>
      <c r="G6" s="9" t="s">
        <v>2310</v>
      </c>
    </row>
    <row r="7" spans="1:7" ht="14" x14ac:dyDescent="0.15">
      <c r="A7" s="9" t="s">
        <v>3533</v>
      </c>
      <c r="B7" s="9" t="s">
        <v>3</v>
      </c>
      <c r="C7" s="9" t="s">
        <v>2674</v>
      </c>
      <c r="D7" s="9" t="s">
        <v>3546</v>
      </c>
      <c r="E7" s="9" t="s">
        <v>3547</v>
      </c>
      <c r="F7" s="9" t="s">
        <v>3548</v>
      </c>
      <c r="G7" s="9" t="s">
        <v>2301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00_Dashboard</vt:lpstr>
      <vt:lpstr>00_Indice_Maestro</vt:lpstr>
      <vt:lpstr>README</vt:lpstr>
      <vt:lpstr>Instrucciones</vt:lpstr>
      <vt:lpstr>Proyecto</vt:lpstr>
      <vt:lpstr>Cámaras</vt:lpstr>
      <vt:lpstr>Ópticas</vt:lpstr>
      <vt:lpstr>Luces</vt:lpstr>
      <vt:lpstr>Modos_Cámara</vt:lpstr>
      <vt:lpstr>Película</vt:lpstr>
      <vt:lpstr>Auditoría</vt:lpstr>
      <vt:lpstr>Fuentes</vt:lpstr>
      <vt:lpstr>Formatos_Referencia</vt:lpstr>
      <vt:lpstr>Herramientas_Referencia</vt:lpstr>
      <vt:lpstr>Mapa_Sistema</vt:lpstr>
      <vt:lpstr>Flujo_Eleccion</vt:lpstr>
      <vt:lpstr>Fuentes_Informacion</vt:lpstr>
      <vt:lpstr>Control_Datos</vt:lpstr>
      <vt:lpstr>Funciones_Futuras</vt:lpstr>
      <vt:lpstr>Pendientes_Investigacion</vt:lpstr>
      <vt:lpstr>Nuevas_Pantallas</vt:lpstr>
      <vt:lpstr>Campos_Tecnicos_Futuros</vt:lpstr>
      <vt:lpstr>Fase_2_Ideas</vt:lpstr>
      <vt:lpstr>Fase_2_Investigacion</vt:lpstr>
      <vt:lpstr>Arquitectura_Dependencias</vt:lpstr>
      <vt:lpstr>Verificacion_Fase_1</vt:lpstr>
      <vt:lpstr>Leyenda_Verificacion</vt:lpstr>
      <vt:lpstr>Fuentes_Fase_1</vt:lpstr>
      <vt:lpstr>01_Matriz_Verificacion</vt:lpstr>
      <vt:lpstr>02_Registro_Fuentes</vt:lpstr>
      <vt:lpstr>03_Diccionario_Campos</vt:lpstr>
      <vt:lpstr>04_Compatibilidad</vt:lpstr>
      <vt:lpstr>05_Backlog_Funciones</vt:lpstr>
      <vt:lpstr>06_Changelog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IRIS DP — Lista de material técnico v1.1</dc:title>
  <dc:creator>IRIS DP</dc:creator>
  <cp:lastModifiedBy>Daniel Diaz</cp:lastModifiedBy>
  <dcterms:created xsi:type="dcterms:W3CDTF">2026-08-02T22:42:24Z</dcterms:created>
  <dcterms:modified xsi:type="dcterms:W3CDTF">2026-08-10T10:12:41Z</dcterms:modified>
</cp:coreProperties>
</file>