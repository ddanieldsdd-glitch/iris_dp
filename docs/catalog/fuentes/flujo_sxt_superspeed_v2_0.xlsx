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ambios_v2_0" sheetId="1" state="visible" r:id="rId3"/>
    <sheet name="00_Control" sheetId="2" state="visible" r:id="rId4"/>
    <sheet name="01_Regresion" sheetId="3" state="visible" r:id="rId5"/>
    <sheet name="02_Bugs" sheetId="4" state="visible" r:id="rId6"/>
    <sheet name="03_Mapa_Cambios" sheetId="5" state="visible" r:id="rId7"/>
    <sheet name="04_No_Perder_Datos" sheetId="6" state="visible" r:id="rId8"/>
    <sheet name="05_Plan_Reconstruccion" sheetId="7" state="visible" r:id="rId9"/>
    <sheet name="06_Checklist_XLSX" sheetId="8" state="visible" r:id="rId10"/>
    <sheet name="07_Modelo_Optico_Futuro" sheetId="9" state="visible" r:id="rId11"/>
    <sheet name="08_Camaras_Faltantes" sheetId="10" state="visible" r:id="rId12"/>
    <sheet name="09_Gates_Modos" sheetId="11" state="visible" r:id="rId13"/>
    <sheet name="10_Diagnostico_Master" sheetId="12" state="visible" r:id="rId14"/>
    <sheet name="11_Procedimiento_Modos" sheetId="13" state="visible" r:id="rId15"/>
    <sheet name="12_Fuentes" sheetId="14" state="visible" r:id="rId16"/>
    <sheet name="13_SXT_Camara" sheetId="15" state="visible" r:id="rId17"/>
    <sheet name="14_SXT_Modos" sheetId="16" state="visible" r:id="rId18"/>
    <sheet name="15_SXT_Almacenamiento" sheetId="17" state="visible" r:id="rId19"/>
    <sheet name="16_Volcado_Calculadora" sheetId="18" state="visible" r:id="rId20"/>
    <sheet name="17_Opticas_SuperSpeed" sheetId="19" state="visible" r:id="rId21"/>
    <sheet name="18_Cobertura_SXT_SuperSpeed" sheetId="20" state="visible" r:id="rId22"/>
    <sheet name="19_Flujo_IRIS_DP" sheetId="21" state="visible" r:id="rId23"/>
  </sheets>
  <definedNames>
    <definedName function="false" hidden="true" localSheetId="0" name="_xlnm._FilterDatabase" vbProcedure="false">00_Cambios_v2_0!$A$1:$H$14</definedName>
    <definedName function="false" hidden="true" localSheetId="1" name="_xlnm._FilterDatabase" vbProcedure="false">00_Control!$A$1:$C$15</definedName>
    <definedName function="false" hidden="true" localSheetId="2" name="_xlnm._FilterDatabase" vbProcedure="false">01_Regresion!$A$1:$G$8</definedName>
    <definedName function="false" hidden="true" localSheetId="3" name="_xlnm._FilterDatabase" vbProcedure="false">02_Bugs!$A$1:$I$12</definedName>
    <definedName function="false" hidden="true" localSheetId="4" name="_xlnm._FilterDatabase" vbProcedure="false">03_Mapa_Cambios!$A$1:$E$6</definedName>
    <definedName function="false" hidden="true" localSheetId="5" name="_xlnm._FilterDatabase" vbProcedure="false">04_No_Perder_Datos!$A$1:$D$9</definedName>
    <definedName function="false" hidden="true" localSheetId="6" name="_xlnm._FilterDatabase" vbProcedure="false">05_Plan_Reconstruccion!$A$1:$D$11</definedName>
    <definedName function="false" hidden="true" localSheetId="7" name="_xlnm._FilterDatabase" vbProcedure="false">06_Checklist_XLSX!$A$1:$D$11</definedName>
    <definedName function="false" hidden="true" localSheetId="8" name="_xlnm._FilterDatabase" vbProcedure="false">07_Modelo_Optico_Futuro!$A$1:$D$12</definedName>
    <definedName function="false" hidden="true" localSheetId="9" name="_xlnm._FilterDatabase" vbProcedure="false">08_Camaras_Faltantes!$A$1:$O$5</definedName>
    <definedName function="false" hidden="true" localSheetId="10" name="_xlnm._FilterDatabase" vbProcedure="false">09_Gates_Modos!$A$1:$U$59</definedName>
    <definedName function="false" hidden="true" localSheetId="11" name="_xlnm._FilterDatabase" vbProcedure="false">10_Diagnostico_Master!$A$1:$H$6</definedName>
    <definedName function="false" hidden="true" localSheetId="12" name="_xlnm._FilterDatabase" vbProcedure="false">11_Procedimiento_Modos!$A$1:$D$11</definedName>
    <definedName function="false" hidden="true" localSheetId="13" name="_xlnm._FilterDatabase" vbProcedure="false">12_Fuentes!$A$1:$G$17</definedName>
    <definedName function="false" hidden="true" localSheetId="14" name="_xlnm._FilterDatabase" vbProcedure="false">13_SXT_Camara!$A$1:$F$17</definedName>
    <definedName function="false" hidden="true" localSheetId="15" name="_xlnm._FilterDatabase" vbProcedure="false">14_SXT_Modos!$A$1:$V$15</definedName>
    <definedName function="false" hidden="true" localSheetId="16" name="_xlnm._FilterDatabase" vbProcedure="false">15_SXT_Almacenamiento!$A$10:$L$51</definedName>
    <definedName function="false" hidden="true" localSheetId="18" name="_xlnm._FilterDatabase" vbProcedure="false">17_Opticas_SuperSpeed!$A$1:$V$6</definedName>
    <definedName function="false" hidden="true" localSheetId="19" name="_xlnm._FilterDatabase" vbProcedure="false">18_Cobertura_SXT_SuperSpeed!$A$1:$I$15</definedName>
    <definedName function="false" hidden="true" localSheetId="20" name="_xlnm._FilterDatabase" vbProcedure="false">19_Flujo_IRIS_DP!$A$1:$F$9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<sst xmlns="http://schemas.openxmlformats.org/spreadsheetml/2006/main" count="1911" uniqueCount="1068">
  <si>
    <t xml:space="preserve">Nº</t>
  </si>
  <si>
    <t xml:space="preserve">Versión</t>
  </si>
  <si>
    <t xml:space="preserve">Fecha</t>
  </si>
  <si>
    <t xml:space="preserve">Hoja</t>
  </si>
  <si>
    <t xml:space="preserve">Tipo</t>
  </si>
  <si>
    <t xml:space="preserve">Cambio</t>
  </si>
  <si>
    <t xml:space="preserve">Motivo</t>
  </si>
  <si>
    <t xml:space="preserve">Fuentes</t>
  </si>
  <si>
    <t xml:space="preserve">v1.8 auditoría + ampliación</t>
  </si>
  <si>
    <t xml:space="preserve">2026-10-03</t>
  </si>
  <si>
    <t xml:space="preserve">08_Camaras_Faltantes</t>
  </si>
  <si>
    <t xml:space="preserve">Nueva</t>
  </si>
  <si>
    <t xml:space="preserve">Alta de ALEXA 35 Xtreme, PYXIS 6K PL, URSA Cine 17K 65 y URSA Cine 12K LF con sensor, pitch y montura</t>
  </si>
  <si>
    <t xml:space="preserve">9 modos huérfanos en el master</t>
  </si>
  <si>
    <t xml:space="preserve">F01–F06</t>
  </si>
  <si>
    <t xml:space="preserve">09_Gates_Modos</t>
  </si>
  <si>
    <t xml:space="preserve">58 modos con gate (11 fabricante, 32 calculados, 15 pendientes)</t>
  </si>
  <si>
    <t xml:space="preserve">11 modos Blackmagic sin gate</t>
  </si>
  <si>
    <t xml:space="preserve">10, 11</t>
  </si>
  <si>
    <t xml:space="preserve">Diagnóstico del master y procedimiento de corrección de Modos_Cámara</t>
  </si>
  <si>
    <t xml:space="preserve">Escalera desde fila 57, índice 252 vs ~70, squeeze en esféricas</t>
  </si>
  <si>
    <t xml:space="preserve">—</t>
  </si>
  <si>
    <t xml:space="preserve">02_Bugs</t>
  </si>
  <si>
    <t xml:space="preserve">Ampliada</t>
  </si>
  <si>
    <t xml:space="preserve">XLSX-008 a XLSX-011</t>
  </si>
  <si>
    <t xml:space="preserve">Registrar los 4 problemas</t>
  </si>
  <si>
    <t xml:space="preserve">IRIS_DP_v2_0_FLUJO_SXT_SUPERSPEED</t>
  </si>
  <si>
    <t xml:space="preserve">Nombre de archivo / 00_Control</t>
  </si>
  <si>
    <t xml:space="preserve">Renombrado</t>
  </si>
  <si>
    <t xml:space="preserve">Nuevo nombre: IRIS_DP_v2_0_FLUJO_SXT_SUPERSPEED. Se salta a v2.0 para no confundir con v1.9–v1.12 (línea con aviso de reparación)</t>
  </si>
  <si>
    <t xml:space="preserve">Petición del usuario + regla de 00_Control</t>
  </si>
  <si>
    <t xml:space="preserve">13_SXT_Camara</t>
  </si>
  <si>
    <t xml:space="preserve">Ficha ARRI ALEXA SXT: sensor ALEV III 28,25 x 18,17 mm, pitch 8,25 µm, PL, códecs, medios, FPS por modo, salidas, peso</t>
  </si>
  <si>
    <t xml:space="preserve">Perfeccionar la SXT para el flujo cámara → óptica</t>
  </si>
  <si>
    <t xml:space="preserve">F07–F10</t>
  </si>
  <si>
    <t xml:space="preserve">14_SXT_Modos</t>
  </si>
  <si>
    <t xml:space="preserve">14 formatos de grabación (16:9, 6:5, 4:3, Open Gate) con área de sensor, gate en mm, diagonal, aspecto, FPS y uso ARRI. Gate validado con fórmula photosites × pitch</t>
  </si>
  <si>
    <t xml:space="preserve">Saber qué área del sensor usa cada formato</t>
  </si>
  <si>
    <t xml:space="preserve">F08–F11</t>
  </si>
  <si>
    <t xml:space="preserve">15_SXT_Almacenamiento</t>
  </si>
  <si>
    <t xml:space="preserve">6 medios (SXR 1/2 TB, XR 512 GB, CFast 2.0, SxS) con adaptador, códecs, RAID y dock + 41 combinaciones formato/códec con tiempo por medio a 24 fps y tasa de datos calculada</t>
  </si>
  <si>
    <t xml:space="preserve">Averiguar el volcado</t>
  </si>
  <si>
    <t xml:space="preserve">F08; F10; F12; F13</t>
  </si>
  <si>
    <t xml:space="preserve">16_Volcado_Calculadora</t>
  </si>
  <si>
    <t xml:space="preserve">Calculadora: formato + medio + minutos/jornada → GB/jornada, cargadores, horas de volcado y TB totales con copias</t>
  </si>
  <si>
    <t xml:space="preserve">Planificar DIT / volcado</t>
  </si>
  <si>
    <t xml:space="preserve">F10; F12</t>
  </si>
  <si>
    <t xml:space="preserve">17_Opticas_SuperSpeed</t>
  </si>
  <si>
    <t xml:space="preserve">Set ZEISS Super Speed MKII de NAPALM: focales, versión MK I/MK II, enfoque mínimo, peso, palas e image circle medido a T1.3 y T16</t>
  </si>
  <si>
    <t xml:space="preserve">Óptica del flujo de prueba</t>
  </si>
  <si>
    <t xml:space="preserve">F14–F16</t>
  </si>
  <si>
    <t xml:space="preserve">18_Cobertura_SXT_SuperSpeed</t>
  </si>
  <si>
    <t xml:space="preserve">Matriz 14 modos × 5 focales con semáforo CUBRE / LÍMITE / RIESGO / VIÑETEA (fórmulas vivas)</t>
  </si>
  <si>
    <t xml:space="preserve">Validar cámara + óptica</t>
  </si>
  <si>
    <t xml:space="preserve">14 + 17</t>
  </si>
  <si>
    <t xml:space="preserve">19_Flujo_IRIS_DP</t>
  </si>
  <si>
    <t xml:space="preserve">Flujo de la app en 8 pasos: cámara → modo → óptica → cobertura → avisos → códec/medio → volcado → trazabilidad</t>
  </si>
  <si>
    <t xml:space="preserve">Definir el flujo de IRIS DP</t>
  </si>
  <si>
    <t xml:space="preserve">12_Fuentes</t>
  </si>
  <si>
    <t xml:space="preserve">F07–F16 añadidas; nuevas columnas Tipo de fuente y Fiabilidad</t>
  </si>
  <si>
    <t xml:space="preserve">Poder corroborar cada dato</t>
  </si>
  <si>
    <t xml:space="preserve">IRIS DP — CONTROL DE REGRESIÓN Y RECONSTRUCCIÓN</t>
  </si>
  <si>
    <t xml:space="preserve">Documento</t>
  </si>
  <si>
    <t xml:space="preserve">Base sana confirmada por usuario</t>
  </si>
  <si>
    <t xml:space="preserve">v1.8 — abre correctamente en Microsoft Excel para macOS</t>
  </si>
  <si>
    <t xml:space="preserve">Objetivo</t>
  </si>
  <si>
    <t xml:space="preserve">Localizar el primer cambio que provoca el aviso de reparación y preparar una reconstrucción segura.</t>
  </si>
  <si>
    <t xml:space="preserve">Regla</t>
  </si>
  <si>
    <t xml:space="preserve">NO modificar la v1.8 original. NO parchear v1.11/v1.12 hasta identificar el origen.</t>
  </si>
  <si>
    <t xml:space="preserve">Fecha de auditoría</t>
  </si>
  <si>
    <t xml:space="preserve">2026-08-10</t>
  </si>
  <si>
    <t xml:space="preserve">Estado de versiones</t>
  </si>
  <si>
    <t xml:space="preserve">Resultado en Excel Mac</t>
  </si>
  <si>
    <t xml:space="preserve">Uso</t>
  </si>
  <si>
    <t xml:space="preserve">v1.8</t>
  </si>
  <si>
    <t xml:space="preserve">CONFIRMADO: abre</t>
  </si>
  <si>
    <t xml:space="preserve">MASTER SANO / referencia</t>
  </si>
  <si>
    <t xml:space="preserve">v1.9</t>
  </si>
  <si>
    <t xml:space="preserve">PENDIENTE de prueba directa</t>
  </si>
  <si>
    <t xml:space="preserve">Regresión</t>
  </si>
  <si>
    <t xml:space="preserve">v1.10</t>
  </si>
  <si>
    <t xml:space="preserve">v1.11</t>
  </si>
  <si>
    <t xml:space="preserve">CONFIRMADO: falla</t>
  </si>
  <si>
    <t xml:space="preserve">Versión problemática</t>
  </si>
  <si>
    <t xml:space="preserve">v1.12</t>
  </si>
  <si>
    <t xml:space="preserve">No continuar sobre ella</t>
  </si>
  <si>
    <t xml:space="preserve">Ampliación</t>
  </si>
  <si>
    <t xml:space="preserve">2026-10-03: diagnóstico del master + datos confirmados de cámaras/modos (hojas 08–12)</t>
  </si>
  <si>
    <t xml:space="preserve">Apoyo a reconstrucción</t>
  </si>
  <si>
    <t xml:space="preserve">Versión actual</t>
  </si>
  <si>
    <t xml:space="preserve">IRIS_DP_v2_0_FLUJO_SXT_SUPERSPEED (2026-10-03) — ver 00_Cambios_v2_0</t>
  </si>
  <si>
    <t xml:space="preserve">Línea nueva: no deriva de v1.9–v1.12</t>
  </si>
  <si>
    <t xml:space="preserve">ID</t>
  </si>
  <si>
    <t xml:space="preserve">Transición</t>
  </si>
  <si>
    <t xml:space="preserve">Cambio detectado</t>
  </si>
  <si>
    <t xml:space="preserve">Evidencia</t>
  </si>
  <si>
    <t xml:space="preserve">Estado</t>
  </si>
  <si>
    <t xml:space="preserve">Prioridad</t>
  </si>
  <si>
    <t xml:space="preserve">Próxima prueba</t>
  </si>
  <si>
    <t xml:space="preserve">REG-001</t>
  </si>
  <si>
    <t xml:space="preserve">v1.8 → v1.9</t>
  </si>
  <si>
    <t xml:space="preserve">Se añaden 4 hojas: 07,08,09,10</t>
  </si>
  <si>
    <t xml:space="preserve">Solo hojas nuevas + Dashboard cambia encabezado</t>
  </si>
  <si>
    <t xml:space="preserve">Pendiente de aislar</t>
  </si>
  <si>
    <t xml:space="preserve">Alta</t>
  </si>
  <si>
    <t xml:space="preserve">Comparar v1.9 y probar apertura</t>
  </si>
  <si>
    <t xml:space="preserve">REG-002</t>
  </si>
  <si>
    <t xml:space="preserve">v1.9 → v1.10</t>
  </si>
  <si>
    <t xml:space="preserve">Se añaden 11_Laboratorio_Optico y 12_Diccionario_Opticas</t>
  </si>
  <si>
    <t xml:space="preserve">Ópticas pasa de 33 a 51 columnas</t>
  </si>
  <si>
    <t xml:space="preserve">Crítica</t>
  </si>
  <si>
    <t xml:space="preserve">Aislar hojas nuevas vs ampliación de Ópticas</t>
  </si>
  <si>
    <t xml:space="preserve">REG-003</t>
  </si>
  <si>
    <t xml:space="preserve">v1.10 → v1.11</t>
  </si>
  <si>
    <t xml:space="preserve">Ópticas pasa de 51 a 69 columnas</t>
  </si>
  <si>
    <t xml:space="preserve">Se añaden vignetting/portholing/telecentricidad/test</t>
  </si>
  <si>
    <t xml:space="preserve">Candidato fuerte</t>
  </si>
  <si>
    <t xml:space="preserve">Aislar ampliación de Ópticas</t>
  </si>
  <si>
    <t xml:space="preserve">REG-004</t>
  </si>
  <si>
    <t xml:space="preserve">Cámaras pasa de 39 a 46 columnas</t>
  </si>
  <si>
    <t xml:space="preserve">Se añaden 7 campos CoC</t>
  </si>
  <si>
    <t xml:space="preserve">Candidato</t>
  </si>
  <si>
    <t xml:space="preserve">Aislar ampliación de Cámaras</t>
  </si>
  <si>
    <t xml:space="preserve">REG-005</t>
  </si>
  <si>
    <t xml:space="preserve">Modos_Cámara pasa de 26 a 33 columnas</t>
  </si>
  <si>
    <t xml:space="preserve">Se añaden 7 campos CoC/cobertura</t>
  </si>
  <si>
    <t xml:space="preserve">Aislar ampliación de Modos_Cámara</t>
  </si>
  <si>
    <t xml:space="preserve">REG-006</t>
  </si>
  <si>
    <t xml:space="preserve">Se añaden 13_Contraste_Fuentes_Opticas y 14_Laboratorio_Logica_App</t>
  </si>
  <si>
    <t xml:space="preserve">Dos hojas nuevas</t>
  </si>
  <si>
    <t xml:space="preserve">Aislar hojas nuevas</t>
  </si>
  <si>
    <t xml:space="preserve">REG-007</t>
  </si>
  <si>
    <t xml:space="preserve">v1.8 → posteriores</t>
  </si>
  <si>
    <t xml:space="preserve">Dashboard cambia Columna1 → None en v1.9</t>
  </si>
  <si>
    <t xml:space="preserve">Encabezado None detectado</t>
  </si>
  <si>
    <t xml:space="preserve">Defecto estructural heredado</t>
  </si>
  <si>
    <t xml:space="preserve">Media</t>
  </si>
  <si>
    <t xml:space="preserve">Normalizar en reconstrucción, no parchear aún</t>
  </si>
  <si>
    <t xml:space="preserve">Versión detectada</t>
  </si>
  <si>
    <t xml:space="preserve">Componente</t>
  </si>
  <si>
    <t xml:space="preserve">Descripción</t>
  </si>
  <si>
    <t xml:space="preserve">Gravedad</t>
  </si>
  <si>
    <t xml:space="preserve">Evidencia / referencia</t>
  </si>
  <si>
    <t xml:space="preserve">Solución propuesta</t>
  </si>
  <si>
    <t xml:space="preserve">¿Corregir ahora?</t>
  </si>
  <si>
    <t xml:space="preserve">XLSX-001</t>
  </si>
  <si>
    <t xml:space="preserve">v1.9+</t>
  </si>
  <si>
    <t xml:space="preserve">00_Dashboard</t>
  </si>
  <si>
    <t xml:space="preserve">Columna/encabezado con valor None</t>
  </si>
  <si>
    <t xml:space="preserve">Estructura</t>
  </si>
  <si>
    <t xml:space="preserve">v1.9 cambia Columna1 por None</t>
  </si>
  <si>
    <t xml:space="preserve">Usar encabezado explícito y único</t>
  </si>
  <si>
    <t xml:space="preserve">NO — primero regresión</t>
  </si>
  <si>
    <t xml:space="preserve">XLSX-002</t>
  </si>
  <si>
    <t xml:space="preserve">v1.10+</t>
  </si>
  <si>
    <t xml:space="preserve">Ópticas</t>
  </si>
  <si>
    <t xml:space="preserve">Rango de autofiltro no acompaña todas las columnas/filas añadidas</t>
  </si>
  <si>
    <t xml:space="preserve">Hoja llega a BQ mientras filtro histórico queda más corto</t>
  </si>
  <si>
    <t xml:space="preserve">Definir rango de tabla/filtro de forma consistente</t>
  </si>
  <si>
    <t xml:space="preserve">NO — reconstrucción</t>
  </si>
  <si>
    <t xml:space="preserve">XLSX-003</t>
  </si>
  <si>
    <t xml:space="preserve">18 campos ópticos nuevos añadidos directamente a hoja principal</t>
  </si>
  <si>
    <t xml:space="preserve">Arquitectura</t>
  </si>
  <si>
    <t xml:space="preserve">51 → 69 columnas</t>
  </si>
  <si>
    <t xml:space="preserve">Separar catálogo, evidencia y laboratorio mediante modelo controlado</t>
  </si>
  <si>
    <t xml:space="preserve">NO — rediseño</t>
  </si>
  <si>
    <t xml:space="preserve">XLSX-004</t>
  </si>
  <si>
    <t xml:space="preserve">Cámaras</t>
  </si>
  <si>
    <t xml:space="preserve">Campos CoC añadidos al catálogo principal</t>
  </si>
  <si>
    <t xml:space="preserve">39 → 46 columnas</t>
  </si>
  <si>
    <t xml:space="preserve">Mantener CoC como dato de modo/sensor con fuente y contexto</t>
  </si>
  <si>
    <t xml:space="preserve">XLSX-005</t>
  </si>
  <si>
    <t xml:space="preserve">Modos_Cámara</t>
  </si>
  <si>
    <t xml:space="preserve">Campos CoC/cobertura añadidos</t>
  </si>
  <si>
    <t xml:space="preserve">26 → 33 columnas</t>
  </si>
  <si>
    <t xml:space="preserve">Modelo relacional material→cámara→modo</t>
  </si>
  <si>
    <t xml:space="preserve">XLSX-006</t>
  </si>
  <si>
    <t xml:space="preserve">v1.7+</t>
  </si>
  <si>
    <t xml:space="preserve">Comentarios/VML</t>
  </si>
  <si>
    <t xml:space="preserve">Existen comentarios legacy/VML</t>
  </si>
  <si>
    <t xml:space="preserve">Compatibilidad</t>
  </si>
  <si>
    <t xml:space="preserve">4 comentarios detectados</t>
  </si>
  <si>
    <t xml:space="preserve">No depender de comentarios para datos críticos</t>
  </si>
  <si>
    <t xml:space="preserve">NO — revisar al final</t>
  </si>
  <si>
    <t xml:space="preserve">XLSX-007</t>
  </si>
  <si>
    <t xml:space="preserve">Proceso de generación</t>
  </si>
  <si>
    <t xml:space="preserve">Regrabación amplia del workbook aumenta superficie de incompatibilidad</t>
  </si>
  <si>
    <t xml:space="preserve">Proceso</t>
  </si>
  <si>
    <t xml:space="preserve">Muchas partes internas cambian entre versiones</t>
  </si>
  <si>
    <t xml:space="preserve">Generación controlada + validación + master inmutable</t>
  </si>
  <si>
    <t xml:space="preserve">SÍ — como regla de proceso</t>
  </si>
  <si>
    <t xml:space="preserve">XLSX-008</t>
  </si>
  <si>
    <t xml:space="preserve">Pendiente</t>
  </si>
  <si>
    <t xml:space="preserve">Desde la fila 57 los valores de cada modo están en escalera (una fila por valor)</t>
  </si>
  <si>
    <t xml:space="preserve">Datos</t>
  </si>
  <si>
    <t xml:space="preserve">Script recompone 13 modos</t>
  </si>
  <si>
    <t xml:space="preserve">Recomponer según 11_Procedimiento_Modos</t>
  </si>
  <si>
    <t xml:space="preserve">SÍ — en copia del master</t>
  </si>
  <si>
    <t xml:space="preserve">XLSX-009</t>
  </si>
  <si>
    <t xml:space="preserve">Índice</t>
  </si>
  <si>
    <t xml:space="preserve">Índice cuenta 252 modos; reales ~70 y solo 23 con gate</t>
  </si>
  <si>
    <t xml:space="preserve">10_Diagnostico_Master DX-002</t>
  </si>
  <si>
    <t xml:space="preserve">Contador con fórmula sobre la hoja</t>
  </si>
  <si>
    <t xml:space="preserve">SÍ</t>
  </si>
  <si>
    <t xml:space="preserve">XLSX-010</t>
  </si>
  <si>
    <t xml:space="preserve">Modos_Cámara / Cámaras</t>
  </si>
  <si>
    <t xml:space="preserve">11 modos BMD sin gate y 9 modos huérfanos (3 cámaras no dadas de alta)</t>
  </si>
  <si>
    <t xml:space="preserve">Integridad</t>
  </si>
  <si>
    <t xml:space="preserve">08_Camaras_Faltantes; 09_Gates_Modos</t>
  </si>
  <si>
    <t xml:space="preserve">Alta de cámaras + volcado de gates con fuente</t>
  </si>
  <si>
    <t xml:space="preserve">SÍ — datos ya preparados</t>
  </si>
  <si>
    <t xml:space="preserve">XLSX-011</t>
  </si>
  <si>
    <t xml:space="preserve">56 ópticas esféricas con squeeze</t>
  </si>
  <si>
    <t xml:space="preserve">Regla 04_No_Perder_Datos</t>
  </si>
  <si>
    <t xml:space="preserve">Vaciar (no 1x) + validación condicionada</t>
  </si>
  <si>
    <t xml:space="preserve">Nuevas hojas</t>
  </si>
  <si>
    <t xml:space="preserve">Cambios de columnas relevantes</t>
  </si>
  <si>
    <t xml:space="preserve">Objetivo original</t>
  </si>
  <si>
    <t xml:space="preserve">Riesgo a investigar</t>
  </si>
  <si>
    <t xml:space="preserve">Base confirmada sana</t>
  </si>
  <si>
    <t xml:space="preserve">Fase 2 estudio</t>
  </si>
  <si>
    <t xml:space="preserve">Referencia</t>
  </si>
  <si>
    <t xml:space="preserve">07_Control_Fase; 08_Candidatos_Material; 09_Reglas_Calidad; 10_Funciones_Dependencias</t>
  </si>
  <si>
    <t xml:space="preserve">00_Dashboard: Columna1 → None</t>
  </si>
  <si>
    <t xml:space="preserve">Control y evolución</t>
  </si>
  <si>
    <t xml:space="preserve">Medio</t>
  </si>
  <si>
    <t xml:space="preserve">11_Laboratorio_Optico; 12_Diccionario_Opticas</t>
  </si>
  <si>
    <t xml:space="preserve">Ópticas: 33 → 51</t>
  </si>
  <si>
    <t xml:space="preserve">Cobertura / laboratorio</t>
  </si>
  <si>
    <t xml:space="preserve">Alto</t>
  </si>
  <si>
    <t xml:space="preserve">13_Contraste_Fuentes_Opticas; 14_Laboratorio_Logica_App</t>
  </si>
  <si>
    <t xml:space="preserve">Ópticas: 51 → 69; Cámaras: 39 → 46; Modos: 26 → 33</t>
  </si>
  <si>
    <t xml:space="preserve">CoC + viñeteo + portholing + laboratorio</t>
  </si>
  <si>
    <t xml:space="preserve">Muy alto</t>
  </si>
  <si>
    <t xml:space="preserve">15_Fase_4_Geometria_Optica; 16_Matriz_Cobertura; 17_Contraste_Conceptos_Optica</t>
  </si>
  <si>
    <t xml:space="preserve">Nuevas matrices y fórmulas</t>
  </si>
  <si>
    <t xml:space="preserve">Geometría óptica</t>
  </si>
  <si>
    <t xml:space="preserve">NO usar como base hasta resolver regresión</t>
  </si>
  <si>
    <t xml:space="preserve">Bloque</t>
  </si>
  <si>
    <t xml:space="preserve">Datos a conservar</t>
  </si>
  <si>
    <t xml:space="preserve">Tratamiento futuro</t>
  </si>
  <si>
    <t xml:space="preserve">Clasificación óptica</t>
  </si>
  <si>
    <t xml:space="preserve">Esférica / Anamórfica</t>
  </si>
  <si>
    <t xml:space="preserve">Campo base obligatorio</t>
  </si>
  <si>
    <t xml:space="preserve">Conservar</t>
  </si>
  <si>
    <t xml:space="preserve">Anamórficas</t>
  </si>
  <si>
    <t xml:space="preserve">Squeeze</t>
  </si>
  <si>
    <t xml:space="preserve">Solo aplica a anamórficas; no inventar 1x en esféricas</t>
  </si>
  <si>
    <t xml:space="preserve">Cobertura</t>
  </si>
  <si>
    <t xml:space="preserve">Image circle / Image area / Illumination area</t>
  </si>
  <si>
    <t xml:space="preserve">Separar conceptos y guardar unidad + fuente</t>
  </si>
  <si>
    <t xml:space="preserve">Iluminación</t>
  </si>
  <si>
    <t xml:space="preserve">Viñeteo / shading</t>
  </si>
  <si>
    <t xml:space="preserve">Guardar condición y evidencia</t>
  </si>
  <si>
    <t xml:space="preserve">Portholing</t>
  </si>
  <si>
    <t xml:space="preserve">Estado + condición + fuente</t>
  </si>
  <si>
    <t xml:space="preserve">No asumir ausencia si no está documentado</t>
  </si>
  <si>
    <t xml:space="preserve">CoC</t>
  </si>
  <si>
    <t xml:space="preserve">Valor + contexto + fuente</t>
  </si>
  <si>
    <t xml:space="preserve">Asociar a cámara/modo/criterio, no a lente como propiedad fija</t>
  </si>
  <si>
    <t xml:space="preserve">Laboratorio</t>
  </si>
  <si>
    <t xml:space="preserve">Test de cobertura real</t>
  </si>
  <si>
    <t xml:space="preserve">Separar cálculo de observación</t>
  </si>
  <si>
    <t xml:space="preserve">URL + fecha + ubicación</t>
  </si>
  <si>
    <t xml:space="preserve">Trazabilidad obligatoria</t>
  </si>
  <si>
    <t xml:space="preserve">Paso</t>
  </si>
  <si>
    <t xml:space="preserve">Acción</t>
  </si>
  <si>
    <t xml:space="preserve">Criterio de aceptación</t>
  </si>
  <si>
    <t xml:space="preserve">1</t>
  </si>
  <si>
    <t xml:space="preserve">Mantener v1.8 intacta</t>
  </si>
  <si>
    <t xml:space="preserve">Garantizar recuperación</t>
  </si>
  <si>
    <t xml:space="preserve">Archivo original no modificado</t>
  </si>
  <si>
    <t xml:space="preserve">2</t>
  </si>
  <si>
    <t xml:space="preserve">Probar v1.9 en Excel Mac</t>
  </si>
  <si>
    <t xml:space="preserve">Determinar si regresión aparece aquí</t>
  </si>
  <si>
    <t xml:space="preserve">Resultado registrado</t>
  </si>
  <si>
    <t xml:space="preserve">3</t>
  </si>
  <si>
    <t xml:space="preserve">Probar v1.10 en Excel Mac</t>
  </si>
  <si>
    <t xml:space="preserve">Acotar regresión</t>
  </si>
  <si>
    <t xml:space="preserve">4</t>
  </si>
  <si>
    <t xml:space="preserve">Aislar cambios v1.9</t>
  </si>
  <si>
    <t xml:space="preserve">Identificar componente culpable</t>
  </si>
  <si>
    <t xml:space="preserve">Prueba individual</t>
  </si>
  <si>
    <t xml:space="preserve">5</t>
  </si>
  <si>
    <t xml:space="preserve">Aislar cambios v1.10</t>
  </si>
  <si>
    <t xml:space="preserve">6</t>
  </si>
  <si>
    <t xml:space="preserve">Aislar cambios v1.11</t>
  </si>
  <si>
    <t xml:space="preserve">7</t>
  </si>
  <si>
    <t xml:space="preserve">Definir modelo maestro</t>
  </si>
  <si>
    <t xml:space="preserve">Separar catálogo/evidencia/laboratorio</t>
  </si>
  <si>
    <t xml:space="preserve">Diccionario aprobado</t>
  </si>
  <si>
    <t xml:space="preserve">8</t>
  </si>
  <si>
    <t xml:space="preserve">Reconstruir desde v1.8</t>
  </si>
  <si>
    <t xml:space="preserve">No heredar estructuras problemáticas</t>
  </si>
  <si>
    <t xml:space="preserve">Datos preservados</t>
  </si>
  <si>
    <t xml:space="preserve">9</t>
  </si>
  <si>
    <t xml:space="preserve">Validar XLSX</t>
  </si>
  <si>
    <t xml:space="preserve">Evitar reparación de Excel</t>
  </si>
  <si>
    <t xml:space="preserve">Excel Mac abre sin aviso</t>
  </si>
  <si>
    <t xml:space="preserve">10</t>
  </si>
  <si>
    <t xml:space="preserve">Reincorporar datos técnicos por fases</t>
  </si>
  <si>
    <t xml:space="preserve">No perder investigación</t>
  </si>
  <si>
    <t xml:space="preserve">Cada fase pasa control</t>
  </si>
  <si>
    <t xml:space="preserve">Control</t>
  </si>
  <si>
    <t xml:space="preserve">Qué se comprobará</t>
  </si>
  <si>
    <t xml:space="preserve">Estado actual</t>
  </si>
  <si>
    <t xml:space="preserve">Resultado esperado</t>
  </si>
  <si>
    <t xml:space="preserve">ZIP/XML</t>
  </si>
  <si>
    <t xml:space="preserve">Todas las partes XML bien formadas</t>
  </si>
  <si>
    <t xml:space="preserve">OK en análisis interno</t>
  </si>
  <si>
    <t xml:space="preserve">OK</t>
  </si>
  <si>
    <t xml:space="preserve">Relaciones</t>
  </si>
  <si>
    <t xml:space="preserve">No existen r:id huérfanos</t>
  </si>
  <si>
    <t xml:space="preserve">Tablas</t>
  </si>
  <si>
    <t xml:space="preserve">IDs, nombres y rangos</t>
  </si>
  <si>
    <t xml:space="preserve">Pendiente de rediseño</t>
  </si>
  <si>
    <t xml:space="preserve">Consistentes</t>
  </si>
  <si>
    <t xml:space="preserve">AutoFilter</t>
  </si>
  <si>
    <t xml:space="preserve">Rango = datos realmente filtrables</t>
  </si>
  <si>
    <t xml:space="preserve">Defectos detectados</t>
  </si>
  <si>
    <t xml:space="preserve">Defined Names</t>
  </si>
  <si>
    <t xml:space="preserve">_xlnm._FilterDatabase y nombres</t>
  </si>
  <si>
    <t xml:space="preserve">Compatibilidad Mac</t>
  </si>
  <si>
    <t xml:space="preserve">Riesgo identificado</t>
  </si>
  <si>
    <t xml:space="preserve">Minimizar dependencia</t>
  </si>
  <si>
    <t xml:space="preserve">Fórmulas</t>
  </si>
  <si>
    <t xml:space="preserve">Sintaxis y recalculo</t>
  </si>
  <si>
    <t xml:space="preserve">Compatibles</t>
  </si>
  <si>
    <t xml:space="preserve">Validaciones</t>
  </si>
  <si>
    <t xml:space="preserve">Rangos y listas</t>
  </si>
  <si>
    <t xml:space="preserve">Estilos</t>
  </si>
  <si>
    <t xml:space="preserve">Índices válidos y sin inflación</t>
  </si>
  <si>
    <t xml:space="preserve">Apertura Excel Mac</t>
  </si>
  <si>
    <t xml:space="preserve">Prueba real</t>
  </si>
  <si>
    <t xml:space="preserve">v1.8 OK</t>
  </si>
  <si>
    <t xml:space="preserve">Cada versión nueva debe abrir</t>
  </si>
  <si>
    <t xml:space="preserve">Entidad</t>
  </si>
  <si>
    <t xml:space="preserve">Campo</t>
  </si>
  <si>
    <t xml:space="preserve">Fuente/estado</t>
  </si>
  <si>
    <t xml:space="preserve">Lente</t>
  </si>
  <si>
    <t xml:space="preserve">tipo_proyeccion</t>
  </si>
  <si>
    <t xml:space="preserve">ESFÉRICA o ANAMÓRFICA</t>
  </si>
  <si>
    <t xml:space="preserve">Regla de modelo</t>
  </si>
  <si>
    <t xml:space="preserve">Lente anamórfica</t>
  </si>
  <si>
    <t xml:space="preserve">squeeze_factor</t>
  </si>
  <si>
    <t xml:space="preserve">Solo si anamórfica</t>
  </si>
  <si>
    <t xml:space="preserve">Fabricante</t>
  </si>
  <si>
    <t xml:space="preserve">image_circle_mm</t>
  </si>
  <si>
    <t xml:space="preserve">Solo número si fuente lo publica</t>
  </si>
  <si>
    <t xml:space="preserve">Fabricante/contraste</t>
  </si>
  <si>
    <t xml:space="preserve">image_area</t>
  </si>
  <si>
    <t xml:space="preserve">Separado de illumination area</t>
  </si>
  <si>
    <t xml:space="preserve">illumination_area</t>
  </si>
  <si>
    <t xml:space="preserve">Separado de image area</t>
  </si>
  <si>
    <t xml:space="preserve">sensor_mode</t>
  </si>
  <si>
    <t xml:space="preserve">Siempre asociado a cámara/modo</t>
  </si>
  <si>
    <t xml:space="preserve">Fuente cámara</t>
  </si>
  <si>
    <t xml:space="preserve">coverage_result</t>
  </si>
  <si>
    <t xml:space="preserve">Puede ser calculado; debe marcarse CALCULADO</t>
  </si>
  <si>
    <t xml:space="preserve">IRIS DP</t>
  </si>
  <si>
    <t xml:space="preserve">vignetting</t>
  </si>
  <si>
    <t xml:space="preserve">Condicionado a focal/iris/foco/sistema si consta</t>
  </si>
  <si>
    <t xml:space="preserve">shading</t>
  </si>
  <si>
    <t xml:space="preserve">No mezclar con viñeteo</t>
  </si>
  <si>
    <t xml:space="preserve">portholing</t>
  </si>
  <si>
    <t xml:space="preserve">No afirmar ausencia sin evidencia</t>
  </si>
  <si>
    <t xml:space="preserve">Cálculo</t>
  </si>
  <si>
    <t xml:space="preserve">Parámetro contextual, no propiedad fija de lente</t>
  </si>
  <si>
    <t xml:space="preserve">Fuente/criterio</t>
  </si>
  <si>
    <t xml:space="preserve">ID cámara</t>
  </si>
  <si>
    <t xml:space="preserve">Modelo (nombre exacto en Modos_Cámara)</t>
  </si>
  <si>
    <t xml:space="preserve">Formato</t>
  </si>
  <si>
    <t xml:space="preserve">Sensor W (mm)</t>
  </si>
  <si>
    <t xml:space="preserve">Sensor H (mm)</t>
  </si>
  <si>
    <t xml:space="preserve">Diagonal (mm)</t>
  </si>
  <si>
    <t xml:space="preserve">Resolución máx. (px)</t>
  </si>
  <si>
    <t xml:space="preserve">Pitch (µm)</t>
  </si>
  <si>
    <t xml:space="preserve">Check W = px × pitch (mm)</t>
  </si>
  <si>
    <t xml:space="preserve">Montura</t>
  </si>
  <si>
    <t xml:space="preserve">Nº modos en 09</t>
  </si>
  <si>
    <t xml:space="preserve">Fuente</t>
  </si>
  <si>
    <t xml:space="preserve">Fecha consulta</t>
  </si>
  <si>
    <t xml:space="preserve">CAM-A35X</t>
  </si>
  <si>
    <t xml:space="preserve">ARRI</t>
  </si>
  <si>
    <t xml:space="preserve">ALEXA 35 Xtreme</t>
  </si>
  <si>
    <t xml:space="preserve">Super 35</t>
  </si>
  <si>
    <t xml:space="preserve">4608 x 3164</t>
  </si>
  <si>
    <t xml:space="preserve">LPL (también PL vía adaptador)</t>
  </si>
  <si>
    <t xml:space="preserve">F01; F02</t>
  </si>
  <si>
    <t xml:space="preserve">CONFIRMADO fabricante</t>
  </si>
  <si>
    <t xml:space="preserve">CAM-PYX6K-PL</t>
  </si>
  <si>
    <t xml:space="preserve">Blackmagic Design</t>
  </si>
  <si>
    <t xml:space="preserve">PYXIS 6K PL</t>
  </si>
  <si>
    <t xml:space="preserve">Full Frame</t>
  </si>
  <si>
    <t xml:space="preserve">6048 x 4032</t>
  </si>
  <si>
    <t xml:space="preserve">PL con /i Technology (variantes L-Mount y EF existen)</t>
  </si>
  <si>
    <t xml:space="preserve">F04</t>
  </si>
  <si>
    <t xml:space="preserve">CAM-UC17K65</t>
  </si>
  <si>
    <t xml:space="preserve">URSA Cine 17K 65</t>
  </si>
  <si>
    <t xml:space="preserve">65 mm</t>
  </si>
  <si>
    <t xml:space="preserve">17520 x 8040</t>
  </si>
  <si>
    <t xml:space="preserve">PL; URSA Cine Mount LPL incluida</t>
  </si>
  <si>
    <t xml:space="preserve">F05</t>
  </si>
  <si>
    <t xml:space="preserve">CONFIRMADO fabricante (pitch: CALCULADO 50.81/17520)</t>
  </si>
  <si>
    <t xml:space="preserve">CAM-UC12KLF</t>
  </si>
  <si>
    <t xml:space="preserve">URSA Cine 12K LF</t>
  </si>
  <si>
    <t xml:space="preserve">Large Format</t>
  </si>
  <si>
    <t xml:space="preserve">12288 x 8040</t>
  </si>
  <si>
    <t xml:space="preserve">PL; LPL intercambiable</t>
  </si>
  <si>
    <t xml:space="preserve">F06</t>
  </si>
  <si>
    <t xml:space="preserve">CONFIRMADO fabricante — añadido como referencia BMD</t>
  </si>
  <si>
    <t xml:space="preserve">Nota</t>
  </si>
  <si>
    <t xml:space="preserve">Las 3 primeras filas son las cámaras a las que apuntan los 9 modos huérfanos. Dar de alta en Cámaras con este nombre EXACTO antes de reincorporar sus modos. Azul = dato publicado; negro = fórmula.</t>
  </si>
  <si>
    <t xml:space="preserve">ID modo</t>
  </si>
  <si>
    <t xml:space="preserve">Cámara</t>
  </si>
  <si>
    <t xml:space="preserve">Modo</t>
  </si>
  <si>
    <t xml:space="preserve">Ancho (px)</t>
  </si>
  <si>
    <t xml:space="preserve">Alto (px)</t>
  </si>
  <si>
    <t xml:space="preserve">Factor escala</t>
  </si>
  <si>
    <t xml:space="preserve">Tipo de lectura</t>
  </si>
  <si>
    <t xml:space="preserve">Gate W calc (mm)</t>
  </si>
  <si>
    <t xml:space="preserve">Gate H calc (mm)</t>
  </si>
  <si>
    <t xml:space="preserve">Gate W publicado (mm)</t>
  </si>
  <si>
    <t xml:space="preserve">Gate H publicado (mm)</t>
  </si>
  <si>
    <t xml:space="preserve">Δ W (mm)</t>
  </si>
  <si>
    <t xml:space="preserve">Gate W final (mm)</t>
  </si>
  <si>
    <t xml:space="preserve">Gate H final (mm)</t>
  </si>
  <si>
    <t xml:space="preserve">Diagonal / círculo mínimo (mm)</t>
  </si>
  <si>
    <t xml:space="preserve">Aspecto</t>
  </si>
  <si>
    <t xml:space="preserve">Método</t>
  </si>
  <si>
    <t xml:space="preserve">Observación</t>
  </si>
  <si>
    <t xml:space="preserve">A35X-01</t>
  </si>
  <si>
    <t xml:space="preserve">4.6K 3:2 Open Gate</t>
  </si>
  <si>
    <t xml:space="preserve">Ventana nativa</t>
  </si>
  <si>
    <t xml:space="preserve">FABRICANTE</t>
  </si>
  <si>
    <t xml:space="preserve">F01</t>
  </si>
  <si>
    <t xml:space="preserve">CONFIRMADO</t>
  </si>
  <si>
    <t xml:space="preserve">A35X-02</t>
  </si>
  <si>
    <t xml:space="preserve">4.6K 16:9</t>
  </si>
  <si>
    <t xml:space="preserve">A35X-03</t>
  </si>
  <si>
    <t xml:space="preserve">4K 16:9</t>
  </si>
  <si>
    <t xml:space="preserve">A35X-04</t>
  </si>
  <si>
    <t xml:space="preserve">3.8K 16:9</t>
  </si>
  <si>
    <t xml:space="preserve">A35X-05</t>
  </si>
  <si>
    <t xml:space="preserve">3.8K 2.39:1</t>
  </si>
  <si>
    <t xml:space="preserve">A35X-06</t>
  </si>
  <si>
    <t xml:space="preserve">3.3K 6:5</t>
  </si>
  <si>
    <t xml:space="preserve">A35X-07</t>
  </si>
  <si>
    <t xml:space="preserve">2K 16:9 S16</t>
  </si>
  <si>
    <t xml:space="preserve">A35X-08</t>
  </si>
  <si>
    <t xml:space="preserve">HD 16:9 S16</t>
  </si>
  <si>
    <t xml:space="preserve">PYX6-01</t>
  </si>
  <si>
    <t xml:space="preserve">6K 3:2 Open Gate</t>
  </si>
  <si>
    <t xml:space="preserve">Sensor completo</t>
  </si>
  <si>
    <t xml:space="preserve">FABRICANTE (sensor completo)</t>
  </si>
  <si>
    <t xml:space="preserve">PYX6-02</t>
  </si>
  <si>
    <t xml:space="preserve">6K 6:5 Anamórfico</t>
  </si>
  <si>
    <t xml:space="preserve">Ventana</t>
  </si>
  <si>
    <t xml:space="preserve">CALCULADO px × pitch</t>
  </si>
  <si>
    <t xml:space="preserve">CALCULADO</t>
  </si>
  <si>
    <t xml:space="preserve">PYX6-03</t>
  </si>
  <si>
    <t xml:space="preserve">6K 16:9</t>
  </si>
  <si>
    <t xml:space="preserve">Ancho completo</t>
  </si>
  <si>
    <t xml:space="preserve">PYX6-04</t>
  </si>
  <si>
    <t xml:space="preserve">6K DCI 17:9</t>
  </si>
  <si>
    <t xml:space="preserve">PYX6-05</t>
  </si>
  <si>
    <t xml:space="preserve">6K 2.4:1</t>
  </si>
  <si>
    <t xml:space="preserve">PYX6-06</t>
  </si>
  <si>
    <t xml:space="preserve">4K S35 4:3</t>
  </si>
  <si>
    <t xml:space="preserve">Ventana Super 35 (supuesto)</t>
  </si>
  <si>
    <t xml:space="preserve">PENDIENTE confirmar ventana</t>
  </si>
  <si>
    <t xml:space="preserve">BMD lo llama "Super 35"; confirmar en manual que es ventana 1:1 y no escalado</t>
  </si>
  <si>
    <t xml:space="preserve">PYX6-07</t>
  </si>
  <si>
    <t xml:space="preserve">Ventana (supuesto)</t>
  </si>
  <si>
    <t xml:space="preserve">Si fuera escalado desde ancho completo, el gate sería ~36 mm</t>
  </si>
  <si>
    <t xml:space="preserve">PYX6-08</t>
  </si>
  <si>
    <t xml:space="preserve">4K DCI 17:9</t>
  </si>
  <si>
    <t xml:space="preserve">Idem</t>
  </si>
  <si>
    <t xml:space="preserve">U17-01</t>
  </si>
  <si>
    <t xml:space="preserve">17K 2.2:1 Open Gate</t>
  </si>
  <si>
    <t xml:space="preserve">U17-02</t>
  </si>
  <si>
    <t xml:space="preserve">17K 2:1</t>
  </si>
  <si>
    <t xml:space="preserve">U17-03</t>
  </si>
  <si>
    <t xml:space="preserve">17K 17:9</t>
  </si>
  <si>
    <t xml:space="preserve">U17-04</t>
  </si>
  <si>
    <t xml:space="preserve">17K 16:9</t>
  </si>
  <si>
    <t xml:space="preserve">U17-05</t>
  </si>
  <si>
    <t xml:space="preserve">17K 2.4:1</t>
  </si>
  <si>
    <t xml:space="preserve">U17-06</t>
  </si>
  <si>
    <t xml:space="preserve">12K 3:2</t>
  </si>
  <si>
    <t xml:space="preserve">Ventana LF</t>
  </si>
  <si>
    <t xml:space="preserve">U17-07</t>
  </si>
  <si>
    <t xml:space="preserve">12K 16:9</t>
  </si>
  <si>
    <t xml:space="preserve">U17-08</t>
  </si>
  <si>
    <t xml:space="preserve">12K 17:9</t>
  </si>
  <si>
    <t xml:space="preserve">U17-09</t>
  </si>
  <si>
    <t xml:space="preserve">12K 2.4:1</t>
  </si>
  <si>
    <t xml:space="preserve">U17-10</t>
  </si>
  <si>
    <t xml:space="preserve">12K 6:5</t>
  </si>
  <si>
    <t xml:space="preserve">U17-11</t>
  </si>
  <si>
    <t xml:space="preserve">8K 2.2:1 Open Gate</t>
  </si>
  <si>
    <t xml:space="preserve">Escalado</t>
  </si>
  <si>
    <t xml:space="preserve">CALCULADO px × pitch × factor</t>
  </si>
  <si>
    <t xml:space="preserve">PENDIENTE confirmar escalado</t>
  </si>
  <si>
    <t xml:space="preserve">Factor 1.5 inferido (17520/11680); confirmar que 8K/4K leen el área equivalente del sensor</t>
  </si>
  <si>
    <t xml:space="preserve">U17-12</t>
  </si>
  <si>
    <t xml:space="preserve">8K 2:1</t>
  </si>
  <si>
    <t xml:space="preserve">U17-13</t>
  </si>
  <si>
    <t xml:space="preserve">8K 3:2</t>
  </si>
  <si>
    <t xml:space="preserve">U17-14</t>
  </si>
  <si>
    <t xml:space="preserve">8K 16:9</t>
  </si>
  <si>
    <t xml:space="preserve">U17-15</t>
  </si>
  <si>
    <t xml:space="preserve">8K 17:9</t>
  </si>
  <si>
    <t xml:space="preserve">U17-16</t>
  </si>
  <si>
    <t xml:space="preserve">8K 2.4:1</t>
  </si>
  <si>
    <t xml:space="preserve">U17-17</t>
  </si>
  <si>
    <t xml:space="preserve">4K 2.2:1 Open Gate</t>
  </si>
  <si>
    <t xml:space="preserve">Factor 3 inferido (17520/5840); confirmar que 8K/4K leen el área equivalente del sensor</t>
  </si>
  <si>
    <t xml:space="preserve">U17-18</t>
  </si>
  <si>
    <t xml:space="preserve">4K 2:1</t>
  </si>
  <si>
    <t xml:space="preserve">U17-19</t>
  </si>
  <si>
    <t xml:space="preserve">4K 3:2</t>
  </si>
  <si>
    <t xml:space="preserve">U17-20</t>
  </si>
  <si>
    <t xml:space="preserve">U17-21</t>
  </si>
  <si>
    <t xml:space="preserve">4K 17:9</t>
  </si>
  <si>
    <t xml:space="preserve">U17-22</t>
  </si>
  <si>
    <t xml:space="preserve">4K 2.4:1</t>
  </si>
  <si>
    <t xml:space="preserve">U12-01</t>
  </si>
  <si>
    <t xml:space="preserve">12K 3:2 Open Gate</t>
  </si>
  <si>
    <t xml:space="preserve">U12-02</t>
  </si>
  <si>
    <t xml:space="preserve">Tipo de lectura confirmado por fabricante</t>
  </si>
  <si>
    <t xml:space="preserve">U12-03</t>
  </si>
  <si>
    <t xml:space="preserve">U12-04</t>
  </si>
  <si>
    <t xml:space="preserve">U12-05</t>
  </si>
  <si>
    <t xml:space="preserve">Alto completo</t>
  </si>
  <si>
    <t xml:space="preserve">U12-06</t>
  </si>
  <si>
    <t xml:space="preserve">S35 3:2</t>
  </si>
  <si>
    <t xml:space="preserve">Ventana Super 35</t>
  </si>
  <si>
    <t xml:space="preserve">U12-07</t>
  </si>
  <si>
    <t xml:space="preserve">S35 16:9</t>
  </si>
  <si>
    <t xml:space="preserve">U12-08</t>
  </si>
  <si>
    <t xml:space="preserve">S35 17:9</t>
  </si>
  <si>
    <t xml:space="preserve">U12-09</t>
  </si>
  <si>
    <t xml:space="preserve">S35 2.4:1</t>
  </si>
  <si>
    <t xml:space="preserve">U12-10</t>
  </si>
  <si>
    <t xml:space="preserve">S35 6:5</t>
  </si>
  <si>
    <t xml:space="preserve">U12-11</t>
  </si>
  <si>
    <t xml:space="preserve">Escalado sensor completo</t>
  </si>
  <si>
    <t xml:space="preserve">U12-12</t>
  </si>
  <si>
    <t xml:space="preserve">U12-13</t>
  </si>
  <si>
    <t xml:space="preserve">U12-14</t>
  </si>
  <si>
    <t xml:space="preserve">U12-15</t>
  </si>
  <si>
    <t xml:space="preserve">8K 6:5</t>
  </si>
  <si>
    <t xml:space="preserve">U12-16</t>
  </si>
  <si>
    <t xml:space="preserve">U12-17</t>
  </si>
  <si>
    <t xml:space="preserve">U12-18</t>
  </si>
  <si>
    <t xml:space="preserve">U12-19</t>
  </si>
  <si>
    <t xml:space="preserve">U12-20</t>
  </si>
  <si>
    <t xml:space="preserve">4K 6:5</t>
  </si>
  <si>
    <t xml:space="preserve">Leyenda: azul = dato publicado por fabricante; negro = fórmula. "Gate final" usa el valor publicado si existe; si no, el calculado.</t>
  </si>
  <si>
    <t xml:space="preserve">Δ W compara publicado vs. px × pitch: si |Δ| &gt; 0,1 mm se marca en rojo (indica pitch o factor mal asumido). PYXIS 6K da 0,07 mm por redondeo del fabricante (36 mm).</t>
  </si>
  <si>
    <t xml:space="preserve">Diagonal = círculo de imagen mínimo que necesita la óptica para cubrir ese modo SIN contar anamórfico. Para anamórficas, el gate desexprimido se calcula en Modos, no aquí.</t>
  </si>
  <si>
    <t xml:space="preserve">Estado CALCULADO es válido para cobertura en IRIS DP (regla 07_Modelo_Optico_Futuro: marcar CALCULADO). PENDIENTE = falta confirmar el tipo de lectura en el manual.</t>
  </si>
  <si>
    <t xml:space="preserve">Hoja afectada</t>
  </si>
  <si>
    <t xml:space="preserve">Problema</t>
  </si>
  <si>
    <t xml:space="preserve">Dato medido</t>
  </si>
  <si>
    <t xml:space="preserve">Impacto</t>
  </si>
  <si>
    <t xml:space="preserve">Corrección</t>
  </si>
  <si>
    <t xml:space="preserve">Hoja de apoyo</t>
  </si>
  <si>
    <t xml:space="preserve">DX-001</t>
  </si>
  <si>
    <t xml:space="preserve">Hoja descolocada desde la fila 57: cada valor de un modo cae en una fila distinta (escalera)</t>
  </si>
  <si>
    <t xml:space="preserve">El script recompone 13 modos</t>
  </si>
  <si>
    <t xml:space="preserve">Modos ilegibles en Excel; cualquier fórmula o filtro que los lea devuelve vacío</t>
  </si>
  <si>
    <t xml:space="preserve">Recomponer en una fila por modo (ver procedimiento abajo) y validar que el nº de columnas no vacías por fila sea constante</t>
  </si>
  <si>
    <t xml:space="preserve">11_Procedimiento_Modos</t>
  </si>
  <si>
    <t xml:space="preserve">PENDIENTE — necesita el archivo master</t>
  </si>
  <si>
    <t xml:space="preserve">DX-002</t>
  </si>
  <si>
    <t xml:space="preserve">Índice / Modos_Cámara</t>
  </si>
  <si>
    <t xml:space="preserve">El índice declara más modos de los reales</t>
  </si>
  <si>
    <t xml:space="preserve">Índice: 252 · reales: ~70 · con gate: 23</t>
  </si>
  <si>
    <t xml:space="preserve">Dashboard y métricas sobreestiman la cobertura de la base</t>
  </si>
  <si>
    <t xml:space="preserve">Sustituir el contador fijo del índice por COUNTA sobre la columna ID de Modos_Cámara</t>
  </si>
  <si>
    <t xml:space="preserve">PENDIENTE</t>
  </si>
  <si>
    <t xml:space="preserve">DX-003</t>
  </si>
  <si>
    <t xml:space="preserve">11 modos de Blackmagic sin gate</t>
  </si>
  <si>
    <t xml:space="preserve">11 modos</t>
  </si>
  <si>
    <t xml:space="preserve">No se puede calcular cobertura óptica para ellos</t>
  </si>
  <si>
    <t xml:space="preserve">Copiar Gate W/H final desde 09_Gates_Modos (coincidir por Cámara + Modo)</t>
  </si>
  <si>
    <t xml:space="preserve">RESUELTO EN APOYO — falta volcar al master</t>
  </si>
  <si>
    <t xml:space="preserve">DX-004</t>
  </si>
  <si>
    <t xml:space="preserve">Modos_Cámara ↔ Cámaras</t>
  </si>
  <si>
    <t xml:space="preserve">9 modos apuntan a cámaras inexistentes en Cámaras</t>
  </si>
  <si>
    <t xml:space="preserve">ALEXA 35 Xtreme, PYXIS 6K PL, URSA Cine 17K 65</t>
  </si>
  <si>
    <t xml:space="preserve">Relación rota cámara→modo; los modos quedan huérfanos</t>
  </si>
  <si>
    <t xml:space="preserve">Dar de alta las 3 cámaras con los datos de 08 usando el nombre exacto</t>
  </si>
  <si>
    <t xml:space="preserve">DX-005</t>
  </si>
  <si>
    <t xml:space="preserve">Squeeze informado en ópticas esféricas</t>
  </si>
  <si>
    <t xml:space="preserve">56 ópticas esféricas</t>
  </si>
  <si>
    <t xml:space="preserve">Contradice la regla de 04_No_Perder_Datos (squeeze solo anamórficas)</t>
  </si>
  <si>
    <t xml:space="preserve">Vaciar squeeze (celda en blanco, NO 1x) cuando tipo_proyeccion = ESFÉRICA; añadir validación</t>
  </si>
  <si>
    <t xml:space="preserve">DECIDIDO: se descarta</t>
  </si>
  <si>
    <t xml:space="preserve">Resumen</t>
  </si>
  <si>
    <t xml:space="preserve">Modos nuevos con gate en 09</t>
  </si>
  <si>
    <t xml:space="preserve">Confirmados por fabricante</t>
  </si>
  <si>
    <t xml:space="preserve">Calculados (px × pitch)</t>
  </si>
  <si>
    <t xml:space="preserve">Pendientes de confirmar lectura</t>
  </si>
  <si>
    <t xml:space="preserve">Techo de modos con gate tras volcado (23 actuales + 58; baja si alguno ya existía en el master)</t>
  </si>
  <si>
    <t xml:space="preserve">Detalle</t>
  </si>
  <si>
    <t xml:space="preserve">Copia de seguridad</t>
  </si>
  <si>
    <t xml:space="preserve">Trabajar sobre una copia del master; no tocar la v1.8 original (regla de 00_Control).</t>
  </si>
  <si>
    <t xml:space="preserve">Original intacto</t>
  </si>
  <si>
    <t xml:space="preserve">Localizar el bloque roto</t>
  </si>
  <si>
    <t xml:space="preserve">En Modos_Cámara, desde la fila 57: identificar cada fila que tenga un solo valor no vacío. Un modo empieza en la fila donde aparece un valor en la columna ID/Cámara.</t>
  </si>
  <si>
    <t xml:space="preserve">Lista de filas inicio de modo</t>
  </si>
  <si>
    <t xml:space="preserve">Recomponer</t>
  </si>
  <si>
    <t xml:space="preserve">Para cada modo: tomar el valor de la columna k de la fila inicio + (k−1) — patrón escalera — y escribirlo en una sola fila. El script previo recompone 13 modos; contrastar contra ese resultado.</t>
  </si>
  <si>
    <t xml:space="preserve">13 modos en una fila cada uno</t>
  </si>
  <si>
    <t xml:space="preserve">Eliminar filas basura</t>
  </si>
  <si>
    <t xml:space="preserve">Borrar las filas en escalera ya recompuestas. Revisar que no queden filas con 1 sola celda.</t>
  </si>
  <si>
    <t xml:space="preserve">Nº celdas no vacías por fila coherente</t>
  </si>
  <si>
    <t xml:space="preserve">Dar de alta cámaras</t>
  </si>
  <si>
    <t xml:space="preserve">Añadir en Cámaras las 3 filas de 08_Camaras_Faltantes (nombre exacto).</t>
  </si>
  <si>
    <t xml:space="preserve">0 modos huérfanos</t>
  </si>
  <si>
    <t xml:space="preserve">Volcar gates</t>
  </si>
  <si>
    <t xml:space="preserve">Para los 11 modos Blackmagic sin gate y los 9 huérfanos: buscar Cámara + Modo en 09_Gates_Modos y copiar Gate W/H final como VALOR, con método y fuente.</t>
  </si>
  <si>
    <t xml:space="preserve">Todos los modos de esas cámaras con gate</t>
  </si>
  <si>
    <t xml:space="preserve">Squeeze en esféricas</t>
  </si>
  <si>
    <t xml:space="preserve">Filtrar Ópticas por tipo_proyeccion = ESFÉRICA y vaciar squeeze (56 casos). Añadir validación de datos: squeeze solo admite valor si tipo = ANAMÓRFICA.</t>
  </si>
  <si>
    <t xml:space="preserve">0 esféricas con squeeze</t>
  </si>
  <si>
    <t xml:space="preserve">Contador del índice</t>
  </si>
  <si>
    <t xml:space="preserve">Sustituir el número fijo (252) por =COUNTA(Modos_Cámara!A:A)-1 o equivalente.</t>
  </si>
  <si>
    <t xml:space="preserve">Índice = modos reales</t>
  </si>
  <si>
    <t xml:space="preserve">Autofiltro</t>
  </si>
  <si>
    <t xml:space="preserve">Redefinir el autofiltro de Modos_Cámara y Ópticas al rango real (lección XLSX-002).</t>
  </si>
  <si>
    <t xml:space="preserve">Filtro = rango de datos</t>
  </si>
  <si>
    <t xml:space="preserve">Prueba de apertura</t>
  </si>
  <si>
    <t xml:space="preserve">Abrir en Excel para Mac. Si aparece aviso de reparación, registrar en 01_Regresion y volver a la copia del paso 1.</t>
  </si>
  <si>
    <t xml:space="preserve">Abre sin aviso</t>
  </si>
  <si>
    <t xml:space="preserve">URL</t>
  </si>
  <si>
    <t xml:space="preserve">Usada en</t>
  </si>
  <si>
    <t xml:space="preserve">Tipo de fuente</t>
  </si>
  <si>
    <t xml:space="preserve">Fiabilidad</t>
  </si>
  <si>
    <t xml:space="preserve">ARRI — ALEXA 35 Xtreme recording formats / sensor modes (PDF)</t>
  </si>
  <si>
    <t xml:space="preserve">https://www.arri.com/resource/blob/400322/3ccb33a431efbe7eb9223444c0468cac/recording-formats-poster-data.pdf</t>
  </si>
  <si>
    <t xml:space="preserve">08, 09 (ALEXA 35 Xtreme)</t>
  </si>
  <si>
    <t xml:space="preserve">F02</t>
  </si>
  <si>
    <t xml:space="preserve">Film and Digital Times — ALEXA 35 Xtreme (sensor 27.99 x 19.22 mm, pitch 6.075 µm, fps)</t>
  </si>
  <si>
    <t xml:space="preserve">https://www.fdtimes.com/2025/07/31/arri-alexa-35-xtreme/</t>
  </si>
  <si>
    <t xml:space="preserve">08 (sensor, pitch)</t>
  </si>
  <si>
    <t xml:space="preserve">Prensa técnica</t>
  </si>
  <si>
    <t xml:space="preserve">Media-alta</t>
  </si>
  <si>
    <t xml:space="preserve">F03</t>
  </si>
  <si>
    <t xml:space="preserve">ARRI — Nota de prensa ALEXA 35 Xtreme + ARRICORE (31-07-2025)</t>
  </si>
  <si>
    <t xml:space="preserve">https://www.arri.com/resource/blob/398842/d0022c71c2e428c42d9fe07be96c2580/20250731-arri-press-release-alexa-35-xtreme-arricore-en-data.pdf</t>
  </si>
  <si>
    <t xml:space="preserve">Contexto lanzamiento</t>
  </si>
  <si>
    <t xml:space="preserve">Blackmagic Design — PYXIS 6K / 12K tech specs</t>
  </si>
  <si>
    <t xml:space="preserve">https://www.blackmagicdesign.com/products/blackmagicpyxis/techspecs/W-CIN-24</t>
  </si>
  <si>
    <t xml:space="preserve">08, 09 (PYXIS 6K)</t>
  </si>
  <si>
    <t xml:space="preserve">Lensrentals — URSA Cine 17K 65 tech specs (PDF del fabricante)</t>
  </si>
  <si>
    <t xml:space="preserve">https://www.lensrentals.com/product-assets/22fac6da-9c01-4dce-bbf3-e9e6cf2cd92b/blackmagic-ursa-cine-17k-65-evf-techspecs.pdf</t>
  </si>
  <si>
    <t xml:space="preserve">08, 09 (URSA Cine 17K 65)</t>
  </si>
  <si>
    <t xml:space="preserve">Rental (PDF fabricante)</t>
  </si>
  <si>
    <t xml:space="preserve">Blackmagic Design — URSA Cine 12K LF tech specs</t>
  </si>
  <si>
    <t xml:space="preserve">https://www.blackmagicdesign.com/products/blackmagicursacine/techspecs/W-CIN-17</t>
  </si>
  <si>
    <t xml:space="preserve">08, 09 (URSA Cine 12K LF)</t>
  </si>
  <si>
    <t xml:space="preserve">F07</t>
  </si>
  <si>
    <t xml:space="preserve">ARRI — ALEXA SXT Studio Technical Data (PDF alojado por AFC)</t>
  </si>
  <si>
    <t xml:space="preserve">https://www.afcinema.com/IMG/pdf/3/0/f/arri_group_alexa_sxt_studio_technical_data.pdf</t>
  </si>
  <si>
    <t xml:space="preserve">13, 14</t>
  </si>
  <si>
    <t xml:space="preserve">Fabricante (copia en AFC)</t>
  </si>
  <si>
    <t xml:space="preserve">F08</t>
  </si>
  <si>
    <t xml:space="preserve">ARRI — ALEXA SXT FAQ (medios, adaptadores, RAID ProRes, formatos anamórficos)</t>
  </si>
  <si>
    <t xml:space="preserve">https://www.arri.com/en/learn-help/learn-help-camera-system/frequently-asked-questions/alexa-sxt-faq</t>
  </si>
  <si>
    <t xml:space="preserve">13, 14, 15</t>
  </si>
  <si>
    <t xml:space="preserve">F09</t>
  </si>
  <si>
    <t xml:space="preserve">ARRI — Technical Data ALEXA SXT W (sensor 28,25 x 18,17 mm, pitch 8,25 µm, tabla de modos)</t>
  </si>
  <si>
    <t xml:space="preserve">https://www.videocineimport.com/wp-content/uploads/2020/03/Technical-Data-ALEXA-SXT-W.pdf</t>
  </si>
  <si>
    <t xml:space="preserve">Fabricante (copia distribuidor)</t>
  </si>
  <si>
    <t xml:space="preserve">F10</t>
  </si>
  <si>
    <t xml:space="preserve">ARRI — ALEXA SXT Crib Sheet (formatos, usos, tiempos por medio, docks)</t>
  </si>
  <si>
    <t xml:space="preserve">https://www.arri.com/resource/blob/41634/b1379eeeabbdc8b194a2af2dae68fee7/download-camera-alexa-sxt-crib-sheet-data.pdf</t>
  </si>
  <si>
    <t xml:space="preserve">13, 14, 15, 16</t>
  </si>
  <si>
    <t xml:space="preserve">F11</t>
  </si>
  <si>
    <t xml:space="preserve">Visuals — SXT recibe ProRes 2K/4K anamórfico, Open Gate ProRes 3.4K y ARRIRAW 3.2K (NAB 2016)</t>
  </si>
  <si>
    <t xml:space="preserve">https://visuals.co.uk/blog/arri-alexa-sxt-gets-prores-2k-and-4k-anamorphic-modes-plus-open-gate-prores-3-4k-and-arriraw-3-2k</t>
  </si>
  <si>
    <t xml:space="preserve">14</t>
  </si>
  <si>
    <t xml:space="preserve">Distribuidor / blog</t>
  </si>
  <si>
    <t xml:space="preserve">F12</t>
  </si>
  <si>
    <t xml:space="preserve">CODEX — SXR Capture Drive Dock (Thunderbolt 3): hasta 20 Gb/s, macOS, CODEX Platform</t>
  </si>
  <si>
    <t xml:space="preserve">https://help.codex.online/content/media-stations/sxr-capture-drive-dock</t>
  </si>
  <si>
    <t xml:space="preserve">15, 16</t>
  </si>
  <si>
    <t xml:space="preserve">Fabricante (CODEX)</t>
  </si>
  <si>
    <t xml:space="preserve">F13</t>
  </si>
  <si>
    <t xml:space="preserve">vMedia — ALEXA SXT: medios compatibles y tiempos de grabación</t>
  </si>
  <si>
    <t xml:space="preserve">https://vmedia.digital/memory-card-database/arri-sxt-compatible-memory-cards-recording-times/</t>
  </si>
  <si>
    <t xml:space="preserve">15 (contraste de tiempos)</t>
  </si>
  <si>
    <t xml:space="preserve">Base de datos de terceros</t>
  </si>
  <si>
    <t xml:space="preserve">F14</t>
  </si>
  <si>
    <t xml:space="preserve">NAPALM Rentals — Set ZEISS Superspeed MKII 18-25-35-50-85 mm T1.3 S35</t>
  </si>
  <si>
    <t xml:space="preserve">https://napalmrentals.com/product/set-zeiss-superspeed-mkii-18-25-35-50-85mm-t1-3-s35</t>
  </si>
  <si>
    <t xml:space="preserve">17</t>
  </si>
  <si>
    <t xml:space="preserve">Rental (proveedor)</t>
  </si>
  <si>
    <t xml:space="preserve">Alta para su inventario</t>
  </si>
  <si>
    <t xml:space="preserve">F15</t>
  </si>
  <si>
    <t xml:space="preserve">Camaleon Rental — ZEISS Super Speed T1.3 MKII (palas, enfoque mínimo, pesos)</t>
  </si>
  <si>
    <t xml:space="preserve">https://www.camaleonrental.com/gb/zeiss-lenses-hire/zeiss-super-speed-t13-mkii</t>
  </si>
  <si>
    <t xml:space="preserve">Rental</t>
  </si>
  <si>
    <t xml:space="preserve">F16</t>
  </si>
  <si>
    <t xml:space="preserve">True Lens Services — Image circle 18/25/35/50/85 mm Zeiss Super Speed (medido, rehousing TLS)</t>
  </si>
  <si>
    <t xml:space="preserve">https://www.truelens.co.uk/35mm-zeiss-super-speed</t>
  </si>
  <si>
    <t xml:space="preserve">17, 18</t>
  </si>
  <si>
    <t xml:space="preserve">Medición de terceros</t>
  </si>
  <si>
    <t xml:space="preserve">Parámetro</t>
  </si>
  <si>
    <t xml:space="preserve">Valor</t>
  </si>
  <si>
    <t xml:space="preserve">Identidad</t>
  </si>
  <si>
    <t xml:space="preserve">Familia</t>
  </si>
  <si>
    <t xml:space="preserve">ARRI ALEXA SXT (variantes: SXT Plus, SXT Studio, SXT EV; SXT W comparte sensor y modos)</t>
  </si>
  <si>
    <t xml:space="preserve">F07; F09</t>
  </si>
  <si>
    <t xml:space="preserve">SXT Studio = obturador de espejo + visor óptico</t>
  </si>
  <si>
    <t xml:space="preserve">Sensor</t>
  </si>
  <si>
    <t xml:space="preserve">ALEV III CMOS, Super 35, patrón Bayer</t>
  </si>
  <si>
    <t xml:space="preserve">Tamaño total (Open Gate)</t>
  </si>
  <si>
    <t xml:space="preserve">28,25 x 18,17 mm</t>
  </si>
  <si>
    <t xml:space="preserve">Diagonal 33,59 mm</t>
  </si>
  <si>
    <t xml:space="preserve">Photosites Open Gate</t>
  </si>
  <si>
    <t xml:space="preserve">3424 x 2202</t>
  </si>
  <si>
    <t xml:space="preserve">Pitch (tamaño de photosite)</t>
  </si>
  <si>
    <t xml:space="preserve">8,25 µm</t>
  </si>
  <si>
    <t xml:space="preserve">Base de todas las fórmulas de 14_SXT_Modos</t>
  </si>
  <si>
    <t xml:space="preserve">Montura de serie</t>
  </si>
  <si>
    <t xml:space="preserve">PL 54 mm LDS, acero inoxidable, centrada en Super 35</t>
  </si>
  <si>
    <t xml:space="preserve">Super Speed MKII de NAPALM vienen en PL: montaje directo</t>
  </si>
  <si>
    <t xml:space="preserve">Grabación</t>
  </si>
  <si>
    <t xml:space="preserve">Códecs</t>
  </si>
  <si>
    <t xml:space="preserve">ARRIRAW (.ari); Apple ProRes 4444 XQ, 4444, 422 HQ, 422</t>
  </si>
  <si>
    <t xml:space="preserve">F09; F08</t>
  </si>
  <si>
    <t xml:space="preserve">ARRIRAW solo en XR/SXR</t>
  </si>
  <si>
    <t xml:space="preserve">Medios</t>
  </si>
  <si>
    <t xml:space="preserve">SXR Capture Drive 1 TB / 2 TB; XR Capture Drive 512 GB; CFast 2.0 (Lexar 3600x 256 GB); SxS PRO / PRO+</t>
  </si>
  <si>
    <t xml:space="preserve">F07; F08; F10</t>
  </si>
  <si>
    <t xml:space="preserve">Cada medio necesita su adaptador (ver 15)</t>
  </si>
  <si>
    <t xml:space="preserve">Velocidad de interfaz</t>
  </si>
  <si>
    <t xml:space="preserve">SXR: 20 Gbit/s · XR: 6,7 Gbit/s</t>
  </si>
  <si>
    <t xml:space="preserve">RAID ProRes</t>
  </si>
  <si>
    <t xml:space="preserve">Solo en XR y SXR (ProRes usa la mitad de la capacidad; la otra mitad puede ser copia redundante)</t>
  </si>
  <si>
    <t xml:space="preserve">Explica por qué los tiempos ProRes en SXR son la mitad de lo esperado</t>
  </si>
  <si>
    <t xml:space="preserve">FPS máx.</t>
  </si>
  <si>
    <t xml:space="preserve">16:9</t>
  </si>
  <si>
    <t xml:space="preserve">0,75 – 120 fps</t>
  </si>
  <si>
    <t xml:space="preserve">F07; F08</t>
  </si>
  <si>
    <t xml:space="preserve">Obturador de espejo desactivado (Studio)</t>
  </si>
  <si>
    <t xml:space="preserve">6:5</t>
  </si>
  <si>
    <t xml:space="preserve">0,75 – 96 fps</t>
  </si>
  <si>
    <t xml:space="preserve">4:3</t>
  </si>
  <si>
    <t xml:space="preserve">Open Gate</t>
  </si>
  <si>
    <t xml:space="preserve">0,75 – 90 fps</t>
  </si>
  <si>
    <t xml:space="preserve">Salidas</t>
  </si>
  <si>
    <t xml:space="preserve">Monitorado</t>
  </si>
  <si>
    <t xml:space="preserve">4x MON OUT BNC 1,5G HD-SDI 1920 x 1080 4:2:2</t>
  </si>
  <si>
    <t xml:space="preserve">Peso</t>
  </si>
  <si>
    <t xml:space="preserve">Cuerpo SXT Studio</t>
  </si>
  <si>
    <t xml:space="preserve">8,2 kg (9,8 kg con EVF; 10,3 kg con visor óptico)</t>
  </si>
  <si>
    <t xml:space="preserve">Pesos de SXT Plus/EV: PENDIENTE (no consultados)</t>
  </si>
  <si>
    <t xml:space="preserve">Modo de sensor</t>
  </si>
  <si>
    <t xml:space="preserve">Formato de grabación</t>
  </si>
  <si>
    <t xml:space="preserve">Grabación W (px)</t>
  </si>
  <si>
    <t xml:space="preserve">Grabación H (px)</t>
  </si>
  <si>
    <t xml:space="preserve">Área sensor W (px)</t>
  </si>
  <si>
    <t xml:space="preserve">Área sensor H (px)</t>
  </si>
  <si>
    <t xml:space="preserve">Diagonal / círculo necesario (mm)</t>
  </si>
  <si>
    <t xml:space="preserve">Aspecto área sensor</t>
  </si>
  <si>
    <t xml:space="preserve">Uso recomendado (ARRI)</t>
  </si>
  <si>
    <t xml:space="preserve">Apto óptica esférica</t>
  </si>
  <si>
    <t xml:space="preserve">SXT-01</t>
  </si>
  <si>
    <t xml:space="preserve">ProRes HD</t>
  </si>
  <si>
    <t xml:space="preserve">ProRes</t>
  </si>
  <si>
    <t xml:space="preserve">Series o publicidad con ópticas esféricas</t>
  </si>
  <si>
    <t xml:space="preserve">Sí</t>
  </si>
  <si>
    <t xml:space="preserve">F09; F10</t>
  </si>
  <si>
    <t xml:space="preserve">SXT-02</t>
  </si>
  <si>
    <t xml:space="preserve">ProRes 2K</t>
  </si>
  <si>
    <t xml:space="preserve">SXT-03</t>
  </si>
  <si>
    <t xml:space="preserve">ProRes 3.2K</t>
  </si>
  <si>
    <t xml:space="preserve">Máximo de píxeles procesables a alta velocidad</t>
  </si>
  <si>
    <t xml:space="preserve">DISCREPANCIA menor</t>
  </si>
  <si>
    <t xml:space="preserve">F09 da grabación 3200 x 1824; F10 da 3200 x 1800</t>
  </si>
  <si>
    <t xml:space="preserve">SXT-04</t>
  </si>
  <si>
    <t xml:space="preserve">ProRes 4K UHD</t>
  </si>
  <si>
    <t xml:space="preserve">Camino más rápido a 4K UHD (escalado desde 3.2K)</t>
  </si>
  <si>
    <t xml:space="preserve">Escalado 1,2x desde área 3.2K</t>
  </si>
  <si>
    <t xml:space="preserve">SXT-05</t>
  </si>
  <si>
    <t xml:space="preserve">ARRIRAW 2.8K</t>
  </si>
  <si>
    <t xml:space="preserve">ARRIRAW</t>
  </si>
  <si>
    <t xml:space="preserve">Solo XR/SXR</t>
  </si>
  <si>
    <t xml:space="preserve">SXT-06</t>
  </si>
  <si>
    <t xml:space="preserve">ARRIRAW 3.2K</t>
  </si>
  <si>
    <t xml:space="preserve">Cabe en el círculo de ópticas S35 PL con margen para reencuadre</t>
  </si>
  <si>
    <t xml:space="preserve">F09; F10; F11</t>
  </si>
  <si>
    <t xml:space="preserve">Solo XR/SXR. F10 indica 100–120 fps según medio</t>
  </si>
  <si>
    <t xml:space="preserve">SXT-07</t>
  </si>
  <si>
    <t xml:space="preserve">ProRes 2K Anamórfico</t>
  </si>
  <si>
    <t xml:space="preserve">Camino más económico con anamórficas 2x</t>
  </si>
  <si>
    <t xml:space="preserve">No (diseñado para 2x anamórfico)</t>
  </si>
  <si>
    <t xml:space="preserve">F09; F10; F08</t>
  </si>
  <si>
    <t xml:space="preserve">Archivo ya desexprimido</t>
  </si>
  <si>
    <t xml:space="preserve">SXT-08</t>
  </si>
  <si>
    <t xml:space="preserve">ProRes 4K Cine Anamórfico</t>
  </si>
  <si>
    <t xml:space="preserve">Entrega DCI lista, sin desexprimir en post</t>
  </si>
  <si>
    <t xml:space="preserve">SXT-09</t>
  </si>
  <si>
    <t xml:space="preserve">ARRIRAW 2.6K</t>
  </si>
  <si>
    <t xml:space="preserve">ARRI publica 21,38 mm, que corresponde a 2592 px (archivo) y no a 2578 px (área): 0,11 mm de diferencia. Para cobertura se usa el publicado (más conservador)</t>
  </si>
  <si>
    <t xml:space="preserve">SXT-10</t>
  </si>
  <si>
    <t xml:space="preserve">ProRes 2.8K</t>
  </si>
  <si>
    <t xml:space="preserve">Altura extra para VFX o reencuadre en 16:9 / 1.85</t>
  </si>
  <si>
    <t xml:space="preserve">F09: 2944 x 2176 · F10: 2880 x 2160 (relleno de píxeles)</t>
  </si>
  <si>
    <t xml:space="preserve">SXT-11</t>
  </si>
  <si>
    <t xml:space="preserve">Sí (también 4:3 anamórfico)</t>
  </si>
  <si>
    <t xml:space="preserve">SXT-12</t>
  </si>
  <si>
    <t xml:space="preserve">ProRes 3.4K</t>
  </si>
  <si>
    <t xml:space="preserve">Máxima área de imagen en una ALEXA S35</t>
  </si>
  <si>
    <t xml:space="preserve">Sí, si la óptica cubre 33,6 mm</t>
  </si>
  <si>
    <t xml:space="preserve">F09: 3456 x 2202 · F10: 3424 x 2202</t>
  </si>
  <si>
    <t xml:space="preserve">SXT-13</t>
  </si>
  <si>
    <t xml:space="preserve">ProRes 4K Cine</t>
  </si>
  <si>
    <t xml:space="preserve">Exclusivo SXT: ancho 4K DCI con altura extra para VFX</t>
  </si>
  <si>
    <t xml:space="preserve">Sí, si la óptica cubre 33,5 mm</t>
  </si>
  <si>
    <t xml:space="preserve">Escalado desde 3414 x 2198</t>
  </si>
  <si>
    <t xml:space="preserve">SXT-14</t>
  </si>
  <si>
    <t xml:space="preserve">ARRIRAW 3.4K</t>
  </si>
  <si>
    <t xml:space="preserve">Mejor para reencuadrar, estabilizar, tracking y subir a 4K</t>
  </si>
  <si>
    <t xml:space="preserve">Solo XR/SXR. F10 indica 75–90 fps según medio</t>
  </si>
  <si>
    <t xml:space="preserve">Azul = dato publicado por ARRI; negro = fórmula. Δ W compara el gate publicado con photosites × 8,25 µm: todos cuadran (|Δ| ≤ 0,01 mm), lo que valida el pitch. "Diagonal" es el círculo de imagen mínimo que debe cubrir la óptica. DISCREPANCIA menor = ARRI publica dos resoluciones de archivo distintas en dos documentos; el área de sensor (lo que importa para cobertura) coincide.</t>
  </si>
  <si>
    <t xml:space="preserve">Capacidad (GB)</t>
  </si>
  <si>
    <t xml:space="preserve">Adaptador en cámara</t>
  </si>
  <si>
    <t xml:space="preserve">Velocidad interfaz</t>
  </si>
  <si>
    <t xml:space="preserve">Dock / lector de volcado</t>
  </si>
  <si>
    <t xml:space="preserve">SXR Capture Drive 2 TB</t>
  </si>
  <si>
    <t xml:space="preserve">SXR Adapter</t>
  </si>
  <si>
    <t xml:space="preserve">20 Gbit/s</t>
  </si>
  <si>
    <t xml:space="preserve">CODEX SXR Capture Drive Dock (Thunderbolt 3, hasta 20 Gbit/s; solo macOS + CODEX Platform)</t>
  </si>
  <si>
    <t xml:space="preserve">F08; F10; F12</t>
  </si>
  <si>
    <t xml:space="preserve">Medio de referencia para ARRIRAW Open Gate</t>
  </si>
  <si>
    <t xml:space="preserve">SXR Capture Drive 1 TB</t>
  </si>
  <si>
    <t xml:space="preserve">XR Capture Drive 512 GB</t>
  </si>
  <si>
    <t xml:space="preserve">XR Adapter</t>
  </si>
  <si>
    <t xml:space="preserve">6,7 Gbit/s</t>
  </si>
  <si>
    <t xml:space="preserve">XR Capture Drive Dock (TB o USB 3)</t>
  </si>
  <si>
    <t xml:space="preserve">F08; F10</t>
  </si>
  <si>
    <t xml:space="preserve">Los XR de ALEXA XT funcionan en SXT con XR Adapter</t>
  </si>
  <si>
    <t xml:space="preserve">CFast 2.0 256 GB (Lexar 3600x)</t>
  </si>
  <si>
    <t xml:space="preserve">CFast 2.0 Adapter 2</t>
  </si>
  <si>
    <t xml:space="preserve">No</t>
  </si>
  <si>
    <t xml:space="preserve">Lector CFast 2.0 USB 3 / Thunderbolt estándar</t>
  </si>
  <si>
    <t xml:space="preserve">F07; F08; F10; F13</t>
  </si>
  <si>
    <t xml:space="preserve">Requiere SUP 2.0 o posterior (F13). Opción más barata para ProRes</t>
  </si>
  <si>
    <t xml:space="preserve">SxS PRO+ 128 GB</t>
  </si>
  <si>
    <t xml:space="preserve">SxS Adapter 2</t>
  </si>
  <si>
    <t xml:space="preserve">Lector SxS</t>
  </si>
  <si>
    <t xml:space="preserve">No admite ProRes 4444 XQ en 3.2K/4K</t>
  </si>
  <si>
    <t xml:space="preserve">SxS PRO / PRO+ 64 GB</t>
  </si>
  <si>
    <t xml:space="preserve">Legacy</t>
  </si>
  <si>
    <t xml:space="preserve">TIEMPOS DE GRABACIÓN A 24 fps (h:mm) — ARRI ALEXA SXT Crib Sheet (F10). Tasa de datos CALCULADA a partir de esos tiempos.</t>
  </si>
  <si>
    <t xml:space="preserve">ID formato</t>
  </si>
  <si>
    <t xml:space="preserve">Modo / formato</t>
  </si>
  <si>
    <t xml:space="preserve">Códec</t>
  </si>
  <si>
    <t xml:space="preserve">SxS 64 GB</t>
  </si>
  <si>
    <t xml:space="preserve">SxS 128 GB</t>
  </si>
  <si>
    <t xml:space="preserve">CFast 256 GB</t>
  </si>
  <si>
    <t xml:space="preserve">XR 512 GB</t>
  </si>
  <si>
    <t xml:space="preserve">SXR 1 TB</t>
  </si>
  <si>
    <t xml:space="preserve">SXR 2 TB</t>
  </si>
  <si>
    <t xml:space="preserve">Tasa aprox. (MB/s)</t>
  </si>
  <si>
    <t xml:space="preserve">Tasa aprox. (Mbit/s)</t>
  </si>
  <si>
    <t xml:space="preserve">GB por hora</t>
  </si>
  <si>
    <t xml:space="preserve">REC-01</t>
  </si>
  <si>
    <t xml:space="preserve">16:9 ProRes HD</t>
  </si>
  <si>
    <t xml:space="preserve">422</t>
  </si>
  <si>
    <t xml:space="preserve">REC-02</t>
  </si>
  <si>
    <t xml:space="preserve">422 HQ</t>
  </si>
  <si>
    <t xml:space="preserve">REC-03</t>
  </si>
  <si>
    <t xml:space="preserve">4444</t>
  </si>
  <si>
    <t xml:space="preserve">REC-04</t>
  </si>
  <si>
    <t xml:space="preserve">4444 XQ</t>
  </si>
  <si>
    <t xml:space="preserve">REC-05</t>
  </si>
  <si>
    <t xml:space="preserve">16:9 ProRes 2K</t>
  </si>
  <si>
    <t xml:space="preserve">REC-06</t>
  </si>
  <si>
    <t xml:space="preserve">REC-07</t>
  </si>
  <si>
    <t xml:space="preserve">REC-08</t>
  </si>
  <si>
    <t xml:space="preserve">REC-09</t>
  </si>
  <si>
    <t xml:space="preserve">16:9 ProRes 3.2K</t>
  </si>
  <si>
    <t xml:space="preserve">REC-10</t>
  </si>
  <si>
    <t xml:space="preserve">REC-11</t>
  </si>
  <si>
    <t xml:space="preserve">REC-12</t>
  </si>
  <si>
    <t xml:space="preserve">n/d</t>
  </si>
  <si>
    <t xml:space="preserve">REC-13</t>
  </si>
  <si>
    <t xml:space="preserve">16:9 ProRes 4K UHD</t>
  </si>
  <si>
    <t xml:space="preserve">REC-14</t>
  </si>
  <si>
    <t xml:space="preserve">REC-15</t>
  </si>
  <si>
    <t xml:space="preserve">REC-16</t>
  </si>
  <si>
    <t xml:space="preserve">REC-17</t>
  </si>
  <si>
    <t xml:space="preserve">16:9 ARRIRAW 2.8K</t>
  </si>
  <si>
    <t xml:space="preserve">REC-18</t>
  </si>
  <si>
    <t xml:space="preserve">16:9 ARRIRAW 3.2K</t>
  </si>
  <si>
    <t xml:space="preserve">REC-19</t>
  </si>
  <si>
    <t xml:space="preserve">6:5 ProRes 2K Anamórfico</t>
  </si>
  <si>
    <t xml:space="preserve">REC-20</t>
  </si>
  <si>
    <t xml:space="preserve">REC-21</t>
  </si>
  <si>
    <t xml:space="preserve">REC-22</t>
  </si>
  <si>
    <t xml:space="preserve">REC-23</t>
  </si>
  <si>
    <t xml:space="preserve">6:5 ProRes 4K Cine Anamórfico</t>
  </si>
  <si>
    <t xml:space="preserve">REC-24</t>
  </si>
  <si>
    <t xml:space="preserve">REC-25</t>
  </si>
  <si>
    <t xml:space="preserve">REC-26</t>
  </si>
  <si>
    <t xml:space="preserve">REC-27</t>
  </si>
  <si>
    <t xml:space="preserve">6:5 ARRIRAW 2.6K</t>
  </si>
  <si>
    <t xml:space="preserve">REC-28</t>
  </si>
  <si>
    <t xml:space="preserve">4:3 ProRes 2.8K</t>
  </si>
  <si>
    <t xml:space="preserve">REC-29</t>
  </si>
  <si>
    <t xml:space="preserve">REC-30</t>
  </si>
  <si>
    <t xml:space="preserve">REC-31</t>
  </si>
  <si>
    <t xml:space="preserve">REC-32</t>
  </si>
  <si>
    <t xml:space="preserve">4:3 ARRIRAW 2.8K</t>
  </si>
  <si>
    <t xml:space="preserve">REC-33</t>
  </si>
  <si>
    <t xml:space="preserve">Open Gate ProRes 3.4K</t>
  </si>
  <si>
    <t xml:space="preserve">REC-34</t>
  </si>
  <si>
    <t xml:space="preserve">REC-35</t>
  </si>
  <si>
    <t xml:space="preserve">REC-36</t>
  </si>
  <si>
    <t xml:space="preserve">REC-37</t>
  </si>
  <si>
    <t xml:space="preserve">Open Gate ProRes 4K Cine</t>
  </si>
  <si>
    <t xml:space="preserve">REC-38</t>
  </si>
  <si>
    <t xml:space="preserve">REC-39</t>
  </si>
  <si>
    <t xml:space="preserve">REC-40</t>
  </si>
  <si>
    <t xml:space="preserve">REC-41</t>
  </si>
  <si>
    <t xml:space="preserve">Open Gate ARRIRAW 3.4K</t>
  </si>
  <si>
    <t xml:space="preserve">n/d = ARRI no lo admite en ese medio (ARRIRAW nunca va a CFast/SxS; 4444 XQ en 3.2K/4K no va a SxS). Tasa ProRes calculada desde CFast 256 GB porque en XR/SXR ProRes solo usa la mitad de la capacidad (F08); tasa ARRIRAW desde SXR 2 TB. Error esperado ±10 % (capacidad útil real &lt; nominal). Contraste: 4444 XQ UHD 24p sale ~224 MB/s; Apple publica ~1697 Mbit/s ≈ 212 MB/s.</t>
  </si>
  <si>
    <t xml:space="preserve">Los tiempos de ARRI corresponden al firmware de la crib sheet; si la cámara alquilada tiene otro SUP, confirmar en el menú de la cámara (Recording &gt; Remaining time).</t>
  </si>
  <si>
    <t xml:space="preserve">Concepto</t>
  </si>
  <si>
    <t xml:space="preserve">Unidad</t>
  </si>
  <si>
    <t xml:space="preserve">Cómo se obtiene</t>
  </si>
  <si>
    <t xml:space="preserve">ENTRADAS (celdas amarillas)</t>
  </si>
  <si>
    <t xml:space="preserve">Formato + códec (ID de 15)</t>
  </si>
  <si>
    <t xml:space="preserve">Desplegable con los ID de la tabla de tiempos de 15_SXT_Almacenamiento</t>
  </si>
  <si>
    <t xml:space="preserve">Medio de grabación</t>
  </si>
  <si>
    <t xml:space="preserve">Desplegable: SxS 64 GB, SxS 128 GB, CFast 256 GB, XR 512 GB, SXR 1 TB, SXR 2 TB</t>
  </si>
  <si>
    <t xml:space="preserve">Minutos grabados por jornada</t>
  </si>
  <si>
    <t xml:space="preserve">min</t>
  </si>
  <si>
    <t xml:space="preserve">Estimación del usuario (material bruto, no montaje)</t>
  </si>
  <si>
    <t xml:space="preserve">Jornadas de rodaje</t>
  </si>
  <si>
    <t xml:space="preserve">días</t>
  </si>
  <si>
    <t xml:space="preserve">Dato del usuario</t>
  </si>
  <si>
    <t xml:space="preserve">Velocidad máxima del dock</t>
  </si>
  <si>
    <t xml:space="preserve">MB/s</t>
  </si>
  <si>
    <t xml:space="preserve">SXR Dock TB3: 20 Gbit/s = 2500 MB/s teóricos (F12). En la práctica la limita el disco de destino</t>
  </si>
  <si>
    <t xml:space="preserve">Velocidad de escritura del disco de destino</t>
  </si>
  <si>
    <t xml:space="preserve">SUPUESTO editable: SSD externo SATA ≈ 400–500 MB/s; SSD NVMe/RAID TB3 ≈ 1000–2500 MB/s</t>
  </si>
  <si>
    <t xml:space="preserve">Copias de seguridad simultáneas</t>
  </si>
  <si>
    <t xml:space="preserve">copias</t>
  </si>
  <si>
    <t xml:space="preserve">Práctica habitual: 2 copias en discos distintos (con copia en paralelo el tiempo no se multiplica)</t>
  </si>
  <si>
    <t xml:space="preserve">Verificación por checksum (1 = sí, 0 = no)</t>
  </si>
  <si>
    <t xml:space="preserve">Si 1, se suma una pasada de lectura completa para verificar</t>
  </si>
  <si>
    <t xml:space="preserve">RESULTADOS</t>
  </si>
  <si>
    <t xml:space="preserve">Búsqueda en 15</t>
  </si>
  <si>
    <t xml:space="preserve">Tasa de datos aproximada</t>
  </si>
  <si>
    <t xml:space="preserve">Columna J de 15 (CALCULADO)</t>
  </si>
  <si>
    <t xml:space="preserve">Minutos por cargador (24 fps)</t>
  </si>
  <si>
    <t xml:space="preserve">Tiempo ARRI de 15. "n/d" = ese medio no admite el formato</t>
  </si>
  <si>
    <t xml:space="preserve">Volumen por jornada</t>
  </si>
  <si>
    <t xml:space="preserve">GB</t>
  </si>
  <si>
    <t xml:space="preserve">Tasa × minutos × 60</t>
  </si>
  <si>
    <t xml:space="preserve">Volumen total del rodaje</t>
  </si>
  <si>
    <t xml:space="preserve">TB</t>
  </si>
  <si>
    <t xml:space="preserve">Por jornada × jornadas</t>
  </si>
  <si>
    <t xml:space="preserve">Cargadores necesarios por jornada</t>
  </si>
  <si>
    <t xml:space="preserve">uds</t>
  </si>
  <si>
    <t xml:space="preserve">Minutos ÷ minutos por cargador</t>
  </si>
  <si>
    <t xml:space="preserve">Velocidad efectiva de volcado</t>
  </si>
  <si>
    <t xml:space="preserve">La más lenta entre dock y destino</t>
  </si>
  <si>
    <t xml:space="preserve">Horas de volcado por jornada</t>
  </si>
  <si>
    <t xml:space="preserve">h</t>
  </si>
  <si>
    <t xml:space="preserve">Volumen ÷ velocidad efectiva × (1 + pasada de verificación)</t>
  </si>
  <si>
    <t xml:space="preserve">Almacenamiento total a prever (todas las copias)</t>
  </si>
  <si>
    <t xml:space="preserve">Volumen total × nº de copias</t>
  </si>
  <si>
    <t xml:space="preserve">Ejemplo cargado: ARRIRAW Open Gate 3.4K en SXR 2 TB, 60 min/jornada. Cambia las celdas amarillas. Las horas de volcado son una estimación: el tiempo real depende del Mac, del puerto TB3 dedicado (F12) y de si CODEX Platform expone ARRIRAW o lo convierte (p. ej. a ProRes o MXF) durante la copia.</t>
  </si>
  <si>
    <t xml:space="preserve">ID óptica</t>
  </si>
  <si>
    <t xml:space="preserve">Set</t>
  </si>
  <si>
    <t xml:space="preserve">Focal (mm)</t>
  </si>
  <si>
    <t xml:space="preserve">T máx.</t>
  </si>
  <si>
    <t xml:space="preserve">Versión según NAPALM</t>
  </si>
  <si>
    <t xml:space="preserve">Diámetro frontal (mm)</t>
  </si>
  <si>
    <t xml:space="preserve">Enfoque mínimo NAPALM (m)</t>
  </si>
  <si>
    <t xml:space="preserve">Enfoque mínimo Camaleon (m)</t>
  </si>
  <si>
    <t xml:space="preserve">Peso NAPALM (kg)</t>
  </si>
  <si>
    <t xml:space="preserve">Palas de iris (MKII)</t>
  </si>
  <si>
    <t xml:space="preserve">Círculo T1.3 infinito (mm)</t>
  </si>
  <si>
    <t xml:space="preserve">Círculo T1.3 enfoque mín. (mm)</t>
  </si>
  <si>
    <t xml:space="preserve">Círculo T16 infinito (mm)</t>
  </si>
  <si>
    <t xml:space="preserve">Círculo T16 enfoque mín. (mm)</t>
  </si>
  <si>
    <t xml:space="preserve">Círculo típico (mm)</t>
  </si>
  <si>
    <t xml:space="preserve">Círculo peor caso (mm)</t>
  </si>
  <si>
    <t xml:space="preserve">Tipo proyección</t>
  </si>
  <si>
    <t xml:space="preserve">ZSS-18</t>
  </si>
  <si>
    <t xml:space="preserve">ZEISS Super Speed MKII (NAPALM)</t>
  </si>
  <si>
    <t xml:space="preserve">T1.3</t>
  </si>
  <si>
    <t xml:space="preserve">MK II</t>
  </si>
  <si>
    <t xml:space="preserve">PL</t>
  </si>
  <si>
    <t xml:space="preserve">ESFÉRICA</t>
  </si>
  <si>
    <t xml:space="preserve">F14; F15; F16</t>
  </si>
  <si>
    <t xml:space="preserve">CONTRASTE (medido por terceros)</t>
  </si>
  <si>
    <t xml:space="preserve">ZSS-25</t>
  </si>
  <si>
    <t xml:space="preserve">MK I</t>
  </si>
  <si>
    <t xml:space="preserve">NAPALM indica MK I: iris de diseño antiguo; bokeh puede no ser circular al cerrar</t>
  </si>
  <si>
    <t xml:space="preserve">ZSS-35</t>
  </si>
  <si>
    <t xml:space="preserve">NAPALM indica MK I: ver nota del 25 mm</t>
  </si>
  <si>
    <t xml:space="preserve">ZSS-50</t>
  </si>
  <si>
    <t xml:space="preserve">ZSS-85</t>
  </si>
  <si>
    <t xml:space="preserve">True Lens publica "60+": se usa 60 como valor conservador</t>
  </si>
  <si>
    <t xml:space="preserve">Squeeze vacío a propósito: son esféricas (regla de 04_No_Perder_Datos). Círculo de imagen: ZEISS no lo publica para la serie original; los valores son mediciones de True Lens/TLS sobre la misma óptica rehousing (F16) → estado CONTRASTE, no FABRICANTE. "Típico" = T1.3 a infinito; "peor caso" = mínimo de las cuatro medidas.</t>
  </si>
  <si>
    <t xml:space="preserve">Discrepancias a confirmar con NAPALM: (1) la ficha mezcla MK I (25/35/50) y MK II (18/85) según los pesos; (2) enfoque mínimo 18/25 mm: NAPALM 0,25 m vs Camaleon 0,30 m; (3) NAPALM muestra "desde 228 €/día" (sin IVA ni seguro) frente a 380 €/día consultado antes: confirmar tarifa del set completo.</t>
  </si>
  <si>
    <t xml:space="preserve">Modo SXT</t>
  </si>
  <si>
    <t xml:space="preserve">Círculo necesario (mm)</t>
  </si>
  <si>
    <t xml:space="preserve">18 mm</t>
  </si>
  <si>
    <t xml:space="preserve">25 mm</t>
  </si>
  <si>
    <t xml:space="preserve">35 mm</t>
  </si>
  <si>
    <t xml:space="preserve">50 mm</t>
  </si>
  <si>
    <t xml:space="preserve">85 mm</t>
  </si>
  <si>
    <t xml:space="preserve">Apto esféricas</t>
  </si>
  <si>
    <t xml:space="preserve">CUBRE = el círculo peor caso (cualquier T y foco medidos) ≥ diagonal del modo.</t>
  </si>
  <si>
    <t xml:space="preserve">LÍMITE = cubre a T1.3 / infinito pero no en el peor caso (cerrado a T16 o en otra distancia): probar en la prueba de cámara.</t>
  </si>
  <si>
    <t xml:space="preserve">RIESGO = le falta ≤ 1 mm a T1.3 / infinito: probable oscurecimiento de esquinas; confirmar en prueba de cámara.</t>
  </si>
  <si>
    <t xml:space="preserve">VIÑETEA = le falta más de 1 mm. Resultado CALCULADO por IRIS DP (regla 07_Modelo_Optico_Futuro), no observación.</t>
  </si>
  <si>
    <t xml:space="preserve">Lectura rápida: con el set Super Speed, todos los modos 16:9 y 4:3 cubren. En Open Gate el 18 mm queda en RIESGO; el resto cubre. Los modos 6:5 cubren, pero están pensados para anamórficas.</t>
  </si>
  <si>
    <t xml:space="preserve">Pantalla / acción en la app</t>
  </si>
  <si>
    <t xml:space="preserve">Entrada</t>
  </si>
  <si>
    <t xml:space="preserve">Cálculo / regla</t>
  </si>
  <si>
    <t xml:space="preserve">Salida</t>
  </si>
  <si>
    <t xml:space="preserve">Hoja de datos</t>
  </si>
  <si>
    <t xml:space="preserve">Elegir cámara</t>
  </si>
  <si>
    <t xml:space="preserve">Cámara (p. ej. ALEXA SXT)</t>
  </si>
  <si>
    <t xml:space="preserve">Carga sensor, pitch, montura y medios</t>
  </si>
  <si>
    <t xml:space="preserve">Ficha de cámara</t>
  </si>
  <si>
    <t xml:space="preserve">Elegir modo de sensor + formato</t>
  </si>
  <si>
    <t xml:space="preserve">Modo (16:9, 4:3, 6:5, Open Gate) y formato</t>
  </si>
  <si>
    <t xml:space="preserve">Gate = photosites × pitch; diagonal = √(W² + H²)</t>
  </si>
  <si>
    <t xml:space="preserve">Gate W/H y círculo necesario</t>
  </si>
  <si>
    <t xml:space="preserve">Elegir set de ópticas</t>
  </si>
  <si>
    <t xml:space="preserve">Set (p. ej. Super Speed MKII NAPALM)</t>
  </si>
  <si>
    <t xml:space="preserve">Comprobar montura (PL ↔ PL) y tipo de proyección</t>
  </si>
  <si>
    <t xml:space="preserve">Lista de focales</t>
  </si>
  <si>
    <t xml:space="preserve">Comprobar cobertura</t>
  </si>
  <si>
    <t xml:space="preserve">Modo + focal</t>
  </si>
  <si>
    <t xml:space="preserve">Comparar círculo típico/peor caso con diagonal → CUBRE / LÍMITE / RIESGO / VIÑETEA</t>
  </si>
  <si>
    <t xml:space="preserve">Semáforo por focal</t>
  </si>
  <si>
    <t xml:space="preserve">Avisos ópticos</t>
  </si>
  <si>
    <t xml:space="preserve">Resultado del paso 4</t>
  </si>
  <si>
    <t xml:space="preserve">Si LÍMITE/RIESGO: pedir prueba; si óptica esférica en 6:5: avisar; si squeeze en esférica: bloquear</t>
  </si>
  <si>
    <t xml:space="preserve">Avisos</t>
  </si>
  <si>
    <t xml:space="preserve">04_No_Perder_Datos; 07</t>
  </si>
  <si>
    <t xml:space="preserve">Elegir códec y medio</t>
  </si>
  <si>
    <t xml:space="preserve">Códec + medio</t>
  </si>
  <si>
    <t xml:space="preserve">Validar compatibilidad (ARRIRAW solo XR/SXR); FPS máx. del modo</t>
  </si>
  <si>
    <t xml:space="preserve">Minutos por cargador</t>
  </si>
  <si>
    <t xml:space="preserve">Planificar volcado</t>
  </si>
  <si>
    <t xml:space="preserve">Minutos/jornada, jornadas, velocidades, copias</t>
  </si>
  <si>
    <t xml:space="preserve">Volumen, cargadores, horas de volcado, TB totales</t>
  </si>
  <si>
    <t xml:space="preserve">Plan de DIT / volcado</t>
  </si>
  <si>
    <t xml:space="preserve">Trazabilidad</t>
  </si>
  <si>
    <t xml:space="preserve">Cada dato muestra Fuente + Estado (CONFIRMADO / CALCULADO / CONTRASTE / PENDIENTE)</t>
  </si>
  <si>
    <t xml:space="preserve">Ficha exportable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</si>
</sst>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[h]:mm"/>
    <numFmt numFmtId="167" formatCode="0"/>
    <numFmt numFmtId="168" formatCode="#,##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E2EFD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arri.com/resource/blob/400322/3ccb33a431efbe7eb9223444c0468cac/recording-formats-poster-data.pdf" TargetMode="External"/><Relationship Id="rId2" Type="http://schemas.openxmlformats.org/officeDocument/2006/relationships/hyperlink" Target="https://www.fdtimes.com/2025/07/31/arri-alexa-35-xtreme/" TargetMode="External"/><Relationship Id="rId3" Type="http://schemas.openxmlformats.org/officeDocument/2006/relationships/hyperlink" Target="https://www.arri.com/resource/blob/398842/d0022c71c2e428c42d9fe07be96c2580/20250731-arri-press-release-alexa-35-xtreme-arricore-en-data.pdf" TargetMode="External"/><Relationship Id="rId4" Type="http://schemas.openxmlformats.org/officeDocument/2006/relationships/hyperlink" Target="https://www.blackmagicdesign.com/products/blackmagicpyxis/techspecs/W-CIN-24" TargetMode="External"/><Relationship Id="rId5" Type="http://schemas.openxmlformats.org/officeDocument/2006/relationships/hyperlink" Target="https://www.lensrentals.com/product-assets/22fac6da-9c01-4dce-bbf3-e9e6cf2cd92b/blackmagic-ursa-cine-17k-65-evf-techspecs.pdf" TargetMode="External"/><Relationship Id="rId6" Type="http://schemas.openxmlformats.org/officeDocument/2006/relationships/hyperlink" Target="https://www.blackmagicdesign.com/products/blackmagicursacine/techspecs/W-CIN-17" TargetMode="External"/><Relationship Id="rId7" Type="http://schemas.openxmlformats.org/officeDocument/2006/relationships/hyperlink" Target="https://www.afcinema.com/IMG/pdf/3/0/f/arri_group_alexa_sxt_studio_technical_data.pdf" TargetMode="External"/><Relationship Id="rId8" Type="http://schemas.openxmlformats.org/officeDocument/2006/relationships/hyperlink" Target="https://www.arri.com/en/learn-help/learn-help-camera-system/frequently-asked-questions/alexa-sxt-faq" TargetMode="External"/><Relationship Id="rId9" Type="http://schemas.openxmlformats.org/officeDocument/2006/relationships/hyperlink" Target="https://www.videocineimport.com/wp-content/uploads/2020/03/Technical-Data-ALEXA-SXT-W.pdf" TargetMode="External"/><Relationship Id="rId10" Type="http://schemas.openxmlformats.org/officeDocument/2006/relationships/hyperlink" Target="https://www.arri.com/resource/blob/41634/b1379eeeabbdc8b194a2af2dae68fee7/download-camera-alexa-sxt-crib-sheet-data.pdf" TargetMode="External"/><Relationship Id="rId11" Type="http://schemas.openxmlformats.org/officeDocument/2006/relationships/hyperlink" Target="https://visuals.co.uk/blog/arri-alexa-sxt-gets-prores-2k-and-4k-anamorphic-modes-plus-open-gate-prores-3-4k-and-arriraw-3-2k" TargetMode="External"/><Relationship Id="rId12" Type="http://schemas.openxmlformats.org/officeDocument/2006/relationships/hyperlink" Target="https://help.codex.online/content/media-stations/sxr-capture-drive-dock" TargetMode="External"/><Relationship Id="rId13" Type="http://schemas.openxmlformats.org/officeDocument/2006/relationships/hyperlink" Target="https://vmedia.digital/memory-card-database/arri-sxt-compatible-memory-cards-recording-times/" TargetMode="External"/><Relationship Id="rId14" Type="http://schemas.openxmlformats.org/officeDocument/2006/relationships/hyperlink" Target="https://napalmrentals.com/product/set-zeiss-superspeed-mkii-18-25-35-50-85mm-t1-3-s35" TargetMode="External"/><Relationship Id="rId15" Type="http://schemas.openxmlformats.org/officeDocument/2006/relationships/hyperlink" Target="https://www.camaleonrental.com/gb/zeiss-lenses-hire/zeiss-super-speed-t13-mkii" TargetMode="External"/><Relationship Id="rId16" Type="http://schemas.openxmlformats.org/officeDocument/2006/relationships/hyperlink" Target="https://www.truelens.co.uk/35mm-zeiss-super-speed" TargetMode="External"/><Relationship Id="rId17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64"/>
    <col collapsed="false" customWidth="true" hidden="false" outlineLevel="0" max="7" min="7" style="0" width="46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8.3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28.35" hidden="false" customHeight="false" outlineLevel="0" collapsed="false">
      <c r="A3" s="2" t="n">
        <v>2</v>
      </c>
      <c r="B3" s="2" t="s">
        <v>8</v>
      </c>
      <c r="C3" s="2" t="s">
        <v>9</v>
      </c>
      <c r="D3" s="2" t="s">
        <v>15</v>
      </c>
      <c r="E3" s="2" t="s">
        <v>11</v>
      </c>
      <c r="F3" s="2" t="s">
        <v>16</v>
      </c>
      <c r="G3" s="2" t="s">
        <v>17</v>
      </c>
      <c r="H3" s="2" t="s">
        <v>14</v>
      </c>
    </row>
    <row r="4" customFormat="false" ht="28.35" hidden="false" customHeight="false" outlineLevel="0" collapsed="false">
      <c r="A4" s="2" t="n">
        <v>3</v>
      </c>
      <c r="B4" s="2" t="s">
        <v>8</v>
      </c>
      <c r="C4" s="2" t="s">
        <v>9</v>
      </c>
      <c r="D4" s="2" t="s">
        <v>18</v>
      </c>
      <c r="E4" s="2" t="s">
        <v>11</v>
      </c>
      <c r="F4" s="2" t="s">
        <v>19</v>
      </c>
      <c r="G4" s="2" t="s">
        <v>20</v>
      </c>
      <c r="H4" s="2" t="s">
        <v>21</v>
      </c>
    </row>
    <row r="5" customFormat="false" ht="28.35" hidden="false" customHeight="false" outlineLevel="0" collapsed="false">
      <c r="A5" s="2" t="n">
        <v>4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21</v>
      </c>
    </row>
    <row r="6" customFormat="false" ht="28.35" hidden="false" customHeight="false" outlineLevel="0" collapsed="false">
      <c r="A6" s="2" t="n">
        <v>5</v>
      </c>
      <c r="B6" s="2" t="s">
        <v>26</v>
      </c>
      <c r="C6" s="2" t="s">
        <v>9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21</v>
      </c>
    </row>
    <row r="7" customFormat="false" ht="28.35" hidden="false" customHeight="false" outlineLevel="0" collapsed="false">
      <c r="A7" s="2" t="n">
        <v>6</v>
      </c>
      <c r="B7" s="2" t="s">
        <v>26</v>
      </c>
      <c r="C7" s="2" t="s">
        <v>9</v>
      </c>
      <c r="D7" s="2" t="s">
        <v>31</v>
      </c>
      <c r="E7" s="2" t="s">
        <v>11</v>
      </c>
      <c r="F7" s="2" t="s">
        <v>32</v>
      </c>
      <c r="G7" s="2" t="s">
        <v>33</v>
      </c>
      <c r="H7" s="2" t="s">
        <v>34</v>
      </c>
    </row>
    <row r="8" customFormat="false" ht="41.75" hidden="false" customHeight="false" outlineLevel="0" collapsed="false">
      <c r="A8" s="2" t="n">
        <v>7</v>
      </c>
      <c r="B8" s="2" t="s">
        <v>26</v>
      </c>
      <c r="C8" s="2" t="s">
        <v>9</v>
      </c>
      <c r="D8" s="2" t="s">
        <v>35</v>
      </c>
      <c r="E8" s="2" t="s">
        <v>11</v>
      </c>
      <c r="F8" s="2" t="s">
        <v>36</v>
      </c>
      <c r="G8" s="2" t="s">
        <v>37</v>
      </c>
      <c r="H8" s="2" t="s">
        <v>38</v>
      </c>
    </row>
    <row r="9" customFormat="false" ht="41.75" hidden="false" customHeight="false" outlineLevel="0" collapsed="false">
      <c r="A9" s="2" t="n">
        <v>8</v>
      </c>
      <c r="B9" s="2" t="s">
        <v>26</v>
      </c>
      <c r="C9" s="2" t="s">
        <v>9</v>
      </c>
      <c r="D9" s="2" t="s">
        <v>39</v>
      </c>
      <c r="E9" s="2" t="s">
        <v>11</v>
      </c>
      <c r="F9" s="2" t="s">
        <v>40</v>
      </c>
      <c r="G9" s="2" t="s">
        <v>41</v>
      </c>
      <c r="H9" s="2" t="s">
        <v>42</v>
      </c>
    </row>
    <row r="10" customFormat="false" ht="28.35" hidden="false" customHeight="false" outlineLevel="0" collapsed="false">
      <c r="A10" s="2" t="n">
        <v>9</v>
      </c>
      <c r="B10" s="2" t="s">
        <v>26</v>
      </c>
      <c r="C10" s="2" t="s">
        <v>9</v>
      </c>
      <c r="D10" s="2" t="s">
        <v>43</v>
      </c>
      <c r="E10" s="2" t="s">
        <v>11</v>
      </c>
      <c r="F10" s="2" t="s">
        <v>44</v>
      </c>
      <c r="G10" s="2" t="s">
        <v>45</v>
      </c>
      <c r="H10" s="2" t="s">
        <v>46</v>
      </c>
    </row>
    <row r="11" customFormat="false" ht="28.35" hidden="false" customHeight="false" outlineLevel="0" collapsed="false">
      <c r="A11" s="2" t="n">
        <v>10</v>
      </c>
      <c r="B11" s="2" t="s">
        <v>26</v>
      </c>
      <c r="C11" s="2" t="s">
        <v>9</v>
      </c>
      <c r="D11" s="2" t="s">
        <v>47</v>
      </c>
      <c r="E11" s="2" t="s">
        <v>11</v>
      </c>
      <c r="F11" s="2" t="s">
        <v>48</v>
      </c>
      <c r="G11" s="2" t="s">
        <v>49</v>
      </c>
      <c r="H11" s="2" t="s">
        <v>50</v>
      </c>
    </row>
    <row r="12" customFormat="false" ht="28.35" hidden="false" customHeight="false" outlineLevel="0" collapsed="false">
      <c r="A12" s="2" t="n">
        <v>11</v>
      </c>
      <c r="B12" s="2" t="s">
        <v>26</v>
      </c>
      <c r="C12" s="2" t="s">
        <v>9</v>
      </c>
      <c r="D12" s="2" t="s">
        <v>51</v>
      </c>
      <c r="E12" s="2" t="s">
        <v>11</v>
      </c>
      <c r="F12" s="2" t="s">
        <v>52</v>
      </c>
      <c r="G12" s="2" t="s">
        <v>53</v>
      </c>
      <c r="H12" s="2" t="s">
        <v>54</v>
      </c>
    </row>
    <row r="13" customFormat="false" ht="28.35" hidden="false" customHeight="false" outlineLevel="0" collapsed="false">
      <c r="A13" s="2" t="n">
        <v>12</v>
      </c>
      <c r="B13" s="2" t="s">
        <v>26</v>
      </c>
      <c r="C13" s="2" t="s">
        <v>9</v>
      </c>
      <c r="D13" s="2" t="s">
        <v>55</v>
      </c>
      <c r="E13" s="2" t="s">
        <v>11</v>
      </c>
      <c r="F13" s="2" t="s">
        <v>56</v>
      </c>
      <c r="G13" s="2" t="s">
        <v>57</v>
      </c>
      <c r="H13" s="2" t="s">
        <v>21</v>
      </c>
    </row>
    <row r="14" customFormat="false" ht="28.35" hidden="false" customHeight="false" outlineLevel="0" collapsed="false">
      <c r="A14" s="2" t="n">
        <v>13</v>
      </c>
      <c r="B14" s="2" t="s">
        <v>26</v>
      </c>
      <c r="C14" s="2" t="s">
        <v>9</v>
      </c>
      <c r="D14" s="2" t="s">
        <v>58</v>
      </c>
      <c r="E14" s="2" t="s">
        <v>23</v>
      </c>
      <c r="F14" s="2" t="s">
        <v>59</v>
      </c>
      <c r="G14" s="2" t="s">
        <v>60</v>
      </c>
      <c r="H14" s="2" t="s">
        <v>21</v>
      </c>
    </row>
  </sheetData>
  <autoFilter ref="A1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49"/>
    <col collapsed="false" customWidth="true" hidden="false" outlineLevel="0" max="2" min="2" style="3" width="60"/>
    <col collapsed="false" customWidth="true" hidden="false" outlineLevel="0" max="3" min="3" style="3" width="26"/>
  </cols>
  <sheetData>
    <row r="1" customFormat="false" ht="31.5" hidden="false" customHeight="true" outlineLevel="0" collapsed="false">
      <c r="A1" s="1" t="s">
        <v>61</v>
      </c>
      <c r="B1" s="1"/>
      <c r="C1" s="1"/>
    </row>
    <row r="2" customFormat="false" ht="15" hidden="false" customHeight="true" outlineLevel="0" collapsed="false">
      <c r="A2" s="4" t="s">
        <v>62</v>
      </c>
      <c r="B2" s="4" t="s">
        <v>26</v>
      </c>
      <c r="C2" s="4"/>
    </row>
    <row r="3" customFormat="false" ht="15" hidden="false" customHeight="true" outlineLevel="0" collapsed="false">
      <c r="A3" s="4" t="s">
        <v>63</v>
      </c>
      <c r="B3" s="4" t="s">
        <v>64</v>
      </c>
      <c r="C3" s="4"/>
    </row>
    <row r="4" customFormat="false" ht="27.75" hidden="false" customHeight="true" outlineLevel="0" collapsed="false">
      <c r="A4" s="4" t="s">
        <v>65</v>
      </c>
      <c r="B4" s="4" t="s">
        <v>66</v>
      </c>
      <c r="C4" s="4"/>
    </row>
    <row r="5" customFormat="false" ht="27.75" hidden="false" customHeight="true" outlineLevel="0" collapsed="false">
      <c r="A5" s="4" t="s">
        <v>67</v>
      </c>
      <c r="B5" s="4" t="s">
        <v>68</v>
      </c>
      <c r="C5" s="4"/>
    </row>
    <row r="6" customFormat="false" ht="15" hidden="false" customHeight="true" outlineLevel="0" collapsed="false">
      <c r="A6" s="4" t="s">
        <v>69</v>
      </c>
      <c r="B6" s="4" t="s">
        <v>70</v>
      </c>
      <c r="C6" s="4"/>
    </row>
    <row r="7" customFormat="false" ht="15" hidden="false" customHeight="true" outlineLevel="0" collapsed="false">
      <c r="A7" s="4"/>
      <c r="B7" s="4"/>
      <c r="C7" s="4"/>
    </row>
    <row r="8" customFormat="false" ht="15" hidden="false" customHeight="true" outlineLevel="0" collapsed="false">
      <c r="A8" s="4" t="s">
        <v>71</v>
      </c>
      <c r="B8" s="4" t="s">
        <v>72</v>
      </c>
      <c r="C8" s="4" t="s">
        <v>73</v>
      </c>
    </row>
    <row r="9" customFormat="false" ht="15" hidden="false" customHeight="true" outlineLevel="0" collapsed="false">
      <c r="A9" s="4" t="s">
        <v>74</v>
      </c>
      <c r="B9" s="4" t="s">
        <v>75</v>
      </c>
      <c r="C9" s="4" t="s">
        <v>76</v>
      </c>
    </row>
    <row r="10" customFormat="false" ht="15" hidden="false" customHeight="true" outlineLevel="0" collapsed="false">
      <c r="A10" s="4" t="s">
        <v>77</v>
      </c>
      <c r="B10" s="4" t="s">
        <v>78</v>
      </c>
      <c r="C10" s="4" t="s">
        <v>79</v>
      </c>
    </row>
    <row r="11" customFormat="false" ht="15" hidden="false" customHeight="true" outlineLevel="0" collapsed="false">
      <c r="A11" s="4" t="s">
        <v>80</v>
      </c>
      <c r="B11" s="4" t="s">
        <v>78</v>
      </c>
      <c r="C11" s="4" t="s">
        <v>79</v>
      </c>
    </row>
    <row r="12" customFormat="false" ht="15" hidden="false" customHeight="true" outlineLevel="0" collapsed="false">
      <c r="A12" s="4" t="s">
        <v>81</v>
      </c>
      <c r="B12" s="4" t="s">
        <v>82</v>
      </c>
      <c r="C12" s="4" t="s">
        <v>83</v>
      </c>
    </row>
    <row r="13" customFormat="false" ht="15" hidden="false" customHeight="true" outlineLevel="0" collapsed="false">
      <c r="A13" s="4" t="s">
        <v>84</v>
      </c>
      <c r="B13" s="4" t="s">
        <v>82</v>
      </c>
      <c r="C13" s="4" t="s">
        <v>85</v>
      </c>
    </row>
    <row r="14" customFormat="false" ht="27.75" hidden="false" customHeight="true" outlineLevel="0" collapsed="false">
      <c r="A14" s="2" t="s">
        <v>86</v>
      </c>
      <c r="B14" s="2" t="s">
        <v>87</v>
      </c>
      <c r="C14" s="2" t="s">
        <v>88</v>
      </c>
    </row>
    <row r="15" customFormat="false" ht="28.35" hidden="false" customHeight="false" outlineLevel="0" collapsed="false">
      <c r="A15" s="2" t="s">
        <v>89</v>
      </c>
      <c r="B15" s="2" t="s">
        <v>90</v>
      </c>
      <c r="C15" s="2" t="s">
        <v>91</v>
      </c>
    </row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20"/>
    <col collapsed="false" customWidth="true" hidden="false" outlineLevel="0" max="3" min="3" style="3" width="60"/>
    <col collapsed="false" customWidth="true" hidden="false" outlineLevel="0" max="4" min="4" style="3" width="54"/>
    <col collapsed="false" customWidth="true" hidden="false" outlineLevel="0" max="5" min="5" style="3" width="30"/>
    <col collapsed="false" customWidth="true" hidden="false" outlineLevel="0" max="6" min="6" style="3" width="12"/>
    <col collapsed="false" customWidth="true" hidden="false" outlineLevel="0" max="7" min="7" style="3" width="47"/>
  </cols>
  <sheetData>
    <row r="1" customFormat="false" ht="31.5" hidden="false" customHeight="true" outlineLevel="0" collapsed="false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customFormat="false" ht="15" hidden="false" customHeight="true" outlineLevel="0" collapsed="false">
      <c r="A2" s="4" t="s">
        <v>99</v>
      </c>
      <c r="B2" s="4" t="s">
        <v>100</v>
      </c>
      <c r="C2" s="4" t="s">
        <v>101</v>
      </c>
      <c r="D2" s="4" t="s">
        <v>102</v>
      </c>
      <c r="E2" s="4" t="s">
        <v>103</v>
      </c>
      <c r="F2" s="4" t="s">
        <v>104</v>
      </c>
      <c r="G2" s="4" t="s">
        <v>105</v>
      </c>
    </row>
    <row r="3" customFormat="false" ht="15" hidden="false" customHeight="true" outlineLevel="0" collapsed="false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103</v>
      </c>
      <c r="F3" s="4" t="s">
        <v>110</v>
      </c>
      <c r="G3" s="4" t="s">
        <v>111</v>
      </c>
    </row>
    <row r="4" customFormat="false" ht="15" hidden="false" customHeight="true" outlineLevel="0" collapsed="false">
      <c r="A4" s="4" t="s">
        <v>112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110</v>
      </c>
      <c r="G4" s="4" t="s">
        <v>117</v>
      </c>
    </row>
    <row r="5" customFormat="false" ht="15" hidden="false" customHeight="true" outlineLevel="0" collapsed="false">
      <c r="A5" s="4" t="s">
        <v>118</v>
      </c>
      <c r="B5" s="4" t="s">
        <v>113</v>
      </c>
      <c r="C5" s="4" t="s">
        <v>119</v>
      </c>
      <c r="D5" s="4" t="s">
        <v>120</v>
      </c>
      <c r="E5" s="4" t="s">
        <v>121</v>
      </c>
      <c r="F5" s="4" t="s">
        <v>104</v>
      </c>
      <c r="G5" s="4" t="s">
        <v>122</v>
      </c>
    </row>
    <row r="6" customFormat="false" ht="15" hidden="false" customHeight="true" outlineLevel="0" collapsed="false">
      <c r="A6" s="4" t="s">
        <v>123</v>
      </c>
      <c r="B6" s="4" t="s">
        <v>113</v>
      </c>
      <c r="C6" s="4" t="s">
        <v>124</v>
      </c>
      <c r="D6" s="4" t="s">
        <v>125</v>
      </c>
      <c r="E6" s="4" t="s">
        <v>121</v>
      </c>
      <c r="F6" s="4" t="s">
        <v>104</v>
      </c>
      <c r="G6" s="4" t="s">
        <v>126</v>
      </c>
    </row>
    <row r="7" customFormat="false" ht="27.75" hidden="false" customHeight="true" outlineLevel="0" collapsed="false">
      <c r="A7" s="4" t="s">
        <v>127</v>
      </c>
      <c r="B7" s="4" t="s">
        <v>113</v>
      </c>
      <c r="C7" s="4" t="s">
        <v>128</v>
      </c>
      <c r="D7" s="4" t="s">
        <v>129</v>
      </c>
      <c r="E7" s="4" t="s">
        <v>121</v>
      </c>
      <c r="F7" s="4" t="s">
        <v>104</v>
      </c>
      <c r="G7" s="4" t="s">
        <v>130</v>
      </c>
    </row>
    <row r="8" customFormat="false" ht="15" hidden="false" customHeight="true" outlineLevel="0" collapsed="false">
      <c r="A8" s="4" t="s">
        <v>131</v>
      </c>
      <c r="B8" s="4" t="s">
        <v>132</v>
      </c>
      <c r="C8" s="4" t="s">
        <v>133</v>
      </c>
      <c r="D8" s="4" t="s">
        <v>134</v>
      </c>
      <c r="E8" s="4" t="s">
        <v>135</v>
      </c>
      <c r="F8" s="4" t="s">
        <v>136</v>
      </c>
      <c r="G8" s="4" t="s">
        <v>137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19"/>
    <col collapsed="false" customWidth="true" hidden="false" outlineLevel="0" max="3" min="3" style="3" width="23"/>
    <col collapsed="false" customWidth="true" hidden="false" outlineLevel="0" max="4" min="4" style="3" width="60"/>
    <col collapsed="false" customWidth="true" hidden="false" outlineLevel="0" max="5" min="5" style="3" width="16"/>
    <col collapsed="false" customWidth="true" hidden="false" outlineLevel="0" max="6" min="6" style="3" width="12"/>
    <col collapsed="false" customWidth="true" hidden="false" outlineLevel="0" max="7" min="7" style="3" width="59"/>
    <col collapsed="false" customWidth="true" hidden="false" outlineLevel="0" max="8" min="8" style="3" width="60"/>
    <col collapsed="false" customWidth="true" hidden="false" outlineLevel="0" max="9" min="9" style="3" width="28"/>
  </cols>
  <sheetData>
    <row r="1" customFormat="false" ht="31.5" hidden="false" customHeight="true" outlineLevel="0" collapsed="false">
      <c r="A1" s="1" t="s">
        <v>92</v>
      </c>
      <c r="B1" s="1" t="s">
        <v>138</v>
      </c>
      <c r="C1" s="1" t="s">
        <v>139</v>
      </c>
      <c r="D1" s="1" t="s">
        <v>140</v>
      </c>
      <c r="E1" s="1" t="s">
        <v>4</v>
      </c>
      <c r="F1" s="1" t="s">
        <v>141</v>
      </c>
      <c r="G1" s="1" t="s">
        <v>142</v>
      </c>
      <c r="H1" s="1" t="s">
        <v>143</v>
      </c>
      <c r="I1" s="1" t="s">
        <v>144</v>
      </c>
    </row>
    <row r="2" customFormat="false" ht="15" hidden="false" customHeight="true" outlineLevel="0" collapsed="false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136</v>
      </c>
      <c r="G2" s="4" t="s">
        <v>150</v>
      </c>
      <c r="H2" s="4" t="s">
        <v>151</v>
      </c>
      <c r="I2" s="4" t="s">
        <v>152</v>
      </c>
    </row>
    <row r="3" customFormat="false" ht="15" hidden="false" customHeight="true" outlineLevel="0" collapsed="false">
      <c r="A3" s="4" t="s">
        <v>153</v>
      </c>
      <c r="B3" s="4" t="s">
        <v>154</v>
      </c>
      <c r="C3" s="4" t="s">
        <v>155</v>
      </c>
      <c r="D3" s="4" t="s">
        <v>156</v>
      </c>
      <c r="E3" s="4" t="s">
        <v>149</v>
      </c>
      <c r="F3" s="4" t="s">
        <v>104</v>
      </c>
      <c r="G3" s="4" t="s">
        <v>157</v>
      </c>
      <c r="H3" s="4" t="s">
        <v>158</v>
      </c>
      <c r="I3" s="4" t="s">
        <v>159</v>
      </c>
    </row>
    <row r="4" customFormat="false" ht="27.75" hidden="false" customHeight="true" outlineLevel="0" collapsed="false">
      <c r="A4" s="4" t="s">
        <v>160</v>
      </c>
      <c r="B4" s="4" t="s">
        <v>81</v>
      </c>
      <c r="C4" s="4" t="s">
        <v>155</v>
      </c>
      <c r="D4" s="4" t="s">
        <v>161</v>
      </c>
      <c r="E4" s="4" t="s">
        <v>162</v>
      </c>
      <c r="F4" s="4" t="s">
        <v>104</v>
      </c>
      <c r="G4" s="4" t="s">
        <v>163</v>
      </c>
      <c r="H4" s="4" t="s">
        <v>164</v>
      </c>
      <c r="I4" s="4" t="s">
        <v>165</v>
      </c>
    </row>
    <row r="5" customFormat="false" ht="15" hidden="false" customHeight="true" outlineLevel="0" collapsed="false">
      <c r="A5" s="4" t="s">
        <v>166</v>
      </c>
      <c r="B5" s="4" t="s">
        <v>81</v>
      </c>
      <c r="C5" s="4" t="s">
        <v>167</v>
      </c>
      <c r="D5" s="4" t="s">
        <v>168</v>
      </c>
      <c r="E5" s="4" t="s">
        <v>162</v>
      </c>
      <c r="F5" s="4" t="s">
        <v>136</v>
      </c>
      <c r="G5" s="4" t="s">
        <v>169</v>
      </c>
      <c r="H5" s="4" t="s">
        <v>170</v>
      </c>
      <c r="I5" s="4" t="s">
        <v>165</v>
      </c>
    </row>
    <row r="6" customFormat="false" ht="15" hidden="false" customHeight="true" outlineLevel="0" collapsed="false">
      <c r="A6" s="4" t="s">
        <v>171</v>
      </c>
      <c r="B6" s="4" t="s">
        <v>81</v>
      </c>
      <c r="C6" s="4" t="s">
        <v>172</v>
      </c>
      <c r="D6" s="4" t="s">
        <v>173</v>
      </c>
      <c r="E6" s="4" t="s">
        <v>162</v>
      </c>
      <c r="F6" s="4" t="s">
        <v>136</v>
      </c>
      <c r="G6" s="4" t="s">
        <v>174</v>
      </c>
      <c r="H6" s="4" t="s">
        <v>175</v>
      </c>
      <c r="I6" s="4" t="s">
        <v>165</v>
      </c>
    </row>
    <row r="7" customFormat="false" ht="15" hidden="false" customHeight="true" outlineLevel="0" collapsed="false">
      <c r="A7" s="4" t="s">
        <v>176</v>
      </c>
      <c r="B7" s="4" t="s">
        <v>177</v>
      </c>
      <c r="C7" s="4" t="s">
        <v>178</v>
      </c>
      <c r="D7" s="4" t="s">
        <v>179</v>
      </c>
      <c r="E7" s="4" t="s">
        <v>180</v>
      </c>
      <c r="F7" s="4" t="s">
        <v>104</v>
      </c>
      <c r="G7" s="4" t="s">
        <v>181</v>
      </c>
      <c r="H7" s="4" t="s">
        <v>182</v>
      </c>
      <c r="I7" s="4" t="s">
        <v>183</v>
      </c>
    </row>
    <row r="8" customFormat="false" ht="27.75" hidden="false" customHeight="true" outlineLevel="0" collapsed="false">
      <c r="A8" s="4" t="s">
        <v>184</v>
      </c>
      <c r="B8" s="4" t="s">
        <v>81</v>
      </c>
      <c r="C8" s="4" t="s">
        <v>185</v>
      </c>
      <c r="D8" s="4" t="s">
        <v>186</v>
      </c>
      <c r="E8" s="4" t="s">
        <v>187</v>
      </c>
      <c r="F8" s="4" t="s">
        <v>110</v>
      </c>
      <c r="G8" s="4" t="s">
        <v>188</v>
      </c>
      <c r="H8" s="4" t="s">
        <v>189</v>
      </c>
      <c r="I8" s="4" t="s">
        <v>190</v>
      </c>
    </row>
    <row r="9" customFormat="false" ht="27.75" hidden="false" customHeight="true" outlineLevel="0" collapsed="false">
      <c r="A9" s="2" t="s">
        <v>191</v>
      </c>
      <c r="B9" s="2" t="s">
        <v>192</v>
      </c>
      <c r="C9" s="2" t="s">
        <v>172</v>
      </c>
      <c r="D9" s="2" t="s">
        <v>193</v>
      </c>
      <c r="E9" s="2" t="s">
        <v>194</v>
      </c>
      <c r="F9" s="2" t="s">
        <v>110</v>
      </c>
      <c r="G9" s="2" t="s">
        <v>195</v>
      </c>
      <c r="H9" s="2" t="s">
        <v>196</v>
      </c>
      <c r="I9" s="2" t="s">
        <v>197</v>
      </c>
    </row>
    <row r="10" customFormat="false" ht="15" hidden="false" customHeight="true" outlineLevel="0" collapsed="false">
      <c r="A10" s="2" t="s">
        <v>198</v>
      </c>
      <c r="B10" s="2" t="s">
        <v>192</v>
      </c>
      <c r="C10" s="2" t="s">
        <v>199</v>
      </c>
      <c r="D10" s="2" t="s">
        <v>200</v>
      </c>
      <c r="E10" s="2" t="s">
        <v>194</v>
      </c>
      <c r="F10" s="2" t="s">
        <v>104</v>
      </c>
      <c r="G10" s="2" t="s">
        <v>201</v>
      </c>
      <c r="H10" s="2" t="s">
        <v>202</v>
      </c>
      <c r="I10" s="2" t="s">
        <v>203</v>
      </c>
    </row>
    <row r="11" customFormat="false" ht="27.75" hidden="false" customHeight="true" outlineLevel="0" collapsed="false">
      <c r="A11" s="2" t="s">
        <v>204</v>
      </c>
      <c r="B11" s="2" t="s">
        <v>192</v>
      </c>
      <c r="C11" s="2" t="s">
        <v>205</v>
      </c>
      <c r="D11" s="2" t="s">
        <v>206</v>
      </c>
      <c r="E11" s="2" t="s">
        <v>207</v>
      </c>
      <c r="F11" s="2" t="s">
        <v>104</v>
      </c>
      <c r="G11" s="2" t="s">
        <v>208</v>
      </c>
      <c r="H11" s="2" t="s">
        <v>209</v>
      </c>
      <c r="I11" s="2" t="s">
        <v>210</v>
      </c>
    </row>
    <row r="12" customFormat="false" ht="15" hidden="false" customHeight="true" outlineLevel="0" collapsed="false">
      <c r="A12" s="2" t="s">
        <v>211</v>
      </c>
      <c r="B12" s="2" t="s">
        <v>192</v>
      </c>
      <c r="C12" s="2" t="s">
        <v>155</v>
      </c>
      <c r="D12" s="2" t="s">
        <v>212</v>
      </c>
      <c r="E12" s="2" t="s">
        <v>194</v>
      </c>
      <c r="F12" s="2" t="s">
        <v>136</v>
      </c>
      <c r="G12" s="2" t="s">
        <v>213</v>
      </c>
      <c r="H12" s="2" t="s">
        <v>214</v>
      </c>
      <c r="I12" s="2" t="s">
        <v>203</v>
      </c>
    </row>
  </sheetData>
  <autoFilter ref="A1:I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60"/>
    <col collapsed="false" customWidth="true" hidden="false" outlineLevel="0" max="3" min="3" style="3" width="52"/>
    <col collapsed="false" customWidth="true" hidden="false" outlineLevel="0" max="4" min="4" style="3" width="42"/>
    <col collapsed="false" customWidth="true" hidden="false" outlineLevel="0" max="5" min="5" style="3" width="44"/>
  </cols>
  <sheetData>
    <row r="1" customFormat="false" ht="31.5" hidden="false" customHeight="true" outlineLevel="0" collapsed="false">
      <c r="A1" s="1" t="s">
        <v>1</v>
      </c>
      <c r="B1" s="1" t="s">
        <v>215</v>
      </c>
      <c r="C1" s="1" t="s">
        <v>216</v>
      </c>
      <c r="D1" s="1" t="s">
        <v>217</v>
      </c>
      <c r="E1" s="1" t="s">
        <v>218</v>
      </c>
    </row>
    <row r="2" customFormat="false" ht="15" hidden="false" customHeight="true" outlineLevel="0" collapsed="false">
      <c r="A2" s="4" t="s">
        <v>74</v>
      </c>
      <c r="B2" s="4" t="s">
        <v>21</v>
      </c>
      <c r="C2" s="4" t="s">
        <v>219</v>
      </c>
      <c r="D2" s="4" t="s">
        <v>220</v>
      </c>
      <c r="E2" s="4" t="s">
        <v>221</v>
      </c>
    </row>
    <row r="3" customFormat="false" ht="27.75" hidden="false" customHeight="true" outlineLevel="0" collapsed="false">
      <c r="A3" s="4" t="s">
        <v>77</v>
      </c>
      <c r="B3" s="4" t="s">
        <v>222</v>
      </c>
      <c r="C3" s="4" t="s">
        <v>223</v>
      </c>
      <c r="D3" s="4" t="s">
        <v>224</v>
      </c>
      <c r="E3" s="4" t="s">
        <v>225</v>
      </c>
    </row>
    <row r="4" customFormat="false" ht="15" hidden="false" customHeight="true" outlineLevel="0" collapsed="false">
      <c r="A4" s="4" t="s">
        <v>80</v>
      </c>
      <c r="B4" s="4" t="s">
        <v>226</v>
      </c>
      <c r="C4" s="4" t="s">
        <v>227</v>
      </c>
      <c r="D4" s="4" t="s">
        <v>228</v>
      </c>
      <c r="E4" s="4" t="s">
        <v>229</v>
      </c>
    </row>
    <row r="5" customFormat="false" ht="15" hidden="false" customHeight="true" outlineLevel="0" collapsed="false">
      <c r="A5" s="4" t="s">
        <v>81</v>
      </c>
      <c r="B5" s="4" t="s">
        <v>230</v>
      </c>
      <c r="C5" s="4" t="s">
        <v>231</v>
      </c>
      <c r="D5" s="4" t="s">
        <v>232</v>
      </c>
      <c r="E5" s="4" t="s">
        <v>233</v>
      </c>
    </row>
    <row r="6" customFormat="false" ht="27.75" hidden="false" customHeight="true" outlineLevel="0" collapsed="false">
      <c r="A6" s="4" t="s">
        <v>84</v>
      </c>
      <c r="B6" s="4" t="s">
        <v>234</v>
      </c>
      <c r="C6" s="4" t="s">
        <v>235</v>
      </c>
      <c r="D6" s="4" t="s">
        <v>236</v>
      </c>
      <c r="E6" s="4" t="s">
        <v>237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2"/>
    <col collapsed="false" customWidth="true" hidden="false" outlineLevel="0" max="2" min="2" style="3" width="47"/>
    <col collapsed="false" customWidth="true" hidden="false" outlineLevel="0" max="3" min="3" style="3" width="60"/>
    <col collapsed="false" customWidth="true" hidden="false" outlineLevel="0" max="4" min="4" style="3" width="12"/>
  </cols>
  <sheetData>
    <row r="1" customFormat="false" ht="31.5" hidden="false" customHeight="true" outlineLevel="0" collapsed="false">
      <c r="A1" s="1" t="s">
        <v>238</v>
      </c>
      <c r="B1" s="1" t="s">
        <v>239</v>
      </c>
      <c r="C1" s="1" t="s">
        <v>240</v>
      </c>
      <c r="D1" s="1" t="s">
        <v>96</v>
      </c>
    </row>
    <row r="2" customFormat="false" ht="15" hidden="false" customHeight="true" outlineLevel="0" collapsed="false">
      <c r="A2" s="4" t="s">
        <v>241</v>
      </c>
      <c r="B2" s="4" t="s">
        <v>242</v>
      </c>
      <c r="C2" s="4" t="s">
        <v>243</v>
      </c>
      <c r="D2" s="4" t="s">
        <v>244</v>
      </c>
    </row>
    <row r="3" customFormat="false" ht="15" hidden="false" customHeight="true" outlineLevel="0" collapsed="false">
      <c r="A3" s="4" t="s">
        <v>245</v>
      </c>
      <c r="B3" s="4" t="s">
        <v>246</v>
      </c>
      <c r="C3" s="4" t="s">
        <v>247</v>
      </c>
      <c r="D3" s="4" t="s">
        <v>244</v>
      </c>
    </row>
    <row r="4" customFormat="false" ht="15" hidden="false" customHeight="true" outlineLevel="0" collapsed="false">
      <c r="A4" s="4" t="s">
        <v>248</v>
      </c>
      <c r="B4" s="4" t="s">
        <v>249</v>
      </c>
      <c r="C4" s="4" t="s">
        <v>250</v>
      </c>
      <c r="D4" s="4" t="s">
        <v>244</v>
      </c>
    </row>
    <row r="5" customFormat="false" ht="15" hidden="false" customHeight="true" outlineLevel="0" collapsed="false">
      <c r="A5" s="4" t="s">
        <v>251</v>
      </c>
      <c r="B5" s="4" t="s">
        <v>252</v>
      </c>
      <c r="C5" s="4" t="s">
        <v>253</v>
      </c>
      <c r="D5" s="4" t="s">
        <v>244</v>
      </c>
    </row>
    <row r="6" customFormat="false" ht="15" hidden="false" customHeight="true" outlineLevel="0" collapsed="false">
      <c r="A6" s="4" t="s">
        <v>254</v>
      </c>
      <c r="B6" s="4" t="s">
        <v>255</v>
      </c>
      <c r="C6" s="4" t="s">
        <v>256</v>
      </c>
      <c r="D6" s="4" t="s">
        <v>244</v>
      </c>
    </row>
    <row r="7" customFormat="false" ht="15" hidden="false" customHeight="true" outlineLevel="0" collapsed="false">
      <c r="A7" s="4" t="s">
        <v>257</v>
      </c>
      <c r="B7" s="4" t="s">
        <v>258</v>
      </c>
      <c r="C7" s="4" t="s">
        <v>259</v>
      </c>
      <c r="D7" s="4" t="s">
        <v>244</v>
      </c>
    </row>
    <row r="8" customFormat="false" ht="15" hidden="false" customHeight="true" outlineLevel="0" collapsed="false">
      <c r="A8" s="4" t="s">
        <v>260</v>
      </c>
      <c r="B8" s="4" t="s">
        <v>261</v>
      </c>
      <c r="C8" s="4" t="s">
        <v>262</v>
      </c>
      <c r="D8" s="4" t="s">
        <v>244</v>
      </c>
    </row>
    <row r="9" customFormat="false" ht="15" hidden="false" customHeight="true" outlineLevel="0" collapsed="false">
      <c r="A9" s="4" t="s">
        <v>7</v>
      </c>
      <c r="B9" s="4" t="s">
        <v>263</v>
      </c>
      <c r="C9" s="4" t="s">
        <v>264</v>
      </c>
      <c r="D9" s="4" t="s">
        <v>244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39"/>
    <col collapsed="false" customWidth="true" hidden="false" outlineLevel="0" max="3" min="3" style="3" width="40"/>
    <col collapsed="false" customWidth="true" hidden="false" outlineLevel="0" max="4" min="4" style="3" width="32"/>
  </cols>
  <sheetData>
    <row r="1" customFormat="false" ht="31.5" hidden="false" customHeight="true" outlineLevel="0" collapsed="false">
      <c r="A1" s="1" t="s">
        <v>265</v>
      </c>
      <c r="B1" s="1" t="s">
        <v>266</v>
      </c>
      <c r="C1" s="1" t="s">
        <v>65</v>
      </c>
      <c r="D1" s="1" t="s">
        <v>267</v>
      </c>
    </row>
    <row r="2" customFormat="false" ht="15" hidden="false" customHeight="true" outlineLevel="0" collapsed="false">
      <c r="A2" s="4" t="s">
        <v>268</v>
      </c>
      <c r="B2" s="4" t="s">
        <v>269</v>
      </c>
      <c r="C2" s="4" t="s">
        <v>270</v>
      </c>
      <c r="D2" s="4" t="s">
        <v>271</v>
      </c>
    </row>
    <row r="3" customFormat="false" ht="15" hidden="false" customHeight="true" outlineLevel="0" collapsed="false">
      <c r="A3" s="4" t="s">
        <v>272</v>
      </c>
      <c r="B3" s="4" t="s">
        <v>273</v>
      </c>
      <c r="C3" s="4" t="s">
        <v>274</v>
      </c>
      <c r="D3" s="4" t="s">
        <v>275</v>
      </c>
    </row>
    <row r="4" customFormat="false" ht="15" hidden="false" customHeight="true" outlineLevel="0" collapsed="false">
      <c r="A4" s="4" t="s">
        <v>276</v>
      </c>
      <c r="B4" s="4" t="s">
        <v>277</v>
      </c>
      <c r="C4" s="4" t="s">
        <v>278</v>
      </c>
      <c r="D4" s="4" t="s">
        <v>275</v>
      </c>
    </row>
    <row r="5" customFormat="false" ht="15" hidden="false" customHeight="true" outlineLevel="0" collapsed="false">
      <c r="A5" s="4" t="s">
        <v>279</v>
      </c>
      <c r="B5" s="4" t="s">
        <v>280</v>
      </c>
      <c r="C5" s="4" t="s">
        <v>281</v>
      </c>
      <c r="D5" s="4" t="s">
        <v>282</v>
      </c>
    </row>
    <row r="6" customFormat="false" ht="15" hidden="false" customHeight="true" outlineLevel="0" collapsed="false">
      <c r="A6" s="4" t="s">
        <v>283</v>
      </c>
      <c r="B6" s="4" t="s">
        <v>284</v>
      </c>
      <c r="C6" s="4" t="s">
        <v>281</v>
      </c>
      <c r="D6" s="4" t="s">
        <v>282</v>
      </c>
    </row>
    <row r="7" customFormat="false" ht="15" hidden="false" customHeight="true" outlineLevel="0" collapsed="false">
      <c r="A7" s="4" t="s">
        <v>285</v>
      </c>
      <c r="B7" s="4" t="s">
        <v>286</v>
      </c>
      <c r="C7" s="4" t="s">
        <v>281</v>
      </c>
      <c r="D7" s="4" t="s">
        <v>282</v>
      </c>
    </row>
    <row r="8" customFormat="false" ht="15" hidden="false" customHeight="true" outlineLevel="0" collapsed="false">
      <c r="A8" s="4" t="s">
        <v>287</v>
      </c>
      <c r="B8" s="4" t="s">
        <v>288</v>
      </c>
      <c r="C8" s="4" t="s">
        <v>289</v>
      </c>
      <c r="D8" s="4" t="s">
        <v>290</v>
      </c>
    </row>
    <row r="9" customFormat="false" ht="15" hidden="false" customHeight="true" outlineLevel="0" collapsed="false">
      <c r="A9" s="4" t="s">
        <v>291</v>
      </c>
      <c r="B9" s="4" t="s">
        <v>292</v>
      </c>
      <c r="C9" s="4" t="s">
        <v>293</v>
      </c>
      <c r="D9" s="4" t="s">
        <v>294</v>
      </c>
    </row>
    <row r="10" customFormat="false" ht="15" hidden="false" customHeight="true" outlineLevel="0" collapsed="false">
      <c r="A10" s="4" t="s">
        <v>295</v>
      </c>
      <c r="B10" s="4" t="s">
        <v>296</v>
      </c>
      <c r="C10" s="4" t="s">
        <v>297</v>
      </c>
      <c r="D10" s="4" t="s">
        <v>298</v>
      </c>
    </row>
    <row r="11" customFormat="false" ht="15" hidden="false" customHeight="true" outlineLevel="0" collapsed="false">
      <c r="A11" s="4" t="s">
        <v>299</v>
      </c>
      <c r="B11" s="4" t="s">
        <v>300</v>
      </c>
      <c r="C11" s="4" t="s">
        <v>301</v>
      </c>
      <c r="D11" s="4" t="s">
        <v>302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0"/>
    <col collapsed="false" customWidth="true" hidden="false" outlineLevel="0" max="2" min="2" style="3" width="36"/>
    <col collapsed="false" customWidth="true" hidden="false" outlineLevel="0" max="3" min="3" style="3" width="24"/>
    <col collapsed="false" customWidth="true" hidden="false" outlineLevel="0" max="4" min="4" style="3" width="31"/>
  </cols>
  <sheetData>
    <row r="1" customFormat="false" ht="31.5" hidden="false" customHeight="true" outlineLevel="0" collapsed="false">
      <c r="A1" s="1" t="s">
        <v>303</v>
      </c>
      <c r="B1" s="1" t="s">
        <v>304</v>
      </c>
      <c r="C1" s="1" t="s">
        <v>305</v>
      </c>
      <c r="D1" s="1" t="s">
        <v>306</v>
      </c>
    </row>
    <row r="2" customFormat="false" ht="15" hidden="false" customHeight="true" outlineLevel="0" collapsed="false">
      <c r="A2" s="4" t="s">
        <v>307</v>
      </c>
      <c r="B2" s="4" t="s">
        <v>308</v>
      </c>
      <c r="C2" s="4" t="s">
        <v>309</v>
      </c>
      <c r="D2" s="4" t="s">
        <v>310</v>
      </c>
    </row>
    <row r="3" customFormat="false" ht="15" hidden="false" customHeight="true" outlineLevel="0" collapsed="false">
      <c r="A3" s="4" t="s">
        <v>311</v>
      </c>
      <c r="B3" s="4" t="s">
        <v>312</v>
      </c>
      <c r="C3" s="4" t="s">
        <v>309</v>
      </c>
      <c r="D3" s="4" t="s">
        <v>310</v>
      </c>
    </row>
    <row r="4" customFormat="false" ht="15" hidden="false" customHeight="true" outlineLevel="0" collapsed="false">
      <c r="A4" s="4" t="s">
        <v>313</v>
      </c>
      <c r="B4" s="4" t="s">
        <v>314</v>
      </c>
      <c r="C4" s="4" t="s">
        <v>315</v>
      </c>
      <c r="D4" s="4" t="s">
        <v>316</v>
      </c>
    </row>
    <row r="5" customFormat="false" ht="15" hidden="false" customHeight="true" outlineLevel="0" collapsed="false">
      <c r="A5" s="4" t="s">
        <v>317</v>
      </c>
      <c r="B5" s="4" t="s">
        <v>318</v>
      </c>
      <c r="C5" s="4" t="s">
        <v>319</v>
      </c>
      <c r="D5" s="4" t="s">
        <v>316</v>
      </c>
    </row>
    <row r="6" customFormat="false" ht="15" hidden="false" customHeight="true" outlineLevel="0" collapsed="false">
      <c r="A6" s="4" t="s">
        <v>320</v>
      </c>
      <c r="B6" s="4" t="s">
        <v>321</v>
      </c>
      <c r="C6" s="4" t="s">
        <v>192</v>
      </c>
      <c r="D6" s="4" t="s">
        <v>316</v>
      </c>
    </row>
    <row r="7" customFormat="false" ht="15" hidden="false" customHeight="true" outlineLevel="0" collapsed="false">
      <c r="A7" s="4" t="s">
        <v>178</v>
      </c>
      <c r="B7" s="4" t="s">
        <v>322</v>
      </c>
      <c r="C7" s="4" t="s">
        <v>323</v>
      </c>
      <c r="D7" s="4" t="s">
        <v>324</v>
      </c>
    </row>
    <row r="8" customFormat="false" ht="15" hidden="false" customHeight="true" outlineLevel="0" collapsed="false">
      <c r="A8" s="4" t="s">
        <v>325</v>
      </c>
      <c r="B8" s="4" t="s">
        <v>326</v>
      </c>
      <c r="C8" s="4" t="s">
        <v>192</v>
      </c>
      <c r="D8" s="4" t="s">
        <v>327</v>
      </c>
    </row>
    <row r="9" customFormat="false" ht="15" hidden="false" customHeight="true" outlineLevel="0" collapsed="false">
      <c r="A9" s="4" t="s">
        <v>328</v>
      </c>
      <c r="B9" s="4" t="s">
        <v>329</v>
      </c>
      <c r="C9" s="4" t="s">
        <v>192</v>
      </c>
      <c r="D9" s="4" t="s">
        <v>327</v>
      </c>
    </row>
    <row r="10" customFormat="false" ht="15" hidden="false" customHeight="true" outlineLevel="0" collapsed="false">
      <c r="A10" s="4" t="s">
        <v>330</v>
      </c>
      <c r="B10" s="4" t="s">
        <v>331</v>
      </c>
      <c r="C10" s="4" t="s">
        <v>192</v>
      </c>
      <c r="D10" s="4" t="s">
        <v>327</v>
      </c>
    </row>
    <row r="11" customFormat="false" ht="15" hidden="false" customHeight="true" outlineLevel="0" collapsed="false">
      <c r="A11" s="4" t="s">
        <v>332</v>
      </c>
      <c r="B11" s="4" t="s">
        <v>333</v>
      </c>
      <c r="C11" s="4" t="s">
        <v>334</v>
      </c>
      <c r="D11" s="4" t="s">
        <v>335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8"/>
    <col collapsed="false" customWidth="true" hidden="false" outlineLevel="0" max="2" min="2" style="3" width="19"/>
    <col collapsed="false" customWidth="true" hidden="false" outlineLevel="0" max="3" min="3" style="3" width="50"/>
    <col collapsed="false" customWidth="true" hidden="false" outlineLevel="0" max="4" min="4" style="3" width="22"/>
  </cols>
  <sheetData>
    <row r="1" customFormat="false" ht="31.5" hidden="false" customHeight="true" outlineLevel="0" collapsed="false">
      <c r="A1" s="1" t="s">
        <v>336</v>
      </c>
      <c r="B1" s="1" t="s">
        <v>337</v>
      </c>
      <c r="C1" s="1" t="s">
        <v>67</v>
      </c>
      <c r="D1" s="1" t="s">
        <v>338</v>
      </c>
    </row>
    <row r="2" customFormat="false" ht="15" hidden="false" customHeight="true" outlineLevel="0" collapsed="false">
      <c r="A2" s="4" t="s">
        <v>339</v>
      </c>
      <c r="B2" s="4" t="s">
        <v>340</v>
      </c>
      <c r="C2" s="4" t="s">
        <v>341</v>
      </c>
      <c r="D2" s="4" t="s">
        <v>342</v>
      </c>
    </row>
    <row r="3" customFormat="false" ht="15" hidden="false" customHeight="true" outlineLevel="0" collapsed="false">
      <c r="A3" s="4" t="s">
        <v>343</v>
      </c>
      <c r="B3" s="4" t="s">
        <v>344</v>
      </c>
      <c r="C3" s="4" t="s">
        <v>345</v>
      </c>
      <c r="D3" s="4" t="s">
        <v>346</v>
      </c>
    </row>
    <row r="4" customFormat="false" ht="15" hidden="false" customHeight="true" outlineLevel="0" collapsed="false">
      <c r="A4" s="4" t="s">
        <v>339</v>
      </c>
      <c r="B4" s="4" t="s">
        <v>347</v>
      </c>
      <c r="C4" s="4" t="s">
        <v>348</v>
      </c>
      <c r="D4" s="4" t="s">
        <v>349</v>
      </c>
    </row>
    <row r="5" customFormat="false" ht="15" hidden="false" customHeight="true" outlineLevel="0" collapsed="false">
      <c r="A5" s="4" t="s">
        <v>339</v>
      </c>
      <c r="B5" s="4" t="s">
        <v>350</v>
      </c>
      <c r="C5" s="4" t="s">
        <v>351</v>
      </c>
      <c r="D5" s="4" t="s">
        <v>346</v>
      </c>
    </row>
    <row r="6" customFormat="false" ht="15" hidden="false" customHeight="true" outlineLevel="0" collapsed="false">
      <c r="A6" s="4" t="s">
        <v>339</v>
      </c>
      <c r="B6" s="4" t="s">
        <v>352</v>
      </c>
      <c r="C6" s="4" t="s">
        <v>353</v>
      </c>
      <c r="D6" s="4" t="s">
        <v>346</v>
      </c>
    </row>
    <row r="7" customFormat="false" ht="15" hidden="false" customHeight="true" outlineLevel="0" collapsed="false">
      <c r="A7" s="4" t="s">
        <v>180</v>
      </c>
      <c r="B7" s="4" t="s">
        <v>354</v>
      </c>
      <c r="C7" s="4" t="s">
        <v>355</v>
      </c>
      <c r="D7" s="4" t="s">
        <v>356</v>
      </c>
    </row>
    <row r="8" customFormat="false" ht="15" hidden="false" customHeight="true" outlineLevel="0" collapsed="false">
      <c r="A8" s="4" t="s">
        <v>180</v>
      </c>
      <c r="B8" s="4" t="s">
        <v>357</v>
      </c>
      <c r="C8" s="4" t="s">
        <v>358</v>
      </c>
      <c r="D8" s="4" t="s">
        <v>359</v>
      </c>
    </row>
    <row r="9" customFormat="false" ht="15" hidden="false" customHeight="true" outlineLevel="0" collapsed="false">
      <c r="A9" s="4" t="s">
        <v>251</v>
      </c>
      <c r="B9" s="4" t="s">
        <v>360</v>
      </c>
      <c r="C9" s="4" t="s">
        <v>361</v>
      </c>
      <c r="D9" s="4" t="s">
        <v>95</v>
      </c>
    </row>
    <row r="10" customFormat="false" ht="15" hidden="false" customHeight="true" outlineLevel="0" collapsed="false">
      <c r="A10" s="4" t="s">
        <v>251</v>
      </c>
      <c r="B10" s="4" t="s">
        <v>362</v>
      </c>
      <c r="C10" s="4" t="s">
        <v>363</v>
      </c>
      <c r="D10" s="4" t="s">
        <v>95</v>
      </c>
    </row>
    <row r="11" customFormat="false" ht="15" hidden="false" customHeight="true" outlineLevel="0" collapsed="false">
      <c r="A11" s="4" t="s">
        <v>251</v>
      </c>
      <c r="B11" s="4" t="s">
        <v>364</v>
      </c>
      <c r="C11" s="4" t="s">
        <v>365</v>
      </c>
      <c r="D11" s="4" t="s">
        <v>95</v>
      </c>
    </row>
    <row r="12" customFormat="false" ht="15" hidden="false" customHeight="true" outlineLevel="0" collapsed="false">
      <c r="A12" s="4" t="s">
        <v>366</v>
      </c>
      <c r="B12" s="4" t="s">
        <v>257</v>
      </c>
      <c r="C12" s="4" t="s">
        <v>367</v>
      </c>
      <c r="D12" s="4" t="s">
        <v>368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14"/>
    <col collapsed="false" customWidth="true" hidden="false" outlineLevel="0" max="3" min="3" style="3" width="30"/>
    <col collapsed="false" customWidth="true" hidden="false" outlineLevel="0" max="4" min="4" style="3" width="16"/>
    <col collapsed="false" customWidth="true" hidden="false" outlineLevel="0" max="7" min="5" style="3" width="11"/>
    <col collapsed="false" customWidth="true" hidden="false" outlineLevel="0" max="8" min="8" style="3" width="18"/>
    <col collapsed="false" customWidth="true" hidden="false" outlineLevel="0" max="9" min="9" style="3" width="10"/>
    <col collapsed="false" customWidth="true" hidden="false" outlineLevel="0" max="10" min="10" style="3" width="14"/>
    <col collapsed="false" customWidth="true" hidden="false" outlineLevel="0" max="11" min="11" style="3" width="34"/>
    <col collapsed="false" customWidth="true" hidden="false" outlineLevel="0" max="12" min="12" style="3" width="10"/>
    <col collapsed="false" customWidth="true" hidden="false" outlineLevel="0" max="13" min="13" style="3" width="9"/>
    <col collapsed="false" customWidth="true" hidden="false" outlineLevel="0" max="14" min="14" style="3" width="13"/>
    <col collapsed="false" customWidth="true" hidden="false" outlineLevel="0" max="15" min="15" style="3" width="30"/>
  </cols>
  <sheetData>
    <row r="1" customFormat="false" ht="41.25" hidden="false" customHeight="true" outlineLevel="0" collapsed="false">
      <c r="A1" s="1" t="s">
        <v>369</v>
      </c>
      <c r="B1" s="1" t="s">
        <v>346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96</v>
      </c>
    </row>
    <row r="2" customFormat="false" ht="15" hidden="false" customHeight="true" outlineLevel="0" collapsed="false">
      <c r="A2" s="2" t="s">
        <v>382</v>
      </c>
      <c r="B2" s="2" t="s">
        <v>383</v>
      </c>
      <c r="C2" s="2" t="s">
        <v>384</v>
      </c>
      <c r="D2" s="2" t="s">
        <v>385</v>
      </c>
      <c r="E2" s="5" t="n">
        <v>27.99</v>
      </c>
      <c r="F2" s="5" t="n">
        <v>19.22</v>
      </c>
      <c r="G2" s="2" t="n">
        <f aca="false">ROUND(SQRT(E2^2+F2^2),2)</f>
        <v>33.95</v>
      </c>
      <c r="H2" s="2" t="s">
        <v>386</v>
      </c>
      <c r="I2" s="5" t="n">
        <v>6.075</v>
      </c>
      <c r="J2" s="2" t="n">
        <f aca="false">ROUND(4608*I2/1000,2)</f>
        <v>27.99</v>
      </c>
      <c r="K2" s="2" t="s">
        <v>387</v>
      </c>
      <c r="L2" s="2" t="n">
        <f aca="false">COUNTIF(09_Gates_Modos!$B:$B,C2)</f>
        <v>8</v>
      </c>
      <c r="M2" s="2" t="s">
        <v>388</v>
      </c>
      <c r="N2" s="2" t="s">
        <v>9</v>
      </c>
      <c r="O2" s="2" t="s">
        <v>389</v>
      </c>
    </row>
    <row r="3" customFormat="false" ht="27.75" hidden="false" customHeight="true" outlineLevel="0" collapsed="false">
      <c r="A3" s="2" t="s">
        <v>390</v>
      </c>
      <c r="B3" s="2" t="s">
        <v>391</v>
      </c>
      <c r="C3" s="2" t="s">
        <v>392</v>
      </c>
      <c r="D3" s="2" t="s">
        <v>393</v>
      </c>
      <c r="E3" s="5" t="n">
        <v>36</v>
      </c>
      <c r="F3" s="5" t="n">
        <v>24</v>
      </c>
      <c r="G3" s="2" t="n">
        <f aca="false">ROUND(SQRT(E3^2+F3^2),2)</f>
        <v>43.27</v>
      </c>
      <c r="H3" s="2" t="s">
        <v>394</v>
      </c>
      <c r="I3" s="5" t="n">
        <v>5.94</v>
      </c>
      <c r="J3" s="2" t="n">
        <f aca="false">ROUND(6048*I3/1000,2)</f>
        <v>35.93</v>
      </c>
      <c r="K3" s="2" t="s">
        <v>395</v>
      </c>
      <c r="L3" s="2" t="n">
        <f aca="false">COUNTIF(09_Gates_Modos!$B:$B,C3)</f>
        <v>8</v>
      </c>
      <c r="M3" s="2" t="s">
        <v>396</v>
      </c>
      <c r="N3" s="2" t="s">
        <v>9</v>
      </c>
      <c r="O3" s="2" t="s">
        <v>389</v>
      </c>
    </row>
    <row r="4" customFormat="false" ht="27.75" hidden="false" customHeight="true" outlineLevel="0" collapsed="false">
      <c r="A4" s="2" t="s">
        <v>397</v>
      </c>
      <c r="B4" s="2" t="s">
        <v>391</v>
      </c>
      <c r="C4" s="2" t="s">
        <v>398</v>
      </c>
      <c r="D4" s="2" t="s">
        <v>399</v>
      </c>
      <c r="E4" s="5" t="n">
        <v>50.81</v>
      </c>
      <c r="F4" s="5" t="n">
        <v>23.32</v>
      </c>
      <c r="G4" s="2" t="n">
        <f aca="false">ROUND(SQRT(E4^2+F4^2),2)</f>
        <v>55.91</v>
      </c>
      <c r="H4" s="2" t="s">
        <v>400</v>
      </c>
      <c r="I4" s="5" t="n">
        <v>2.9</v>
      </c>
      <c r="J4" s="2" t="n">
        <f aca="false">ROUND(17520*I4/1000,2)</f>
        <v>50.81</v>
      </c>
      <c r="K4" s="2" t="s">
        <v>401</v>
      </c>
      <c r="L4" s="2" t="n">
        <f aca="false">COUNTIF(09_Gates_Modos!$B:$B,C4)</f>
        <v>22</v>
      </c>
      <c r="M4" s="2" t="s">
        <v>402</v>
      </c>
      <c r="N4" s="2" t="s">
        <v>9</v>
      </c>
      <c r="O4" s="2" t="s">
        <v>403</v>
      </c>
    </row>
    <row r="5" customFormat="false" ht="27.75" hidden="false" customHeight="true" outlineLevel="0" collapsed="false">
      <c r="A5" s="2" t="s">
        <v>404</v>
      </c>
      <c r="B5" s="2" t="s">
        <v>391</v>
      </c>
      <c r="C5" s="2" t="s">
        <v>405</v>
      </c>
      <c r="D5" s="2" t="s">
        <v>406</v>
      </c>
      <c r="E5" s="5" t="n">
        <v>35.64</v>
      </c>
      <c r="F5" s="5" t="n">
        <v>23.32</v>
      </c>
      <c r="G5" s="2" t="n">
        <f aca="false">ROUND(SQRT(E5^2+F5^2),2)</f>
        <v>42.59</v>
      </c>
      <c r="H5" s="2" t="s">
        <v>407</v>
      </c>
      <c r="I5" s="5" t="n">
        <v>2.9</v>
      </c>
      <c r="J5" s="2" t="n">
        <f aca="false">ROUND(12288*I5/1000,2)</f>
        <v>35.64</v>
      </c>
      <c r="K5" s="2" t="s">
        <v>408</v>
      </c>
      <c r="L5" s="2" t="n">
        <f aca="false">COUNTIF(09_Gates_Modos!$B:$B,C5)</f>
        <v>20</v>
      </c>
      <c r="M5" s="2" t="s">
        <v>409</v>
      </c>
      <c r="N5" s="2" t="s">
        <v>9</v>
      </c>
      <c r="O5" s="2" t="s">
        <v>410</v>
      </c>
    </row>
    <row r="7" customFormat="false" ht="30" hidden="false" customHeight="true" outlineLevel="0" collapsed="false">
      <c r="A7" s="2" t="s">
        <v>411</v>
      </c>
      <c r="B7" s="6" t="s">
        <v>412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autoFilter ref="A1:O5"/>
  <mergeCells count="1">
    <mergeCell ref="B7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20"/>
    <col collapsed="false" customWidth="true" hidden="false" outlineLevel="0" max="3" min="3" style="3" width="24"/>
    <col collapsed="false" customWidth="true" hidden="false" outlineLevel="0" max="5" min="4" style="3" width="10"/>
    <col collapsed="false" customWidth="true" hidden="false" outlineLevel="0" max="7" min="6" style="3" width="9"/>
    <col collapsed="false" customWidth="true" hidden="false" outlineLevel="0" max="8" min="8" style="3" width="22"/>
    <col collapsed="false" customWidth="true" hidden="false" outlineLevel="0" max="12" min="9" style="3" width="11"/>
    <col collapsed="false" customWidth="true" hidden="false" outlineLevel="0" max="13" min="13" style="3" width="9"/>
    <col collapsed="false" customWidth="true" hidden="false" outlineLevel="0" max="15" min="14" style="3" width="11"/>
    <col collapsed="false" customWidth="true" hidden="false" outlineLevel="0" max="16" min="16" style="3" width="13"/>
    <col collapsed="false" customWidth="true" hidden="false" outlineLevel="0" max="17" min="17" style="3" width="9"/>
    <col collapsed="false" customWidth="true" hidden="false" outlineLevel="0" max="18" min="18" style="3" width="26"/>
    <col collapsed="false" customWidth="true" hidden="false" outlineLevel="0" max="19" min="19" style="3" width="9"/>
    <col collapsed="false" customWidth="true" hidden="false" outlineLevel="0" max="20" min="20" style="3" width="22"/>
    <col collapsed="false" customWidth="true" hidden="false" outlineLevel="0" max="21" min="21" style="3" width="40"/>
  </cols>
  <sheetData>
    <row r="1" customFormat="false" ht="54.75" hidden="false" customHeight="true" outlineLevel="0" collapsed="false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376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380</v>
      </c>
      <c r="T1" s="1" t="s">
        <v>96</v>
      </c>
      <c r="U1" s="1" t="s">
        <v>430</v>
      </c>
    </row>
    <row r="2" customFormat="false" ht="15" hidden="false" customHeight="true" outlineLevel="0" collapsed="false">
      <c r="A2" s="2" t="s">
        <v>431</v>
      </c>
      <c r="B2" s="2" t="s">
        <v>384</v>
      </c>
      <c r="C2" s="2" t="s">
        <v>432</v>
      </c>
      <c r="D2" s="5" t="n">
        <v>4608</v>
      </c>
      <c r="E2" s="5" t="n">
        <v>3164</v>
      </c>
      <c r="F2" s="5" t="n">
        <v>6.075</v>
      </c>
      <c r="G2" s="5" t="n">
        <v>1</v>
      </c>
      <c r="H2" s="2" t="s">
        <v>433</v>
      </c>
      <c r="I2" s="2" t="n">
        <f aca="false">ROUND(D2*F2*G2/1000,2)</f>
        <v>27.99</v>
      </c>
      <c r="J2" s="2" t="n">
        <f aca="false">ROUND(E2*F2*G2/1000,2)</f>
        <v>19.22</v>
      </c>
      <c r="K2" s="5" t="n">
        <v>27.99</v>
      </c>
      <c r="L2" s="5" t="n">
        <v>19.22</v>
      </c>
      <c r="M2" s="7" t="n">
        <f aca="false">IF(K2="","",ROUND(K2-I2,2))</f>
        <v>0</v>
      </c>
      <c r="N2" s="2" t="n">
        <f aca="false">IF(K2="",I2,K2)</f>
        <v>27.99</v>
      </c>
      <c r="O2" s="2" t="n">
        <f aca="false">IF(L2="",J2,L2)</f>
        <v>19.22</v>
      </c>
      <c r="P2" s="2" t="n">
        <f aca="false">ROUND(SQRT(N2^2+O2^2),2)</f>
        <v>33.95</v>
      </c>
      <c r="Q2" s="2" t="n">
        <f aca="false">ROUND(N2/O2,3)</f>
        <v>1.456</v>
      </c>
      <c r="R2" s="2" t="s">
        <v>434</v>
      </c>
      <c r="S2" s="2" t="s">
        <v>435</v>
      </c>
      <c r="T2" s="2" t="s">
        <v>436</v>
      </c>
      <c r="U2" s="2"/>
    </row>
    <row r="3" customFormat="false" ht="15" hidden="false" customHeight="true" outlineLevel="0" collapsed="false">
      <c r="A3" s="2" t="s">
        <v>437</v>
      </c>
      <c r="B3" s="2" t="s">
        <v>384</v>
      </c>
      <c r="C3" s="2" t="s">
        <v>438</v>
      </c>
      <c r="D3" s="5" t="n">
        <v>4608</v>
      </c>
      <c r="E3" s="5" t="n">
        <v>2592</v>
      </c>
      <c r="F3" s="5" t="n">
        <v>6.075</v>
      </c>
      <c r="G3" s="5" t="n">
        <v>1</v>
      </c>
      <c r="H3" s="2" t="s">
        <v>433</v>
      </c>
      <c r="I3" s="2" t="n">
        <f aca="false">ROUND(D3*F3*G3/1000,2)</f>
        <v>27.99</v>
      </c>
      <c r="J3" s="2" t="n">
        <f aca="false">ROUND(E3*F3*G3/1000,2)</f>
        <v>15.75</v>
      </c>
      <c r="K3" s="5" t="n">
        <v>27.99</v>
      </c>
      <c r="L3" s="5" t="n">
        <v>15.75</v>
      </c>
      <c r="M3" s="7" t="n">
        <f aca="false">IF(K3="","",ROUND(K3-I3,2))</f>
        <v>0</v>
      </c>
      <c r="N3" s="2" t="n">
        <f aca="false">IF(K3="",I3,K3)</f>
        <v>27.99</v>
      </c>
      <c r="O3" s="2" t="n">
        <f aca="false">IF(L3="",J3,L3)</f>
        <v>15.75</v>
      </c>
      <c r="P3" s="2" t="n">
        <f aca="false">ROUND(SQRT(N3^2+O3^2),2)</f>
        <v>32.12</v>
      </c>
      <c r="Q3" s="2" t="n">
        <f aca="false">ROUND(N3/O3,3)</f>
        <v>1.777</v>
      </c>
      <c r="R3" s="2" t="s">
        <v>434</v>
      </c>
      <c r="S3" s="2" t="s">
        <v>435</v>
      </c>
      <c r="T3" s="2" t="s">
        <v>436</v>
      </c>
      <c r="U3" s="2"/>
    </row>
    <row r="4" customFormat="false" ht="15" hidden="false" customHeight="true" outlineLevel="0" collapsed="false">
      <c r="A4" s="2" t="s">
        <v>439</v>
      </c>
      <c r="B4" s="2" t="s">
        <v>384</v>
      </c>
      <c r="C4" s="2" t="s">
        <v>440</v>
      </c>
      <c r="D4" s="5" t="n">
        <v>4096</v>
      </c>
      <c r="E4" s="5" t="n">
        <v>2304</v>
      </c>
      <c r="F4" s="5" t="n">
        <v>6.075</v>
      </c>
      <c r="G4" s="5" t="n">
        <v>1</v>
      </c>
      <c r="H4" s="2" t="s">
        <v>433</v>
      </c>
      <c r="I4" s="2" t="n">
        <f aca="false">ROUND(D4*F4*G4/1000,2)</f>
        <v>24.88</v>
      </c>
      <c r="J4" s="2" t="n">
        <f aca="false">ROUND(E4*F4*G4/1000,2)</f>
        <v>14</v>
      </c>
      <c r="K4" s="5" t="n">
        <v>24.88</v>
      </c>
      <c r="L4" s="5" t="n">
        <v>14</v>
      </c>
      <c r="M4" s="7" t="n">
        <f aca="false">IF(K4="","",ROUND(K4-I4,2))</f>
        <v>0</v>
      </c>
      <c r="N4" s="2" t="n">
        <f aca="false">IF(K4="",I4,K4)</f>
        <v>24.88</v>
      </c>
      <c r="O4" s="2" t="n">
        <f aca="false">IF(L4="",J4,L4)</f>
        <v>14</v>
      </c>
      <c r="P4" s="2" t="n">
        <f aca="false">ROUND(SQRT(N4^2+O4^2),2)</f>
        <v>28.55</v>
      </c>
      <c r="Q4" s="2" t="n">
        <f aca="false">ROUND(N4/O4,3)</f>
        <v>1.777</v>
      </c>
      <c r="R4" s="2" t="s">
        <v>434</v>
      </c>
      <c r="S4" s="2" t="s">
        <v>435</v>
      </c>
      <c r="T4" s="2" t="s">
        <v>436</v>
      </c>
      <c r="U4" s="2"/>
    </row>
    <row r="5" customFormat="false" ht="15" hidden="false" customHeight="true" outlineLevel="0" collapsed="false">
      <c r="A5" s="2" t="s">
        <v>441</v>
      </c>
      <c r="B5" s="2" t="s">
        <v>384</v>
      </c>
      <c r="C5" s="2" t="s">
        <v>442</v>
      </c>
      <c r="D5" s="5" t="n">
        <v>3840</v>
      </c>
      <c r="E5" s="5" t="n">
        <v>2160</v>
      </c>
      <c r="F5" s="5" t="n">
        <v>6.075</v>
      </c>
      <c r="G5" s="5" t="n">
        <v>1</v>
      </c>
      <c r="H5" s="2" t="s">
        <v>433</v>
      </c>
      <c r="I5" s="2" t="n">
        <f aca="false">ROUND(D5*F5*G5/1000,2)</f>
        <v>23.33</v>
      </c>
      <c r="J5" s="2" t="n">
        <f aca="false">ROUND(E5*F5*G5/1000,2)</f>
        <v>13.12</v>
      </c>
      <c r="K5" s="5" t="n">
        <v>23.33</v>
      </c>
      <c r="L5" s="5" t="n">
        <v>13.12</v>
      </c>
      <c r="M5" s="7" t="n">
        <f aca="false">IF(K5="","",ROUND(K5-I5,2))</f>
        <v>0</v>
      </c>
      <c r="N5" s="2" t="n">
        <f aca="false">IF(K5="",I5,K5)</f>
        <v>23.33</v>
      </c>
      <c r="O5" s="2" t="n">
        <f aca="false">IF(L5="",J5,L5)</f>
        <v>13.12</v>
      </c>
      <c r="P5" s="2" t="n">
        <f aca="false">ROUND(SQRT(N5^2+O5^2),2)</f>
        <v>26.77</v>
      </c>
      <c r="Q5" s="2" t="n">
        <f aca="false">ROUND(N5/O5,3)</f>
        <v>1.778</v>
      </c>
      <c r="R5" s="2" t="s">
        <v>434</v>
      </c>
      <c r="S5" s="2" t="s">
        <v>435</v>
      </c>
      <c r="T5" s="2" t="s">
        <v>436</v>
      </c>
      <c r="U5" s="2"/>
    </row>
    <row r="6" customFormat="false" ht="15" hidden="false" customHeight="true" outlineLevel="0" collapsed="false">
      <c r="A6" s="2" t="s">
        <v>443</v>
      </c>
      <c r="B6" s="2" t="s">
        <v>384</v>
      </c>
      <c r="C6" s="2" t="s">
        <v>444</v>
      </c>
      <c r="D6" s="5" t="n">
        <v>3840</v>
      </c>
      <c r="E6" s="5" t="n">
        <v>1608</v>
      </c>
      <c r="F6" s="5" t="n">
        <v>6.075</v>
      </c>
      <c r="G6" s="5" t="n">
        <v>1</v>
      </c>
      <c r="H6" s="2" t="s">
        <v>433</v>
      </c>
      <c r="I6" s="2" t="n">
        <f aca="false">ROUND(D6*F6*G6/1000,2)</f>
        <v>23.33</v>
      </c>
      <c r="J6" s="2" t="n">
        <f aca="false">ROUND(E6*F6*G6/1000,2)</f>
        <v>9.77</v>
      </c>
      <c r="K6" s="5" t="n">
        <v>23.33</v>
      </c>
      <c r="L6" s="5" t="n">
        <v>9.77</v>
      </c>
      <c r="M6" s="7" t="n">
        <f aca="false">IF(K6="","",ROUND(K6-I6,2))</f>
        <v>0</v>
      </c>
      <c r="N6" s="2" t="n">
        <f aca="false">IF(K6="",I6,K6)</f>
        <v>23.33</v>
      </c>
      <c r="O6" s="2" t="n">
        <f aca="false">IF(L6="",J6,L6)</f>
        <v>9.77</v>
      </c>
      <c r="P6" s="2" t="n">
        <f aca="false">ROUND(SQRT(N6^2+O6^2),2)</f>
        <v>25.29</v>
      </c>
      <c r="Q6" s="2" t="n">
        <f aca="false">ROUND(N6/O6,3)</f>
        <v>2.388</v>
      </c>
      <c r="R6" s="2" t="s">
        <v>434</v>
      </c>
      <c r="S6" s="2" t="s">
        <v>435</v>
      </c>
      <c r="T6" s="2" t="s">
        <v>436</v>
      </c>
      <c r="U6" s="2"/>
    </row>
    <row r="7" customFormat="false" ht="15" hidden="false" customHeight="true" outlineLevel="0" collapsed="false">
      <c r="A7" s="2" t="s">
        <v>445</v>
      </c>
      <c r="B7" s="2" t="s">
        <v>384</v>
      </c>
      <c r="C7" s="2" t="s">
        <v>446</v>
      </c>
      <c r="D7" s="5" t="n">
        <v>3328</v>
      </c>
      <c r="E7" s="5" t="n">
        <v>2790</v>
      </c>
      <c r="F7" s="5" t="n">
        <v>6.075</v>
      </c>
      <c r="G7" s="5" t="n">
        <v>1</v>
      </c>
      <c r="H7" s="2" t="s">
        <v>433</v>
      </c>
      <c r="I7" s="2" t="n">
        <f aca="false">ROUND(D7*F7*G7/1000,2)</f>
        <v>20.22</v>
      </c>
      <c r="J7" s="2" t="n">
        <f aca="false">ROUND(E7*F7*G7/1000,2)</f>
        <v>16.95</v>
      </c>
      <c r="K7" s="5" t="n">
        <v>20.22</v>
      </c>
      <c r="L7" s="5" t="n">
        <v>16.95</v>
      </c>
      <c r="M7" s="7" t="n">
        <f aca="false">IF(K7="","",ROUND(K7-I7,2))</f>
        <v>0</v>
      </c>
      <c r="N7" s="2" t="n">
        <f aca="false">IF(K7="",I7,K7)</f>
        <v>20.22</v>
      </c>
      <c r="O7" s="2" t="n">
        <f aca="false">IF(L7="",J7,L7)</f>
        <v>16.95</v>
      </c>
      <c r="P7" s="2" t="n">
        <f aca="false">ROUND(SQRT(N7^2+O7^2),2)</f>
        <v>26.38</v>
      </c>
      <c r="Q7" s="2" t="n">
        <f aca="false">ROUND(N7/O7,3)</f>
        <v>1.193</v>
      </c>
      <c r="R7" s="2" t="s">
        <v>434</v>
      </c>
      <c r="S7" s="2" t="s">
        <v>435</v>
      </c>
      <c r="T7" s="2" t="s">
        <v>436</v>
      </c>
      <c r="U7" s="2"/>
    </row>
    <row r="8" customFormat="false" ht="15" hidden="false" customHeight="true" outlineLevel="0" collapsed="false">
      <c r="A8" s="2" t="s">
        <v>447</v>
      </c>
      <c r="B8" s="2" t="s">
        <v>384</v>
      </c>
      <c r="C8" s="2" t="s">
        <v>448</v>
      </c>
      <c r="D8" s="5" t="n">
        <v>2048</v>
      </c>
      <c r="E8" s="5" t="n">
        <v>1152</v>
      </c>
      <c r="F8" s="5" t="n">
        <v>6.075</v>
      </c>
      <c r="G8" s="5" t="n">
        <v>1</v>
      </c>
      <c r="H8" s="2" t="s">
        <v>433</v>
      </c>
      <c r="I8" s="2" t="n">
        <f aca="false">ROUND(D8*F8*G8/1000,2)</f>
        <v>12.44</v>
      </c>
      <c r="J8" s="2" t="n">
        <f aca="false">ROUND(E8*F8*G8/1000,2)</f>
        <v>7</v>
      </c>
      <c r="K8" s="5" t="n">
        <v>12.44</v>
      </c>
      <c r="L8" s="5" t="n">
        <v>7</v>
      </c>
      <c r="M8" s="7" t="n">
        <f aca="false">IF(K8="","",ROUND(K8-I8,2))</f>
        <v>0</v>
      </c>
      <c r="N8" s="2" t="n">
        <f aca="false">IF(K8="",I8,K8)</f>
        <v>12.44</v>
      </c>
      <c r="O8" s="2" t="n">
        <f aca="false">IF(L8="",J8,L8)</f>
        <v>7</v>
      </c>
      <c r="P8" s="2" t="n">
        <f aca="false">ROUND(SQRT(N8^2+O8^2),2)</f>
        <v>14.27</v>
      </c>
      <c r="Q8" s="2" t="n">
        <f aca="false">ROUND(N8/O8,3)</f>
        <v>1.777</v>
      </c>
      <c r="R8" s="2" t="s">
        <v>434</v>
      </c>
      <c r="S8" s="2" t="s">
        <v>435</v>
      </c>
      <c r="T8" s="2" t="s">
        <v>436</v>
      </c>
      <c r="U8" s="2"/>
    </row>
    <row r="9" customFormat="false" ht="15" hidden="false" customHeight="true" outlineLevel="0" collapsed="false">
      <c r="A9" s="2" t="s">
        <v>449</v>
      </c>
      <c r="B9" s="2" t="s">
        <v>384</v>
      </c>
      <c r="C9" s="2" t="s">
        <v>450</v>
      </c>
      <c r="D9" s="5" t="n">
        <v>1920</v>
      </c>
      <c r="E9" s="5" t="n">
        <v>1080</v>
      </c>
      <c r="F9" s="5" t="n">
        <v>6.075</v>
      </c>
      <c r="G9" s="5" t="n">
        <v>1</v>
      </c>
      <c r="H9" s="2" t="s">
        <v>433</v>
      </c>
      <c r="I9" s="2" t="n">
        <f aca="false">ROUND(D9*F9*G9/1000,2)</f>
        <v>11.66</v>
      </c>
      <c r="J9" s="2" t="n">
        <f aca="false">ROUND(E9*F9*G9/1000,2)</f>
        <v>6.56</v>
      </c>
      <c r="K9" s="5" t="n">
        <v>11.66</v>
      </c>
      <c r="L9" s="5" t="n">
        <v>6.56</v>
      </c>
      <c r="M9" s="7" t="n">
        <f aca="false">IF(K9="","",ROUND(K9-I9,2))</f>
        <v>0</v>
      </c>
      <c r="N9" s="2" t="n">
        <f aca="false">IF(K9="",I9,K9)</f>
        <v>11.66</v>
      </c>
      <c r="O9" s="2" t="n">
        <f aca="false">IF(L9="",J9,L9)</f>
        <v>6.56</v>
      </c>
      <c r="P9" s="2" t="n">
        <f aca="false">ROUND(SQRT(N9^2+O9^2),2)</f>
        <v>13.38</v>
      </c>
      <c r="Q9" s="2" t="n">
        <f aca="false">ROUND(N9/O9,3)</f>
        <v>1.777</v>
      </c>
      <c r="R9" s="2" t="s">
        <v>434</v>
      </c>
      <c r="S9" s="2" t="s">
        <v>435</v>
      </c>
      <c r="T9" s="2" t="s">
        <v>436</v>
      </c>
      <c r="U9" s="2"/>
    </row>
    <row r="10" customFormat="false" ht="27.75" hidden="false" customHeight="true" outlineLevel="0" collapsed="false">
      <c r="A10" s="2" t="s">
        <v>451</v>
      </c>
      <c r="B10" s="2" t="s">
        <v>392</v>
      </c>
      <c r="C10" s="2" t="s">
        <v>452</v>
      </c>
      <c r="D10" s="5" t="n">
        <v>6048</v>
      </c>
      <c r="E10" s="5" t="n">
        <v>4032</v>
      </c>
      <c r="F10" s="5" t="n">
        <v>5.94</v>
      </c>
      <c r="G10" s="5" t="n">
        <v>1</v>
      </c>
      <c r="H10" s="2" t="s">
        <v>453</v>
      </c>
      <c r="I10" s="2" t="n">
        <f aca="false">ROUND(D10*F10*G10/1000,2)</f>
        <v>35.93</v>
      </c>
      <c r="J10" s="2" t="n">
        <f aca="false">ROUND(E10*F10*G10/1000,2)</f>
        <v>23.95</v>
      </c>
      <c r="K10" s="5" t="n">
        <v>36</v>
      </c>
      <c r="L10" s="5" t="n">
        <v>24</v>
      </c>
      <c r="M10" s="7" t="n">
        <f aca="false">IF(K10="","",ROUND(K10-I10,2))</f>
        <v>0.07</v>
      </c>
      <c r="N10" s="2" t="n">
        <f aca="false">IF(K10="",I10,K10)</f>
        <v>36</v>
      </c>
      <c r="O10" s="2" t="n">
        <f aca="false">IF(L10="",J10,L10)</f>
        <v>24</v>
      </c>
      <c r="P10" s="2" t="n">
        <f aca="false">ROUND(SQRT(N10^2+O10^2),2)</f>
        <v>43.27</v>
      </c>
      <c r="Q10" s="2" t="n">
        <f aca="false">ROUND(N10/O10,3)</f>
        <v>1.5</v>
      </c>
      <c r="R10" s="2" t="s">
        <v>454</v>
      </c>
      <c r="S10" s="2" t="s">
        <v>396</v>
      </c>
      <c r="T10" s="2" t="s">
        <v>436</v>
      </c>
      <c r="U10" s="2"/>
    </row>
    <row r="11" customFormat="false" ht="15" hidden="false" customHeight="true" outlineLevel="0" collapsed="false">
      <c r="A11" s="2" t="s">
        <v>455</v>
      </c>
      <c r="B11" s="2" t="s">
        <v>392</v>
      </c>
      <c r="C11" s="2" t="s">
        <v>456</v>
      </c>
      <c r="D11" s="5" t="n">
        <v>4832</v>
      </c>
      <c r="E11" s="5" t="n">
        <v>4032</v>
      </c>
      <c r="F11" s="5" t="n">
        <v>5.94</v>
      </c>
      <c r="G11" s="5" t="n">
        <v>1</v>
      </c>
      <c r="H11" s="2" t="s">
        <v>457</v>
      </c>
      <c r="I11" s="2" t="n">
        <f aca="false">ROUND(D11*F11*G11/1000,2)</f>
        <v>28.7</v>
      </c>
      <c r="J11" s="2" t="n">
        <f aca="false">ROUND(E11*F11*G11/1000,2)</f>
        <v>23.95</v>
      </c>
      <c r="K11" s="5"/>
      <c r="L11" s="5"/>
      <c r="M11" s="7" t="str">
        <f aca="false">IF(K11="","",ROUND(K11-I11,2))</f>
        <v/>
      </c>
      <c r="N11" s="2" t="n">
        <f aca="false">IF(K11="",I11,K11)</f>
        <v>28.7</v>
      </c>
      <c r="O11" s="2" t="n">
        <f aca="false">IF(L11="",J11,L11)</f>
        <v>23.95</v>
      </c>
      <c r="P11" s="2" t="n">
        <f aca="false">ROUND(SQRT(N11^2+O11^2),2)</f>
        <v>37.38</v>
      </c>
      <c r="Q11" s="2" t="n">
        <f aca="false">ROUND(N11/O11,3)</f>
        <v>1.198</v>
      </c>
      <c r="R11" s="2" t="s">
        <v>458</v>
      </c>
      <c r="S11" s="2" t="s">
        <v>396</v>
      </c>
      <c r="T11" s="2" t="s">
        <v>459</v>
      </c>
      <c r="U11" s="2"/>
    </row>
    <row r="12" customFormat="false" ht="15" hidden="false" customHeight="true" outlineLevel="0" collapsed="false">
      <c r="A12" s="2" t="s">
        <v>460</v>
      </c>
      <c r="B12" s="2" t="s">
        <v>392</v>
      </c>
      <c r="C12" s="2" t="s">
        <v>461</v>
      </c>
      <c r="D12" s="5" t="n">
        <v>6048</v>
      </c>
      <c r="E12" s="5" t="n">
        <v>3408</v>
      </c>
      <c r="F12" s="5" t="n">
        <v>5.94</v>
      </c>
      <c r="G12" s="5" t="n">
        <v>1</v>
      </c>
      <c r="H12" s="2" t="s">
        <v>462</v>
      </c>
      <c r="I12" s="2" t="n">
        <f aca="false">ROUND(D12*F12*G12/1000,2)</f>
        <v>35.93</v>
      </c>
      <c r="J12" s="2" t="n">
        <f aca="false">ROUND(E12*F12*G12/1000,2)</f>
        <v>20.24</v>
      </c>
      <c r="K12" s="5"/>
      <c r="L12" s="5"/>
      <c r="M12" s="7" t="str">
        <f aca="false">IF(K12="","",ROUND(K12-I12,2))</f>
        <v/>
      </c>
      <c r="N12" s="2" t="n">
        <f aca="false">IF(K12="",I12,K12)</f>
        <v>35.93</v>
      </c>
      <c r="O12" s="2" t="n">
        <f aca="false">IF(L12="",J12,L12)</f>
        <v>20.24</v>
      </c>
      <c r="P12" s="2" t="n">
        <f aca="false">ROUND(SQRT(N12^2+O12^2),2)</f>
        <v>41.24</v>
      </c>
      <c r="Q12" s="2" t="n">
        <f aca="false">ROUND(N12/O12,3)</f>
        <v>1.775</v>
      </c>
      <c r="R12" s="2" t="s">
        <v>458</v>
      </c>
      <c r="S12" s="2" t="s">
        <v>396</v>
      </c>
      <c r="T12" s="2" t="s">
        <v>459</v>
      </c>
      <c r="U12" s="2"/>
    </row>
    <row r="13" customFormat="false" ht="15" hidden="false" customHeight="true" outlineLevel="0" collapsed="false">
      <c r="A13" s="2" t="s">
        <v>463</v>
      </c>
      <c r="B13" s="2" t="s">
        <v>392</v>
      </c>
      <c r="C13" s="2" t="s">
        <v>464</v>
      </c>
      <c r="D13" s="5" t="n">
        <v>6048</v>
      </c>
      <c r="E13" s="5" t="n">
        <v>3200</v>
      </c>
      <c r="F13" s="5" t="n">
        <v>5.94</v>
      </c>
      <c r="G13" s="5" t="n">
        <v>1</v>
      </c>
      <c r="H13" s="2" t="s">
        <v>462</v>
      </c>
      <c r="I13" s="2" t="n">
        <f aca="false">ROUND(D13*F13*G13/1000,2)</f>
        <v>35.93</v>
      </c>
      <c r="J13" s="2" t="n">
        <f aca="false">ROUND(E13*F13*G13/1000,2)</f>
        <v>19.01</v>
      </c>
      <c r="K13" s="5"/>
      <c r="L13" s="5"/>
      <c r="M13" s="7" t="str">
        <f aca="false">IF(K13="","",ROUND(K13-I13,2))</f>
        <v/>
      </c>
      <c r="N13" s="2" t="n">
        <f aca="false">IF(K13="",I13,K13)</f>
        <v>35.93</v>
      </c>
      <c r="O13" s="2" t="n">
        <f aca="false">IF(L13="",J13,L13)</f>
        <v>19.01</v>
      </c>
      <c r="P13" s="2" t="n">
        <f aca="false">ROUND(SQRT(N13^2+O13^2),2)</f>
        <v>40.65</v>
      </c>
      <c r="Q13" s="2" t="n">
        <f aca="false">ROUND(N13/O13,3)</f>
        <v>1.89</v>
      </c>
      <c r="R13" s="2" t="s">
        <v>458</v>
      </c>
      <c r="S13" s="2" t="s">
        <v>396</v>
      </c>
      <c r="T13" s="2" t="s">
        <v>459</v>
      </c>
      <c r="U13" s="2"/>
    </row>
    <row r="14" customFormat="false" ht="15" hidden="false" customHeight="true" outlineLevel="0" collapsed="false">
      <c r="A14" s="2" t="s">
        <v>465</v>
      </c>
      <c r="B14" s="2" t="s">
        <v>392</v>
      </c>
      <c r="C14" s="2" t="s">
        <v>466</v>
      </c>
      <c r="D14" s="5" t="n">
        <v>6048</v>
      </c>
      <c r="E14" s="5" t="n">
        <v>2520</v>
      </c>
      <c r="F14" s="5" t="n">
        <v>5.94</v>
      </c>
      <c r="G14" s="5" t="n">
        <v>1</v>
      </c>
      <c r="H14" s="2" t="s">
        <v>462</v>
      </c>
      <c r="I14" s="2" t="n">
        <f aca="false">ROUND(D14*F14*G14/1000,2)</f>
        <v>35.93</v>
      </c>
      <c r="J14" s="2" t="n">
        <f aca="false">ROUND(E14*F14*G14/1000,2)</f>
        <v>14.97</v>
      </c>
      <c r="K14" s="5"/>
      <c r="L14" s="5"/>
      <c r="M14" s="7" t="str">
        <f aca="false">IF(K14="","",ROUND(K14-I14,2))</f>
        <v/>
      </c>
      <c r="N14" s="2" t="n">
        <f aca="false">IF(K14="",I14,K14)</f>
        <v>35.93</v>
      </c>
      <c r="O14" s="2" t="n">
        <f aca="false">IF(L14="",J14,L14)</f>
        <v>14.97</v>
      </c>
      <c r="P14" s="2" t="n">
        <f aca="false">ROUND(SQRT(N14^2+O14^2),2)</f>
        <v>38.92</v>
      </c>
      <c r="Q14" s="2" t="n">
        <f aca="false">ROUND(N14/O14,3)</f>
        <v>2.4</v>
      </c>
      <c r="R14" s="2" t="s">
        <v>458</v>
      </c>
      <c r="S14" s="2" t="s">
        <v>396</v>
      </c>
      <c r="T14" s="2" t="s">
        <v>459</v>
      </c>
      <c r="U14" s="2"/>
    </row>
    <row r="15" customFormat="false" ht="27.75" hidden="false" customHeight="true" outlineLevel="0" collapsed="false">
      <c r="A15" s="2" t="s">
        <v>467</v>
      </c>
      <c r="B15" s="2" t="s">
        <v>392</v>
      </c>
      <c r="C15" s="2" t="s">
        <v>468</v>
      </c>
      <c r="D15" s="5" t="n">
        <v>4096</v>
      </c>
      <c r="E15" s="5" t="n">
        <v>3072</v>
      </c>
      <c r="F15" s="5" t="n">
        <v>5.94</v>
      </c>
      <c r="G15" s="5" t="n">
        <v>1</v>
      </c>
      <c r="H15" s="2" t="s">
        <v>469</v>
      </c>
      <c r="I15" s="2" t="n">
        <f aca="false">ROUND(D15*F15*G15/1000,2)</f>
        <v>24.33</v>
      </c>
      <c r="J15" s="2" t="n">
        <f aca="false">ROUND(E15*F15*G15/1000,2)</f>
        <v>18.25</v>
      </c>
      <c r="K15" s="5"/>
      <c r="L15" s="5"/>
      <c r="M15" s="7" t="str">
        <f aca="false">IF(K15="","",ROUND(K15-I15,2))</f>
        <v/>
      </c>
      <c r="N15" s="2" t="n">
        <f aca="false">IF(K15="",I15,K15)</f>
        <v>24.33</v>
      </c>
      <c r="O15" s="2" t="n">
        <f aca="false">IF(L15="",J15,L15)</f>
        <v>18.25</v>
      </c>
      <c r="P15" s="2" t="n">
        <f aca="false">ROUND(SQRT(N15^2+O15^2),2)</f>
        <v>30.41</v>
      </c>
      <c r="Q15" s="2" t="n">
        <f aca="false">ROUND(N15/O15,3)</f>
        <v>1.333</v>
      </c>
      <c r="R15" s="2" t="s">
        <v>458</v>
      </c>
      <c r="S15" s="2" t="s">
        <v>396</v>
      </c>
      <c r="T15" s="2" t="s">
        <v>470</v>
      </c>
      <c r="U15" s="2" t="s">
        <v>471</v>
      </c>
    </row>
    <row r="16" customFormat="false" ht="27.75" hidden="false" customHeight="true" outlineLevel="0" collapsed="false">
      <c r="A16" s="2" t="s">
        <v>472</v>
      </c>
      <c r="B16" s="2" t="s">
        <v>392</v>
      </c>
      <c r="C16" s="2" t="s">
        <v>440</v>
      </c>
      <c r="D16" s="5" t="n">
        <v>4096</v>
      </c>
      <c r="E16" s="5" t="n">
        <v>2304</v>
      </c>
      <c r="F16" s="5" t="n">
        <v>5.94</v>
      </c>
      <c r="G16" s="5" t="n">
        <v>1</v>
      </c>
      <c r="H16" s="2" t="s">
        <v>473</v>
      </c>
      <c r="I16" s="2" t="n">
        <f aca="false">ROUND(D16*F16*G16/1000,2)</f>
        <v>24.33</v>
      </c>
      <c r="J16" s="2" t="n">
        <f aca="false">ROUND(E16*F16*G16/1000,2)</f>
        <v>13.69</v>
      </c>
      <c r="K16" s="5"/>
      <c r="L16" s="5"/>
      <c r="M16" s="7" t="str">
        <f aca="false">IF(K16="","",ROUND(K16-I16,2))</f>
        <v/>
      </c>
      <c r="N16" s="2" t="n">
        <f aca="false">IF(K16="",I16,K16)</f>
        <v>24.33</v>
      </c>
      <c r="O16" s="2" t="n">
        <f aca="false">IF(L16="",J16,L16)</f>
        <v>13.69</v>
      </c>
      <c r="P16" s="2" t="n">
        <f aca="false">ROUND(SQRT(N16^2+O16^2),2)</f>
        <v>27.92</v>
      </c>
      <c r="Q16" s="2" t="n">
        <f aca="false">ROUND(N16/O16,3)</f>
        <v>1.777</v>
      </c>
      <c r="R16" s="2" t="s">
        <v>458</v>
      </c>
      <c r="S16" s="2" t="s">
        <v>396</v>
      </c>
      <c r="T16" s="2" t="s">
        <v>470</v>
      </c>
      <c r="U16" s="2" t="s">
        <v>474</v>
      </c>
    </row>
    <row r="17" customFormat="false" ht="27.75" hidden="false" customHeight="true" outlineLevel="0" collapsed="false">
      <c r="A17" s="2" t="s">
        <v>475</v>
      </c>
      <c r="B17" s="2" t="s">
        <v>392</v>
      </c>
      <c r="C17" s="2" t="s">
        <v>476</v>
      </c>
      <c r="D17" s="5" t="n">
        <v>4096</v>
      </c>
      <c r="E17" s="5" t="n">
        <v>2160</v>
      </c>
      <c r="F17" s="5" t="n">
        <v>5.94</v>
      </c>
      <c r="G17" s="5" t="n">
        <v>1</v>
      </c>
      <c r="H17" s="2" t="s">
        <v>473</v>
      </c>
      <c r="I17" s="2" t="n">
        <f aca="false">ROUND(D17*F17*G17/1000,2)</f>
        <v>24.33</v>
      </c>
      <c r="J17" s="2" t="n">
        <f aca="false">ROUND(E17*F17*G17/1000,2)</f>
        <v>12.83</v>
      </c>
      <c r="K17" s="5"/>
      <c r="L17" s="5"/>
      <c r="M17" s="7" t="str">
        <f aca="false">IF(K17="","",ROUND(K17-I17,2))</f>
        <v/>
      </c>
      <c r="N17" s="2" t="n">
        <f aca="false">IF(K17="",I17,K17)</f>
        <v>24.33</v>
      </c>
      <c r="O17" s="2" t="n">
        <f aca="false">IF(L17="",J17,L17)</f>
        <v>12.83</v>
      </c>
      <c r="P17" s="2" t="n">
        <f aca="false">ROUND(SQRT(N17^2+O17^2),2)</f>
        <v>27.51</v>
      </c>
      <c r="Q17" s="2" t="n">
        <f aca="false">ROUND(N17/O17,3)</f>
        <v>1.896</v>
      </c>
      <c r="R17" s="2" t="s">
        <v>458</v>
      </c>
      <c r="S17" s="2" t="s">
        <v>396</v>
      </c>
      <c r="T17" s="2" t="s">
        <v>470</v>
      </c>
      <c r="U17" s="2" t="s">
        <v>477</v>
      </c>
    </row>
    <row r="18" customFormat="false" ht="27.75" hidden="false" customHeight="true" outlineLevel="0" collapsed="false">
      <c r="A18" s="2" t="s">
        <v>478</v>
      </c>
      <c r="B18" s="2" t="s">
        <v>398</v>
      </c>
      <c r="C18" s="2" t="s">
        <v>479</v>
      </c>
      <c r="D18" s="5" t="n">
        <v>17520</v>
      </c>
      <c r="E18" s="5" t="n">
        <v>8040</v>
      </c>
      <c r="F18" s="5" t="n">
        <v>2.9</v>
      </c>
      <c r="G18" s="5" t="n">
        <v>1</v>
      </c>
      <c r="H18" s="2" t="s">
        <v>453</v>
      </c>
      <c r="I18" s="2" t="n">
        <f aca="false">ROUND(D18*F18*G18/1000,2)</f>
        <v>50.81</v>
      </c>
      <c r="J18" s="2" t="n">
        <f aca="false">ROUND(E18*F18*G18/1000,2)</f>
        <v>23.32</v>
      </c>
      <c r="K18" s="5" t="n">
        <v>50.81</v>
      </c>
      <c r="L18" s="5" t="n">
        <v>23.32</v>
      </c>
      <c r="M18" s="7" t="n">
        <f aca="false">IF(K18="","",ROUND(K18-I18,2))</f>
        <v>0</v>
      </c>
      <c r="N18" s="2" t="n">
        <f aca="false">IF(K18="",I18,K18)</f>
        <v>50.81</v>
      </c>
      <c r="O18" s="2" t="n">
        <f aca="false">IF(L18="",J18,L18)</f>
        <v>23.32</v>
      </c>
      <c r="P18" s="2" t="n">
        <f aca="false">ROUND(SQRT(N18^2+O18^2),2)</f>
        <v>55.91</v>
      </c>
      <c r="Q18" s="2" t="n">
        <f aca="false">ROUND(N18/O18,3)</f>
        <v>2.179</v>
      </c>
      <c r="R18" s="2" t="s">
        <v>454</v>
      </c>
      <c r="S18" s="2" t="s">
        <v>402</v>
      </c>
      <c r="T18" s="2" t="s">
        <v>436</v>
      </c>
      <c r="U18" s="2"/>
    </row>
    <row r="19" customFormat="false" ht="15" hidden="false" customHeight="true" outlineLevel="0" collapsed="false">
      <c r="A19" s="2" t="s">
        <v>480</v>
      </c>
      <c r="B19" s="2" t="s">
        <v>398</v>
      </c>
      <c r="C19" s="2" t="s">
        <v>481</v>
      </c>
      <c r="D19" s="5" t="n">
        <v>16128</v>
      </c>
      <c r="E19" s="5" t="n">
        <v>8040</v>
      </c>
      <c r="F19" s="5" t="n">
        <v>2.9</v>
      </c>
      <c r="G19" s="5" t="n">
        <v>1</v>
      </c>
      <c r="H19" s="2" t="s">
        <v>457</v>
      </c>
      <c r="I19" s="2" t="n">
        <f aca="false">ROUND(D19*F19*G19/1000,2)</f>
        <v>46.77</v>
      </c>
      <c r="J19" s="2" t="n">
        <f aca="false">ROUND(E19*F19*G19/1000,2)</f>
        <v>23.32</v>
      </c>
      <c r="K19" s="5"/>
      <c r="L19" s="5"/>
      <c r="M19" s="7" t="str">
        <f aca="false">IF(K19="","",ROUND(K19-I19,2))</f>
        <v/>
      </c>
      <c r="N19" s="2" t="n">
        <f aca="false">IF(K19="",I19,K19)</f>
        <v>46.77</v>
      </c>
      <c r="O19" s="2" t="n">
        <f aca="false">IF(L19="",J19,L19)</f>
        <v>23.32</v>
      </c>
      <c r="P19" s="2" t="n">
        <f aca="false">ROUND(SQRT(N19^2+O19^2),2)</f>
        <v>52.26</v>
      </c>
      <c r="Q19" s="2" t="n">
        <f aca="false">ROUND(N19/O19,3)</f>
        <v>2.006</v>
      </c>
      <c r="R19" s="2" t="s">
        <v>458</v>
      </c>
      <c r="S19" s="2" t="s">
        <v>402</v>
      </c>
      <c r="T19" s="2" t="s">
        <v>459</v>
      </c>
      <c r="U19" s="2"/>
    </row>
    <row r="20" customFormat="false" ht="15" hidden="false" customHeight="true" outlineLevel="0" collapsed="false">
      <c r="A20" s="2" t="s">
        <v>482</v>
      </c>
      <c r="B20" s="2" t="s">
        <v>398</v>
      </c>
      <c r="C20" s="2" t="s">
        <v>483</v>
      </c>
      <c r="D20" s="5" t="n">
        <v>15360</v>
      </c>
      <c r="E20" s="5" t="n">
        <v>8040</v>
      </c>
      <c r="F20" s="5" t="n">
        <v>2.9</v>
      </c>
      <c r="G20" s="5" t="n">
        <v>1</v>
      </c>
      <c r="H20" s="2" t="s">
        <v>457</v>
      </c>
      <c r="I20" s="2" t="n">
        <f aca="false">ROUND(D20*F20*G20/1000,2)</f>
        <v>44.54</v>
      </c>
      <c r="J20" s="2" t="n">
        <f aca="false">ROUND(E20*F20*G20/1000,2)</f>
        <v>23.32</v>
      </c>
      <c r="K20" s="5"/>
      <c r="L20" s="5"/>
      <c r="M20" s="7" t="str">
        <f aca="false">IF(K20="","",ROUND(K20-I20,2))</f>
        <v/>
      </c>
      <c r="N20" s="2" t="n">
        <f aca="false">IF(K20="",I20,K20)</f>
        <v>44.54</v>
      </c>
      <c r="O20" s="2" t="n">
        <f aca="false">IF(L20="",J20,L20)</f>
        <v>23.32</v>
      </c>
      <c r="P20" s="2" t="n">
        <f aca="false">ROUND(SQRT(N20^2+O20^2),2)</f>
        <v>50.28</v>
      </c>
      <c r="Q20" s="2" t="n">
        <f aca="false">ROUND(N20/O20,3)</f>
        <v>1.91</v>
      </c>
      <c r="R20" s="2" t="s">
        <v>458</v>
      </c>
      <c r="S20" s="2" t="s">
        <v>402</v>
      </c>
      <c r="T20" s="2" t="s">
        <v>459</v>
      </c>
      <c r="U20" s="2"/>
    </row>
    <row r="21" customFormat="false" ht="15" hidden="false" customHeight="true" outlineLevel="0" collapsed="false">
      <c r="A21" s="2" t="s">
        <v>484</v>
      </c>
      <c r="B21" s="2" t="s">
        <v>398</v>
      </c>
      <c r="C21" s="2" t="s">
        <v>485</v>
      </c>
      <c r="D21" s="5" t="n">
        <v>14304</v>
      </c>
      <c r="E21" s="5" t="n">
        <v>8040</v>
      </c>
      <c r="F21" s="5" t="n">
        <v>2.9</v>
      </c>
      <c r="G21" s="5" t="n">
        <v>1</v>
      </c>
      <c r="H21" s="2" t="s">
        <v>457</v>
      </c>
      <c r="I21" s="2" t="n">
        <f aca="false">ROUND(D21*F21*G21/1000,2)</f>
        <v>41.48</v>
      </c>
      <c r="J21" s="2" t="n">
        <f aca="false">ROUND(E21*F21*G21/1000,2)</f>
        <v>23.32</v>
      </c>
      <c r="K21" s="5"/>
      <c r="L21" s="5"/>
      <c r="M21" s="7" t="str">
        <f aca="false">IF(K21="","",ROUND(K21-I21,2))</f>
        <v/>
      </c>
      <c r="N21" s="2" t="n">
        <f aca="false">IF(K21="",I21,K21)</f>
        <v>41.48</v>
      </c>
      <c r="O21" s="2" t="n">
        <f aca="false">IF(L21="",J21,L21)</f>
        <v>23.32</v>
      </c>
      <c r="P21" s="2" t="n">
        <f aca="false">ROUND(SQRT(N21^2+O21^2),2)</f>
        <v>47.59</v>
      </c>
      <c r="Q21" s="2" t="n">
        <f aca="false">ROUND(N21/O21,3)</f>
        <v>1.779</v>
      </c>
      <c r="R21" s="2" t="s">
        <v>458</v>
      </c>
      <c r="S21" s="2" t="s">
        <v>402</v>
      </c>
      <c r="T21" s="2" t="s">
        <v>459</v>
      </c>
      <c r="U21" s="2"/>
    </row>
    <row r="22" customFormat="false" ht="15" hidden="false" customHeight="true" outlineLevel="0" collapsed="false">
      <c r="A22" s="2" t="s">
        <v>486</v>
      </c>
      <c r="B22" s="2" t="s">
        <v>398</v>
      </c>
      <c r="C22" s="2" t="s">
        <v>487</v>
      </c>
      <c r="D22" s="5" t="n">
        <v>17520</v>
      </c>
      <c r="E22" s="5" t="n">
        <v>7296</v>
      </c>
      <c r="F22" s="5" t="n">
        <v>2.9</v>
      </c>
      <c r="G22" s="5" t="n">
        <v>1</v>
      </c>
      <c r="H22" s="2" t="s">
        <v>462</v>
      </c>
      <c r="I22" s="2" t="n">
        <f aca="false">ROUND(D22*F22*G22/1000,2)</f>
        <v>50.81</v>
      </c>
      <c r="J22" s="2" t="n">
        <f aca="false">ROUND(E22*F22*G22/1000,2)</f>
        <v>21.16</v>
      </c>
      <c r="K22" s="5"/>
      <c r="L22" s="5"/>
      <c r="M22" s="7" t="str">
        <f aca="false">IF(K22="","",ROUND(K22-I22,2))</f>
        <v/>
      </c>
      <c r="N22" s="2" t="n">
        <f aca="false">IF(K22="",I22,K22)</f>
        <v>50.81</v>
      </c>
      <c r="O22" s="2" t="n">
        <f aca="false">IF(L22="",J22,L22)</f>
        <v>21.16</v>
      </c>
      <c r="P22" s="2" t="n">
        <f aca="false">ROUND(SQRT(N22^2+O22^2),2)</f>
        <v>55.04</v>
      </c>
      <c r="Q22" s="2" t="n">
        <f aca="false">ROUND(N22/O22,3)</f>
        <v>2.401</v>
      </c>
      <c r="R22" s="2" t="s">
        <v>458</v>
      </c>
      <c r="S22" s="2" t="s">
        <v>402</v>
      </c>
      <c r="T22" s="2" t="s">
        <v>459</v>
      </c>
      <c r="U22" s="2"/>
    </row>
    <row r="23" customFormat="false" ht="15" hidden="false" customHeight="true" outlineLevel="0" collapsed="false">
      <c r="A23" s="2" t="s">
        <v>488</v>
      </c>
      <c r="B23" s="2" t="s">
        <v>398</v>
      </c>
      <c r="C23" s="2" t="s">
        <v>489</v>
      </c>
      <c r="D23" s="5" t="n">
        <v>12288</v>
      </c>
      <c r="E23" s="5" t="n">
        <v>8040</v>
      </c>
      <c r="F23" s="5" t="n">
        <v>2.9</v>
      </c>
      <c r="G23" s="5" t="n">
        <v>1</v>
      </c>
      <c r="H23" s="2" t="s">
        <v>490</v>
      </c>
      <c r="I23" s="2" t="n">
        <f aca="false">ROUND(D23*F23*G23/1000,2)</f>
        <v>35.64</v>
      </c>
      <c r="J23" s="2" t="n">
        <f aca="false">ROUND(E23*F23*G23/1000,2)</f>
        <v>23.32</v>
      </c>
      <c r="K23" s="5"/>
      <c r="L23" s="5"/>
      <c r="M23" s="7" t="str">
        <f aca="false">IF(K23="","",ROUND(K23-I23,2))</f>
        <v/>
      </c>
      <c r="N23" s="2" t="n">
        <f aca="false">IF(K23="",I23,K23)</f>
        <v>35.64</v>
      </c>
      <c r="O23" s="2" t="n">
        <f aca="false">IF(L23="",J23,L23)</f>
        <v>23.32</v>
      </c>
      <c r="P23" s="2" t="n">
        <f aca="false">ROUND(SQRT(N23^2+O23^2),2)</f>
        <v>42.59</v>
      </c>
      <c r="Q23" s="2" t="n">
        <f aca="false">ROUND(N23/O23,3)</f>
        <v>1.528</v>
      </c>
      <c r="R23" s="2" t="s">
        <v>458</v>
      </c>
      <c r="S23" s="2" t="s">
        <v>402</v>
      </c>
      <c r="T23" s="2" t="s">
        <v>459</v>
      </c>
      <c r="U23" s="2"/>
    </row>
    <row r="24" customFormat="false" ht="15" hidden="false" customHeight="true" outlineLevel="0" collapsed="false">
      <c r="A24" s="2" t="s">
        <v>491</v>
      </c>
      <c r="B24" s="2" t="s">
        <v>398</v>
      </c>
      <c r="C24" s="2" t="s">
        <v>492</v>
      </c>
      <c r="D24" s="5" t="n">
        <v>12288</v>
      </c>
      <c r="E24" s="5" t="n">
        <v>6912</v>
      </c>
      <c r="F24" s="5" t="n">
        <v>2.9</v>
      </c>
      <c r="G24" s="5" t="n">
        <v>1</v>
      </c>
      <c r="H24" s="2" t="s">
        <v>490</v>
      </c>
      <c r="I24" s="2" t="n">
        <f aca="false">ROUND(D24*F24*G24/1000,2)</f>
        <v>35.64</v>
      </c>
      <c r="J24" s="2" t="n">
        <f aca="false">ROUND(E24*F24*G24/1000,2)</f>
        <v>20.04</v>
      </c>
      <c r="K24" s="5"/>
      <c r="L24" s="5"/>
      <c r="M24" s="7" t="str">
        <f aca="false">IF(K24="","",ROUND(K24-I24,2))</f>
        <v/>
      </c>
      <c r="N24" s="2" t="n">
        <f aca="false">IF(K24="",I24,K24)</f>
        <v>35.64</v>
      </c>
      <c r="O24" s="2" t="n">
        <f aca="false">IF(L24="",J24,L24)</f>
        <v>20.04</v>
      </c>
      <c r="P24" s="2" t="n">
        <f aca="false">ROUND(SQRT(N24^2+O24^2),2)</f>
        <v>40.89</v>
      </c>
      <c r="Q24" s="2" t="n">
        <f aca="false">ROUND(N24/O24,3)</f>
        <v>1.778</v>
      </c>
      <c r="R24" s="2" t="s">
        <v>458</v>
      </c>
      <c r="S24" s="2" t="s">
        <v>402</v>
      </c>
      <c r="T24" s="2" t="s">
        <v>459</v>
      </c>
      <c r="U24" s="2"/>
    </row>
    <row r="25" customFormat="false" ht="15" hidden="false" customHeight="true" outlineLevel="0" collapsed="false">
      <c r="A25" s="2" t="s">
        <v>493</v>
      </c>
      <c r="B25" s="2" t="s">
        <v>398</v>
      </c>
      <c r="C25" s="2" t="s">
        <v>494</v>
      </c>
      <c r="D25" s="5" t="n">
        <v>12288</v>
      </c>
      <c r="E25" s="5" t="n">
        <v>6480</v>
      </c>
      <c r="F25" s="5" t="n">
        <v>2.9</v>
      </c>
      <c r="G25" s="5" t="n">
        <v>1</v>
      </c>
      <c r="H25" s="2" t="s">
        <v>490</v>
      </c>
      <c r="I25" s="2" t="n">
        <f aca="false">ROUND(D25*F25*G25/1000,2)</f>
        <v>35.64</v>
      </c>
      <c r="J25" s="2" t="n">
        <f aca="false">ROUND(E25*F25*G25/1000,2)</f>
        <v>18.79</v>
      </c>
      <c r="K25" s="5"/>
      <c r="L25" s="5"/>
      <c r="M25" s="7" t="str">
        <f aca="false">IF(K25="","",ROUND(K25-I25,2))</f>
        <v/>
      </c>
      <c r="N25" s="2" t="n">
        <f aca="false">IF(K25="",I25,K25)</f>
        <v>35.64</v>
      </c>
      <c r="O25" s="2" t="n">
        <f aca="false">IF(L25="",J25,L25)</f>
        <v>18.79</v>
      </c>
      <c r="P25" s="2" t="n">
        <f aca="false">ROUND(SQRT(N25^2+O25^2),2)</f>
        <v>40.29</v>
      </c>
      <c r="Q25" s="2" t="n">
        <f aca="false">ROUND(N25/O25,3)</f>
        <v>1.897</v>
      </c>
      <c r="R25" s="2" t="s">
        <v>458</v>
      </c>
      <c r="S25" s="2" t="s">
        <v>402</v>
      </c>
      <c r="T25" s="2" t="s">
        <v>459</v>
      </c>
      <c r="U25" s="2"/>
    </row>
    <row r="26" customFormat="false" ht="15" hidden="false" customHeight="true" outlineLevel="0" collapsed="false">
      <c r="A26" s="2" t="s">
        <v>495</v>
      </c>
      <c r="B26" s="2" t="s">
        <v>398</v>
      </c>
      <c r="C26" s="2" t="s">
        <v>496</v>
      </c>
      <c r="D26" s="5" t="n">
        <v>12288</v>
      </c>
      <c r="E26" s="5" t="n">
        <v>5112</v>
      </c>
      <c r="F26" s="5" t="n">
        <v>2.9</v>
      </c>
      <c r="G26" s="5" t="n">
        <v>1</v>
      </c>
      <c r="H26" s="2" t="s">
        <v>490</v>
      </c>
      <c r="I26" s="2" t="n">
        <f aca="false">ROUND(D26*F26*G26/1000,2)</f>
        <v>35.64</v>
      </c>
      <c r="J26" s="2" t="n">
        <f aca="false">ROUND(E26*F26*G26/1000,2)</f>
        <v>14.82</v>
      </c>
      <c r="K26" s="5"/>
      <c r="L26" s="5"/>
      <c r="M26" s="7" t="str">
        <f aca="false">IF(K26="","",ROUND(K26-I26,2))</f>
        <v/>
      </c>
      <c r="N26" s="2" t="n">
        <f aca="false">IF(K26="",I26,K26)</f>
        <v>35.64</v>
      </c>
      <c r="O26" s="2" t="n">
        <f aca="false">IF(L26="",J26,L26)</f>
        <v>14.82</v>
      </c>
      <c r="P26" s="2" t="n">
        <f aca="false">ROUND(SQRT(N26^2+O26^2),2)</f>
        <v>38.6</v>
      </c>
      <c r="Q26" s="2" t="n">
        <f aca="false">ROUND(N26/O26,3)</f>
        <v>2.405</v>
      </c>
      <c r="R26" s="2" t="s">
        <v>458</v>
      </c>
      <c r="S26" s="2" t="s">
        <v>402</v>
      </c>
      <c r="T26" s="2" t="s">
        <v>459</v>
      </c>
      <c r="U26" s="2"/>
    </row>
    <row r="27" customFormat="false" ht="15" hidden="false" customHeight="true" outlineLevel="0" collapsed="false">
      <c r="A27" s="2" t="s">
        <v>497</v>
      </c>
      <c r="B27" s="2" t="s">
        <v>398</v>
      </c>
      <c r="C27" s="2" t="s">
        <v>498</v>
      </c>
      <c r="D27" s="5" t="n">
        <v>9648</v>
      </c>
      <c r="E27" s="5" t="n">
        <v>8040</v>
      </c>
      <c r="F27" s="5" t="n">
        <v>2.9</v>
      </c>
      <c r="G27" s="5" t="n">
        <v>1</v>
      </c>
      <c r="H27" s="2" t="s">
        <v>457</v>
      </c>
      <c r="I27" s="2" t="n">
        <f aca="false">ROUND(D27*F27*G27/1000,2)</f>
        <v>27.98</v>
      </c>
      <c r="J27" s="2" t="n">
        <f aca="false">ROUND(E27*F27*G27/1000,2)</f>
        <v>23.32</v>
      </c>
      <c r="K27" s="5"/>
      <c r="L27" s="5"/>
      <c r="M27" s="7" t="str">
        <f aca="false">IF(K27="","",ROUND(K27-I27,2))</f>
        <v/>
      </c>
      <c r="N27" s="2" t="n">
        <f aca="false">IF(K27="",I27,K27)</f>
        <v>27.98</v>
      </c>
      <c r="O27" s="2" t="n">
        <f aca="false">IF(L27="",J27,L27)</f>
        <v>23.32</v>
      </c>
      <c r="P27" s="2" t="n">
        <f aca="false">ROUND(SQRT(N27^2+O27^2),2)</f>
        <v>36.42</v>
      </c>
      <c r="Q27" s="2" t="n">
        <f aca="false">ROUND(N27/O27,3)</f>
        <v>1.2</v>
      </c>
      <c r="R27" s="2" t="s">
        <v>458</v>
      </c>
      <c r="S27" s="2" t="s">
        <v>402</v>
      </c>
      <c r="T27" s="2" t="s">
        <v>459</v>
      </c>
      <c r="U27" s="2"/>
    </row>
    <row r="28" customFormat="false" ht="27.75" hidden="false" customHeight="true" outlineLevel="0" collapsed="false">
      <c r="A28" s="2" t="s">
        <v>499</v>
      </c>
      <c r="B28" s="2" t="s">
        <v>398</v>
      </c>
      <c r="C28" s="2" t="s">
        <v>500</v>
      </c>
      <c r="D28" s="5" t="n">
        <v>11680</v>
      </c>
      <c r="E28" s="5" t="n">
        <v>5360</v>
      </c>
      <c r="F28" s="5" t="n">
        <v>2.9</v>
      </c>
      <c r="G28" s="5" t="n">
        <v>1.5</v>
      </c>
      <c r="H28" s="2" t="s">
        <v>501</v>
      </c>
      <c r="I28" s="2" t="n">
        <f aca="false">ROUND(D28*F28*G28/1000,2)</f>
        <v>50.81</v>
      </c>
      <c r="J28" s="2" t="n">
        <f aca="false">ROUND(E28*F28*G28/1000,2)</f>
        <v>23.32</v>
      </c>
      <c r="K28" s="5"/>
      <c r="L28" s="5"/>
      <c r="M28" s="7" t="str">
        <f aca="false">IF(K28="","",ROUND(K28-I28,2))</f>
        <v/>
      </c>
      <c r="N28" s="2" t="n">
        <f aca="false">IF(K28="",I28,K28)</f>
        <v>50.81</v>
      </c>
      <c r="O28" s="2" t="n">
        <f aca="false">IF(L28="",J28,L28)</f>
        <v>23.32</v>
      </c>
      <c r="P28" s="2" t="n">
        <f aca="false">ROUND(SQRT(N28^2+O28^2),2)</f>
        <v>55.91</v>
      </c>
      <c r="Q28" s="2" t="n">
        <f aca="false">ROUND(N28/O28,3)</f>
        <v>2.179</v>
      </c>
      <c r="R28" s="2" t="s">
        <v>502</v>
      </c>
      <c r="S28" s="2" t="s">
        <v>402</v>
      </c>
      <c r="T28" s="2" t="s">
        <v>503</v>
      </c>
      <c r="U28" s="2" t="s">
        <v>504</v>
      </c>
    </row>
    <row r="29" customFormat="false" ht="27.75" hidden="false" customHeight="true" outlineLevel="0" collapsed="false">
      <c r="A29" s="2" t="s">
        <v>505</v>
      </c>
      <c r="B29" s="2" t="s">
        <v>398</v>
      </c>
      <c r="C29" s="2" t="s">
        <v>506</v>
      </c>
      <c r="D29" s="5" t="n">
        <v>10752</v>
      </c>
      <c r="E29" s="5" t="n">
        <v>5360</v>
      </c>
      <c r="F29" s="5" t="n">
        <v>2.9</v>
      </c>
      <c r="G29" s="5" t="n">
        <v>1.5</v>
      </c>
      <c r="H29" s="2" t="s">
        <v>501</v>
      </c>
      <c r="I29" s="2" t="n">
        <f aca="false">ROUND(D29*F29*G29/1000,2)</f>
        <v>46.77</v>
      </c>
      <c r="J29" s="2" t="n">
        <f aca="false">ROUND(E29*F29*G29/1000,2)</f>
        <v>23.32</v>
      </c>
      <c r="K29" s="5"/>
      <c r="L29" s="5"/>
      <c r="M29" s="7" t="str">
        <f aca="false">IF(K29="","",ROUND(K29-I29,2))</f>
        <v/>
      </c>
      <c r="N29" s="2" t="n">
        <f aca="false">IF(K29="",I29,K29)</f>
        <v>46.77</v>
      </c>
      <c r="O29" s="2" t="n">
        <f aca="false">IF(L29="",J29,L29)</f>
        <v>23.32</v>
      </c>
      <c r="P29" s="2" t="n">
        <f aca="false">ROUND(SQRT(N29^2+O29^2),2)</f>
        <v>52.26</v>
      </c>
      <c r="Q29" s="2" t="n">
        <f aca="false">ROUND(N29/O29,3)</f>
        <v>2.006</v>
      </c>
      <c r="R29" s="2" t="s">
        <v>502</v>
      </c>
      <c r="S29" s="2" t="s">
        <v>402</v>
      </c>
      <c r="T29" s="2" t="s">
        <v>503</v>
      </c>
      <c r="U29" s="2" t="s">
        <v>504</v>
      </c>
    </row>
    <row r="30" customFormat="false" ht="27.75" hidden="false" customHeight="true" outlineLevel="0" collapsed="false">
      <c r="A30" s="2" t="s">
        <v>507</v>
      </c>
      <c r="B30" s="2" t="s">
        <v>398</v>
      </c>
      <c r="C30" s="2" t="s">
        <v>508</v>
      </c>
      <c r="D30" s="5" t="n">
        <v>8192</v>
      </c>
      <c r="E30" s="5" t="n">
        <v>5360</v>
      </c>
      <c r="F30" s="5" t="n">
        <v>2.9</v>
      </c>
      <c r="G30" s="5" t="n">
        <v>1.5</v>
      </c>
      <c r="H30" s="2" t="s">
        <v>501</v>
      </c>
      <c r="I30" s="2" t="n">
        <f aca="false">ROUND(D30*F30*G30/1000,2)</f>
        <v>35.64</v>
      </c>
      <c r="J30" s="2" t="n">
        <f aca="false">ROUND(E30*F30*G30/1000,2)</f>
        <v>23.32</v>
      </c>
      <c r="K30" s="5"/>
      <c r="L30" s="5"/>
      <c r="M30" s="7" t="str">
        <f aca="false">IF(K30="","",ROUND(K30-I30,2))</f>
        <v/>
      </c>
      <c r="N30" s="2" t="n">
        <f aca="false">IF(K30="",I30,K30)</f>
        <v>35.64</v>
      </c>
      <c r="O30" s="2" t="n">
        <f aca="false">IF(L30="",J30,L30)</f>
        <v>23.32</v>
      </c>
      <c r="P30" s="2" t="n">
        <f aca="false">ROUND(SQRT(N30^2+O30^2),2)</f>
        <v>42.59</v>
      </c>
      <c r="Q30" s="2" t="n">
        <f aca="false">ROUND(N30/O30,3)</f>
        <v>1.528</v>
      </c>
      <c r="R30" s="2" t="s">
        <v>502</v>
      </c>
      <c r="S30" s="2" t="s">
        <v>402</v>
      </c>
      <c r="T30" s="2" t="s">
        <v>503</v>
      </c>
      <c r="U30" s="2" t="s">
        <v>504</v>
      </c>
    </row>
    <row r="31" customFormat="false" ht="27.75" hidden="false" customHeight="true" outlineLevel="0" collapsed="false">
      <c r="A31" s="2" t="s">
        <v>509</v>
      </c>
      <c r="B31" s="2" t="s">
        <v>398</v>
      </c>
      <c r="C31" s="2" t="s">
        <v>510</v>
      </c>
      <c r="D31" s="5" t="n">
        <v>8192</v>
      </c>
      <c r="E31" s="5" t="n">
        <v>4608</v>
      </c>
      <c r="F31" s="5" t="n">
        <v>2.9</v>
      </c>
      <c r="G31" s="5" t="n">
        <v>1.5</v>
      </c>
      <c r="H31" s="2" t="s">
        <v>501</v>
      </c>
      <c r="I31" s="2" t="n">
        <f aca="false">ROUND(D31*F31*G31/1000,2)</f>
        <v>35.64</v>
      </c>
      <c r="J31" s="2" t="n">
        <f aca="false">ROUND(E31*F31*G31/1000,2)</f>
        <v>20.04</v>
      </c>
      <c r="K31" s="5"/>
      <c r="L31" s="5"/>
      <c r="M31" s="7" t="str">
        <f aca="false">IF(K31="","",ROUND(K31-I31,2))</f>
        <v/>
      </c>
      <c r="N31" s="2" t="n">
        <f aca="false">IF(K31="",I31,K31)</f>
        <v>35.64</v>
      </c>
      <c r="O31" s="2" t="n">
        <f aca="false">IF(L31="",J31,L31)</f>
        <v>20.04</v>
      </c>
      <c r="P31" s="2" t="n">
        <f aca="false">ROUND(SQRT(N31^2+O31^2),2)</f>
        <v>40.89</v>
      </c>
      <c r="Q31" s="2" t="n">
        <f aca="false">ROUND(N31/O31,3)</f>
        <v>1.778</v>
      </c>
      <c r="R31" s="2" t="s">
        <v>502</v>
      </c>
      <c r="S31" s="2" t="s">
        <v>402</v>
      </c>
      <c r="T31" s="2" t="s">
        <v>503</v>
      </c>
      <c r="U31" s="2" t="s">
        <v>504</v>
      </c>
    </row>
    <row r="32" customFormat="false" ht="27.75" hidden="false" customHeight="true" outlineLevel="0" collapsed="false">
      <c r="A32" s="2" t="s">
        <v>511</v>
      </c>
      <c r="B32" s="2" t="s">
        <v>398</v>
      </c>
      <c r="C32" s="2" t="s">
        <v>512</v>
      </c>
      <c r="D32" s="5" t="n">
        <v>8192</v>
      </c>
      <c r="E32" s="5" t="n">
        <v>4320</v>
      </c>
      <c r="F32" s="5" t="n">
        <v>2.9</v>
      </c>
      <c r="G32" s="5" t="n">
        <v>1.5</v>
      </c>
      <c r="H32" s="2" t="s">
        <v>501</v>
      </c>
      <c r="I32" s="2" t="n">
        <f aca="false">ROUND(D32*F32*G32/1000,2)</f>
        <v>35.64</v>
      </c>
      <c r="J32" s="2" t="n">
        <f aca="false">ROUND(E32*F32*G32/1000,2)</f>
        <v>18.79</v>
      </c>
      <c r="K32" s="5"/>
      <c r="L32" s="5"/>
      <c r="M32" s="7" t="str">
        <f aca="false">IF(K32="","",ROUND(K32-I32,2))</f>
        <v/>
      </c>
      <c r="N32" s="2" t="n">
        <f aca="false">IF(K32="",I32,K32)</f>
        <v>35.64</v>
      </c>
      <c r="O32" s="2" t="n">
        <f aca="false">IF(L32="",J32,L32)</f>
        <v>18.79</v>
      </c>
      <c r="P32" s="2" t="n">
        <f aca="false">ROUND(SQRT(N32^2+O32^2),2)</f>
        <v>40.29</v>
      </c>
      <c r="Q32" s="2" t="n">
        <f aca="false">ROUND(N32/O32,3)</f>
        <v>1.897</v>
      </c>
      <c r="R32" s="2" t="s">
        <v>502</v>
      </c>
      <c r="S32" s="2" t="s">
        <v>402</v>
      </c>
      <c r="T32" s="2" t="s">
        <v>503</v>
      </c>
      <c r="U32" s="2" t="s">
        <v>504</v>
      </c>
    </row>
    <row r="33" customFormat="false" ht="27.75" hidden="false" customHeight="true" outlineLevel="0" collapsed="false">
      <c r="A33" s="2" t="s">
        <v>513</v>
      </c>
      <c r="B33" s="2" t="s">
        <v>398</v>
      </c>
      <c r="C33" s="2" t="s">
        <v>514</v>
      </c>
      <c r="D33" s="5" t="n">
        <v>8192</v>
      </c>
      <c r="E33" s="5" t="n">
        <v>3408</v>
      </c>
      <c r="F33" s="5" t="n">
        <v>2.9</v>
      </c>
      <c r="G33" s="5" t="n">
        <v>1.5</v>
      </c>
      <c r="H33" s="2" t="s">
        <v>501</v>
      </c>
      <c r="I33" s="2" t="n">
        <f aca="false">ROUND(D33*F33*G33/1000,2)</f>
        <v>35.64</v>
      </c>
      <c r="J33" s="2" t="n">
        <f aca="false">ROUND(E33*F33*G33/1000,2)</f>
        <v>14.82</v>
      </c>
      <c r="K33" s="5"/>
      <c r="L33" s="5"/>
      <c r="M33" s="7" t="str">
        <f aca="false">IF(K33="","",ROUND(K33-I33,2))</f>
        <v/>
      </c>
      <c r="N33" s="2" t="n">
        <f aca="false">IF(K33="",I33,K33)</f>
        <v>35.64</v>
      </c>
      <c r="O33" s="2" t="n">
        <f aca="false">IF(L33="",J33,L33)</f>
        <v>14.82</v>
      </c>
      <c r="P33" s="2" t="n">
        <f aca="false">ROUND(SQRT(N33^2+O33^2),2)</f>
        <v>38.6</v>
      </c>
      <c r="Q33" s="2" t="n">
        <f aca="false">ROUND(N33/O33,3)</f>
        <v>2.405</v>
      </c>
      <c r="R33" s="2" t="s">
        <v>502</v>
      </c>
      <c r="S33" s="2" t="s">
        <v>402</v>
      </c>
      <c r="T33" s="2" t="s">
        <v>503</v>
      </c>
      <c r="U33" s="2" t="s">
        <v>504</v>
      </c>
    </row>
    <row r="34" customFormat="false" ht="27.75" hidden="false" customHeight="true" outlineLevel="0" collapsed="false">
      <c r="A34" s="2" t="s">
        <v>515</v>
      </c>
      <c r="B34" s="2" t="s">
        <v>398</v>
      </c>
      <c r="C34" s="2" t="s">
        <v>516</v>
      </c>
      <c r="D34" s="5" t="n">
        <v>5840</v>
      </c>
      <c r="E34" s="5" t="n">
        <v>2680</v>
      </c>
      <c r="F34" s="5" t="n">
        <v>2.9</v>
      </c>
      <c r="G34" s="5" t="n">
        <v>3</v>
      </c>
      <c r="H34" s="2" t="s">
        <v>501</v>
      </c>
      <c r="I34" s="2" t="n">
        <f aca="false">ROUND(D34*F34*G34/1000,2)</f>
        <v>50.81</v>
      </c>
      <c r="J34" s="2" t="n">
        <f aca="false">ROUND(E34*F34*G34/1000,2)</f>
        <v>23.32</v>
      </c>
      <c r="K34" s="5"/>
      <c r="L34" s="5"/>
      <c r="M34" s="7" t="str">
        <f aca="false">IF(K34="","",ROUND(K34-I34,2))</f>
        <v/>
      </c>
      <c r="N34" s="2" t="n">
        <f aca="false">IF(K34="",I34,K34)</f>
        <v>50.81</v>
      </c>
      <c r="O34" s="2" t="n">
        <f aca="false">IF(L34="",J34,L34)</f>
        <v>23.32</v>
      </c>
      <c r="P34" s="2" t="n">
        <f aca="false">ROUND(SQRT(N34^2+O34^2),2)</f>
        <v>55.91</v>
      </c>
      <c r="Q34" s="2" t="n">
        <f aca="false">ROUND(N34/O34,3)</f>
        <v>2.179</v>
      </c>
      <c r="R34" s="2" t="s">
        <v>502</v>
      </c>
      <c r="S34" s="2" t="s">
        <v>402</v>
      </c>
      <c r="T34" s="2" t="s">
        <v>503</v>
      </c>
      <c r="U34" s="2" t="s">
        <v>517</v>
      </c>
    </row>
    <row r="35" customFormat="false" ht="27.75" hidden="false" customHeight="true" outlineLevel="0" collapsed="false">
      <c r="A35" s="2" t="s">
        <v>518</v>
      </c>
      <c r="B35" s="2" t="s">
        <v>398</v>
      </c>
      <c r="C35" s="2" t="s">
        <v>519</v>
      </c>
      <c r="D35" s="5" t="n">
        <v>5376</v>
      </c>
      <c r="E35" s="5" t="n">
        <v>2680</v>
      </c>
      <c r="F35" s="5" t="n">
        <v>2.9</v>
      </c>
      <c r="G35" s="5" t="n">
        <v>3</v>
      </c>
      <c r="H35" s="2" t="s">
        <v>501</v>
      </c>
      <c r="I35" s="2" t="n">
        <f aca="false">ROUND(D35*F35*G35/1000,2)</f>
        <v>46.77</v>
      </c>
      <c r="J35" s="2" t="n">
        <f aca="false">ROUND(E35*F35*G35/1000,2)</f>
        <v>23.32</v>
      </c>
      <c r="K35" s="5"/>
      <c r="L35" s="5"/>
      <c r="M35" s="7" t="str">
        <f aca="false">IF(K35="","",ROUND(K35-I35,2))</f>
        <v/>
      </c>
      <c r="N35" s="2" t="n">
        <f aca="false">IF(K35="",I35,K35)</f>
        <v>46.77</v>
      </c>
      <c r="O35" s="2" t="n">
        <f aca="false">IF(L35="",J35,L35)</f>
        <v>23.32</v>
      </c>
      <c r="P35" s="2" t="n">
        <f aca="false">ROUND(SQRT(N35^2+O35^2),2)</f>
        <v>52.26</v>
      </c>
      <c r="Q35" s="2" t="n">
        <f aca="false">ROUND(N35/O35,3)</f>
        <v>2.006</v>
      </c>
      <c r="R35" s="2" t="s">
        <v>502</v>
      </c>
      <c r="S35" s="2" t="s">
        <v>402</v>
      </c>
      <c r="T35" s="2" t="s">
        <v>503</v>
      </c>
      <c r="U35" s="2" t="s">
        <v>517</v>
      </c>
    </row>
    <row r="36" customFormat="false" ht="27.75" hidden="false" customHeight="true" outlineLevel="0" collapsed="false">
      <c r="A36" s="2" t="s">
        <v>520</v>
      </c>
      <c r="B36" s="2" t="s">
        <v>398</v>
      </c>
      <c r="C36" s="2" t="s">
        <v>521</v>
      </c>
      <c r="D36" s="5" t="n">
        <v>4096</v>
      </c>
      <c r="E36" s="5" t="n">
        <v>2680</v>
      </c>
      <c r="F36" s="5" t="n">
        <v>2.9</v>
      </c>
      <c r="G36" s="5" t="n">
        <v>3</v>
      </c>
      <c r="H36" s="2" t="s">
        <v>501</v>
      </c>
      <c r="I36" s="2" t="n">
        <f aca="false">ROUND(D36*F36*G36/1000,2)</f>
        <v>35.64</v>
      </c>
      <c r="J36" s="2" t="n">
        <f aca="false">ROUND(E36*F36*G36/1000,2)</f>
        <v>23.32</v>
      </c>
      <c r="K36" s="5"/>
      <c r="L36" s="5"/>
      <c r="M36" s="7" t="str">
        <f aca="false">IF(K36="","",ROUND(K36-I36,2))</f>
        <v/>
      </c>
      <c r="N36" s="2" t="n">
        <f aca="false">IF(K36="",I36,K36)</f>
        <v>35.64</v>
      </c>
      <c r="O36" s="2" t="n">
        <f aca="false">IF(L36="",J36,L36)</f>
        <v>23.32</v>
      </c>
      <c r="P36" s="2" t="n">
        <f aca="false">ROUND(SQRT(N36^2+O36^2),2)</f>
        <v>42.59</v>
      </c>
      <c r="Q36" s="2" t="n">
        <f aca="false">ROUND(N36/O36,3)</f>
        <v>1.528</v>
      </c>
      <c r="R36" s="2" t="s">
        <v>502</v>
      </c>
      <c r="S36" s="2" t="s">
        <v>402</v>
      </c>
      <c r="T36" s="2" t="s">
        <v>503</v>
      </c>
      <c r="U36" s="2" t="s">
        <v>517</v>
      </c>
    </row>
    <row r="37" customFormat="false" ht="27.75" hidden="false" customHeight="true" outlineLevel="0" collapsed="false">
      <c r="A37" s="2" t="s">
        <v>522</v>
      </c>
      <c r="B37" s="2" t="s">
        <v>398</v>
      </c>
      <c r="C37" s="2" t="s">
        <v>440</v>
      </c>
      <c r="D37" s="5" t="n">
        <v>4096</v>
      </c>
      <c r="E37" s="5" t="n">
        <v>2304</v>
      </c>
      <c r="F37" s="5" t="n">
        <v>2.9</v>
      </c>
      <c r="G37" s="5" t="n">
        <v>3</v>
      </c>
      <c r="H37" s="2" t="s">
        <v>501</v>
      </c>
      <c r="I37" s="2" t="n">
        <f aca="false">ROUND(D37*F37*G37/1000,2)</f>
        <v>35.64</v>
      </c>
      <c r="J37" s="2" t="n">
        <f aca="false">ROUND(E37*F37*G37/1000,2)</f>
        <v>20.04</v>
      </c>
      <c r="K37" s="5"/>
      <c r="L37" s="5"/>
      <c r="M37" s="7" t="str">
        <f aca="false">IF(K37="","",ROUND(K37-I37,2))</f>
        <v/>
      </c>
      <c r="N37" s="2" t="n">
        <f aca="false">IF(K37="",I37,K37)</f>
        <v>35.64</v>
      </c>
      <c r="O37" s="2" t="n">
        <f aca="false">IF(L37="",J37,L37)</f>
        <v>20.04</v>
      </c>
      <c r="P37" s="2" t="n">
        <f aca="false">ROUND(SQRT(N37^2+O37^2),2)</f>
        <v>40.89</v>
      </c>
      <c r="Q37" s="2" t="n">
        <f aca="false">ROUND(N37/O37,3)</f>
        <v>1.778</v>
      </c>
      <c r="R37" s="2" t="s">
        <v>502</v>
      </c>
      <c r="S37" s="2" t="s">
        <v>402</v>
      </c>
      <c r="T37" s="2" t="s">
        <v>503</v>
      </c>
      <c r="U37" s="2" t="s">
        <v>517</v>
      </c>
    </row>
    <row r="38" customFormat="false" ht="27.75" hidden="false" customHeight="true" outlineLevel="0" collapsed="false">
      <c r="A38" s="2" t="s">
        <v>523</v>
      </c>
      <c r="B38" s="2" t="s">
        <v>398</v>
      </c>
      <c r="C38" s="2" t="s">
        <v>524</v>
      </c>
      <c r="D38" s="5" t="n">
        <v>4096</v>
      </c>
      <c r="E38" s="5" t="n">
        <v>2160</v>
      </c>
      <c r="F38" s="5" t="n">
        <v>2.9</v>
      </c>
      <c r="G38" s="5" t="n">
        <v>3</v>
      </c>
      <c r="H38" s="2" t="s">
        <v>501</v>
      </c>
      <c r="I38" s="2" t="n">
        <f aca="false">ROUND(D38*F38*G38/1000,2)</f>
        <v>35.64</v>
      </c>
      <c r="J38" s="2" t="n">
        <f aca="false">ROUND(E38*F38*G38/1000,2)</f>
        <v>18.79</v>
      </c>
      <c r="K38" s="5"/>
      <c r="L38" s="5"/>
      <c r="M38" s="7" t="str">
        <f aca="false">IF(K38="","",ROUND(K38-I38,2))</f>
        <v/>
      </c>
      <c r="N38" s="2" t="n">
        <f aca="false">IF(K38="",I38,K38)</f>
        <v>35.64</v>
      </c>
      <c r="O38" s="2" t="n">
        <f aca="false">IF(L38="",J38,L38)</f>
        <v>18.79</v>
      </c>
      <c r="P38" s="2" t="n">
        <f aca="false">ROUND(SQRT(N38^2+O38^2),2)</f>
        <v>40.29</v>
      </c>
      <c r="Q38" s="2" t="n">
        <f aca="false">ROUND(N38/O38,3)</f>
        <v>1.897</v>
      </c>
      <c r="R38" s="2" t="s">
        <v>502</v>
      </c>
      <c r="S38" s="2" t="s">
        <v>402</v>
      </c>
      <c r="T38" s="2" t="s">
        <v>503</v>
      </c>
      <c r="U38" s="2" t="s">
        <v>517</v>
      </c>
    </row>
    <row r="39" customFormat="false" ht="27.75" hidden="false" customHeight="true" outlineLevel="0" collapsed="false">
      <c r="A39" s="2" t="s">
        <v>525</v>
      </c>
      <c r="B39" s="2" t="s">
        <v>398</v>
      </c>
      <c r="C39" s="2" t="s">
        <v>526</v>
      </c>
      <c r="D39" s="5" t="n">
        <v>4096</v>
      </c>
      <c r="E39" s="5" t="n">
        <v>1704</v>
      </c>
      <c r="F39" s="5" t="n">
        <v>2.9</v>
      </c>
      <c r="G39" s="5" t="n">
        <v>3</v>
      </c>
      <c r="H39" s="2" t="s">
        <v>501</v>
      </c>
      <c r="I39" s="2" t="n">
        <f aca="false">ROUND(D39*F39*G39/1000,2)</f>
        <v>35.64</v>
      </c>
      <c r="J39" s="2" t="n">
        <f aca="false">ROUND(E39*F39*G39/1000,2)</f>
        <v>14.82</v>
      </c>
      <c r="K39" s="5"/>
      <c r="L39" s="5"/>
      <c r="M39" s="7" t="str">
        <f aca="false">IF(K39="","",ROUND(K39-I39,2))</f>
        <v/>
      </c>
      <c r="N39" s="2" t="n">
        <f aca="false">IF(K39="",I39,K39)</f>
        <v>35.64</v>
      </c>
      <c r="O39" s="2" t="n">
        <f aca="false">IF(L39="",J39,L39)</f>
        <v>14.82</v>
      </c>
      <c r="P39" s="2" t="n">
        <f aca="false">ROUND(SQRT(N39^2+O39^2),2)</f>
        <v>38.6</v>
      </c>
      <c r="Q39" s="2" t="n">
        <f aca="false">ROUND(N39/O39,3)</f>
        <v>2.405</v>
      </c>
      <c r="R39" s="2" t="s">
        <v>502</v>
      </c>
      <c r="S39" s="2" t="s">
        <v>402</v>
      </c>
      <c r="T39" s="2" t="s">
        <v>503</v>
      </c>
      <c r="U39" s="2" t="s">
        <v>517</v>
      </c>
    </row>
    <row r="40" customFormat="false" ht="27.75" hidden="false" customHeight="true" outlineLevel="0" collapsed="false">
      <c r="A40" s="2" t="s">
        <v>527</v>
      </c>
      <c r="B40" s="2" t="s">
        <v>405</v>
      </c>
      <c r="C40" s="2" t="s">
        <v>528</v>
      </c>
      <c r="D40" s="5" t="n">
        <v>12288</v>
      </c>
      <c r="E40" s="5" t="n">
        <v>8040</v>
      </c>
      <c r="F40" s="5" t="n">
        <v>2.9</v>
      </c>
      <c r="G40" s="5" t="n">
        <v>1</v>
      </c>
      <c r="H40" s="2" t="s">
        <v>453</v>
      </c>
      <c r="I40" s="2" t="n">
        <f aca="false">ROUND(D40*F40*G40/1000,2)</f>
        <v>35.64</v>
      </c>
      <c r="J40" s="2" t="n">
        <f aca="false">ROUND(E40*F40*G40/1000,2)</f>
        <v>23.32</v>
      </c>
      <c r="K40" s="5" t="n">
        <v>35.64</v>
      </c>
      <c r="L40" s="5" t="n">
        <v>23.32</v>
      </c>
      <c r="M40" s="7" t="n">
        <f aca="false">IF(K40="","",ROUND(K40-I40,2))</f>
        <v>0</v>
      </c>
      <c r="N40" s="2" t="n">
        <f aca="false">IF(K40="",I40,K40)</f>
        <v>35.64</v>
      </c>
      <c r="O40" s="2" t="n">
        <f aca="false">IF(L40="",J40,L40)</f>
        <v>23.32</v>
      </c>
      <c r="P40" s="2" t="n">
        <f aca="false">ROUND(SQRT(N40^2+O40^2),2)</f>
        <v>42.59</v>
      </c>
      <c r="Q40" s="2" t="n">
        <f aca="false">ROUND(N40/O40,3)</f>
        <v>1.528</v>
      </c>
      <c r="R40" s="2" t="s">
        <v>454</v>
      </c>
      <c r="S40" s="2" t="s">
        <v>409</v>
      </c>
      <c r="T40" s="2" t="s">
        <v>436</v>
      </c>
      <c r="U40" s="2"/>
    </row>
    <row r="41" customFormat="false" ht="15" hidden="false" customHeight="true" outlineLevel="0" collapsed="false">
      <c r="A41" s="2" t="s">
        <v>529</v>
      </c>
      <c r="B41" s="2" t="s">
        <v>405</v>
      </c>
      <c r="C41" s="2" t="s">
        <v>492</v>
      </c>
      <c r="D41" s="5" t="n">
        <v>12288</v>
      </c>
      <c r="E41" s="5" t="n">
        <v>6912</v>
      </c>
      <c r="F41" s="5" t="n">
        <v>2.9</v>
      </c>
      <c r="G41" s="5" t="n">
        <v>1</v>
      </c>
      <c r="H41" s="2" t="s">
        <v>462</v>
      </c>
      <c r="I41" s="2" t="n">
        <f aca="false">ROUND(D41*F41*G41/1000,2)</f>
        <v>35.64</v>
      </c>
      <c r="J41" s="2" t="n">
        <f aca="false">ROUND(E41*F41*G41/1000,2)</f>
        <v>20.04</v>
      </c>
      <c r="K41" s="5"/>
      <c r="L41" s="5"/>
      <c r="M41" s="7" t="str">
        <f aca="false">IF(K41="","",ROUND(K41-I41,2))</f>
        <v/>
      </c>
      <c r="N41" s="2" t="n">
        <f aca="false">IF(K41="",I41,K41)</f>
        <v>35.64</v>
      </c>
      <c r="O41" s="2" t="n">
        <f aca="false">IF(L41="",J41,L41)</f>
        <v>20.04</v>
      </c>
      <c r="P41" s="2" t="n">
        <f aca="false">ROUND(SQRT(N41^2+O41^2),2)</f>
        <v>40.89</v>
      </c>
      <c r="Q41" s="2" t="n">
        <f aca="false">ROUND(N41/O41,3)</f>
        <v>1.778</v>
      </c>
      <c r="R41" s="2" t="s">
        <v>458</v>
      </c>
      <c r="S41" s="2" t="s">
        <v>409</v>
      </c>
      <c r="T41" s="2" t="s">
        <v>459</v>
      </c>
      <c r="U41" s="2" t="s">
        <v>530</v>
      </c>
    </row>
    <row r="42" customFormat="false" ht="15" hidden="false" customHeight="true" outlineLevel="0" collapsed="false">
      <c r="A42" s="2" t="s">
        <v>531</v>
      </c>
      <c r="B42" s="2" t="s">
        <v>405</v>
      </c>
      <c r="C42" s="2" t="s">
        <v>494</v>
      </c>
      <c r="D42" s="5" t="n">
        <v>12288</v>
      </c>
      <c r="E42" s="5" t="n">
        <v>6480</v>
      </c>
      <c r="F42" s="5" t="n">
        <v>2.9</v>
      </c>
      <c r="G42" s="5" t="n">
        <v>1</v>
      </c>
      <c r="H42" s="2" t="s">
        <v>462</v>
      </c>
      <c r="I42" s="2" t="n">
        <f aca="false">ROUND(D42*F42*G42/1000,2)</f>
        <v>35.64</v>
      </c>
      <c r="J42" s="2" t="n">
        <f aca="false">ROUND(E42*F42*G42/1000,2)</f>
        <v>18.79</v>
      </c>
      <c r="K42" s="5"/>
      <c r="L42" s="5"/>
      <c r="M42" s="7" t="str">
        <f aca="false">IF(K42="","",ROUND(K42-I42,2))</f>
        <v/>
      </c>
      <c r="N42" s="2" t="n">
        <f aca="false">IF(K42="",I42,K42)</f>
        <v>35.64</v>
      </c>
      <c r="O42" s="2" t="n">
        <f aca="false">IF(L42="",J42,L42)</f>
        <v>18.79</v>
      </c>
      <c r="P42" s="2" t="n">
        <f aca="false">ROUND(SQRT(N42^2+O42^2),2)</f>
        <v>40.29</v>
      </c>
      <c r="Q42" s="2" t="n">
        <f aca="false">ROUND(N42/O42,3)</f>
        <v>1.897</v>
      </c>
      <c r="R42" s="2" t="s">
        <v>458</v>
      </c>
      <c r="S42" s="2" t="s">
        <v>409</v>
      </c>
      <c r="T42" s="2" t="s">
        <v>459</v>
      </c>
      <c r="U42" s="2" t="s">
        <v>530</v>
      </c>
    </row>
    <row r="43" customFormat="false" ht="15" hidden="false" customHeight="true" outlineLevel="0" collapsed="false">
      <c r="A43" s="2" t="s">
        <v>532</v>
      </c>
      <c r="B43" s="2" t="s">
        <v>405</v>
      </c>
      <c r="C43" s="2" t="s">
        <v>496</v>
      </c>
      <c r="D43" s="5" t="n">
        <v>12288</v>
      </c>
      <c r="E43" s="5" t="n">
        <v>5112</v>
      </c>
      <c r="F43" s="5" t="n">
        <v>2.9</v>
      </c>
      <c r="G43" s="5" t="n">
        <v>1</v>
      </c>
      <c r="H43" s="2" t="s">
        <v>462</v>
      </c>
      <c r="I43" s="2" t="n">
        <f aca="false">ROUND(D43*F43*G43/1000,2)</f>
        <v>35.64</v>
      </c>
      <c r="J43" s="2" t="n">
        <f aca="false">ROUND(E43*F43*G43/1000,2)</f>
        <v>14.82</v>
      </c>
      <c r="K43" s="5"/>
      <c r="L43" s="5"/>
      <c r="M43" s="7" t="str">
        <f aca="false">IF(K43="","",ROUND(K43-I43,2))</f>
        <v/>
      </c>
      <c r="N43" s="2" t="n">
        <f aca="false">IF(K43="",I43,K43)</f>
        <v>35.64</v>
      </c>
      <c r="O43" s="2" t="n">
        <f aca="false">IF(L43="",J43,L43)</f>
        <v>14.82</v>
      </c>
      <c r="P43" s="2" t="n">
        <f aca="false">ROUND(SQRT(N43^2+O43^2),2)</f>
        <v>38.6</v>
      </c>
      <c r="Q43" s="2" t="n">
        <f aca="false">ROUND(N43/O43,3)</f>
        <v>2.405</v>
      </c>
      <c r="R43" s="2" t="s">
        <v>458</v>
      </c>
      <c r="S43" s="2" t="s">
        <v>409</v>
      </c>
      <c r="T43" s="2" t="s">
        <v>459</v>
      </c>
      <c r="U43" s="2" t="s">
        <v>530</v>
      </c>
    </row>
    <row r="44" customFormat="false" ht="15" hidden="false" customHeight="true" outlineLevel="0" collapsed="false">
      <c r="A44" s="2" t="s">
        <v>533</v>
      </c>
      <c r="B44" s="2" t="s">
        <v>405</v>
      </c>
      <c r="C44" s="2" t="s">
        <v>498</v>
      </c>
      <c r="D44" s="5" t="n">
        <v>9648</v>
      </c>
      <c r="E44" s="5" t="n">
        <v>8040</v>
      </c>
      <c r="F44" s="5" t="n">
        <v>2.9</v>
      </c>
      <c r="G44" s="5" t="n">
        <v>1</v>
      </c>
      <c r="H44" s="2" t="s">
        <v>534</v>
      </c>
      <c r="I44" s="2" t="n">
        <f aca="false">ROUND(D44*F44*G44/1000,2)</f>
        <v>27.98</v>
      </c>
      <c r="J44" s="2" t="n">
        <f aca="false">ROUND(E44*F44*G44/1000,2)</f>
        <v>23.32</v>
      </c>
      <c r="K44" s="5"/>
      <c r="L44" s="5"/>
      <c r="M44" s="7" t="str">
        <f aca="false">IF(K44="","",ROUND(K44-I44,2))</f>
        <v/>
      </c>
      <c r="N44" s="2" t="n">
        <f aca="false">IF(K44="",I44,K44)</f>
        <v>27.98</v>
      </c>
      <c r="O44" s="2" t="n">
        <f aca="false">IF(L44="",J44,L44)</f>
        <v>23.32</v>
      </c>
      <c r="P44" s="2" t="n">
        <f aca="false">ROUND(SQRT(N44^2+O44^2),2)</f>
        <v>36.42</v>
      </c>
      <c r="Q44" s="2" t="n">
        <f aca="false">ROUND(N44/O44,3)</f>
        <v>1.2</v>
      </c>
      <c r="R44" s="2" t="s">
        <v>458</v>
      </c>
      <c r="S44" s="2" t="s">
        <v>409</v>
      </c>
      <c r="T44" s="2" t="s">
        <v>459</v>
      </c>
      <c r="U44" s="2" t="s">
        <v>530</v>
      </c>
    </row>
    <row r="45" customFormat="false" ht="15" hidden="false" customHeight="true" outlineLevel="0" collapsed="false">
      <c r="A45" s="2" t="s">
        <v>535</v>
      </c>
      <c r="B45" s="2" t="s">
        <v>405</v>
      </c>
      <c r="C45" s="2" t="s">
        <v>536</v>
      </c>
      <c r="D45" s="5" t="n">
        <v>9408</v>
      </c>
      <c r="E45" s="5" t="n">
        <v>6264</v>
      </c>
      <c r="F45" s="5" t="n">
        <v>2.9</v>
      </c>
      <c r="G45" s="5" t="n">
        <v>1</v>
      </c>
      <c r="H45" s="2" t="s">
        <v>537</v>
      </c>
      <c r="I45" s="2" t="n">
        <f aca="false">ROUND(D45*F45*G45/1000,2)</f>
        <v>27.28</v>
      </c>
      <c r="J45" s="2" t="n">
        <f aca="false">ROUND(E45*F45*G45/1000,2)</f>
        <v>18.17</v>
      </c>
      <c r="K45" s="5"/>
      <c r="L45" s="5"/>
      <c r="M45" s="7" t="str">
        <f aca="false">IF(K45="","",ROUND(K45-I45,2))</f>
        <v/>
      </c>
      <c r="N45" s="2" t="n">
        <f aca="false">IF(K45="",I45,K45)</f>
        <v>27.28</v>
      </c>
      <c r="O45" s="2" t="n">
        <f aca="false">IF(L45="",J45,L45)</f>
        <v>18.17</v>
      </c>
      <c r="P45" s="2" t="n">
        <f aca="false">ROUND(SQRT(N45^2+O45^2),2)</f>
        <v>32.78</v>
      </c>
      <c r="Q45" s="2" t="n">
        <f aca="false">ROUND(N45/O45,3)</f>
        <v>1.501</v>
      </c>
      <c r="R45" s="2" t="s">
        <v>458</v>
      </c>
      <c r="S45" s="2" t="s">
        <v>409</v>
      </c>
      <c r="T45" s="2" t="s">
        <v>459</v>
      </c>
      <c r="U45" s="2" t="s">
        <v>530</v>
      </c>
    </row>
    <row r="46" customFormat="false" ht="15" hidden="false" customHeight="true" outlineLevel="0" collapsed="false">
      <c r="A46" s="2" t="s">
        <v>538</v>
      </c>
      <c r="B46" s="2" t="s">
        <v>405</v>
      </c>
      <c r="C46" s="2" t="s">
        <v>539</v>
      </c>
      <c r="D46" s="5" t="n">
        <v>8688</v>
      </c>
      <c r="E46" s="5" t="n">
        <v>4896</v>
      </c>
      <c r="F46" s="5" t="n">
        <v>2.9</v>
      </c>
      <c r="G46" s="5" t="n">
        <v>1</v>
      </c>
      <c r="H46" s="2" t="s">
        <v>537</v>
      </c>
      <c r="I46" s="2" t="n">
        <f aca="false">ROUND(D46*F46*G46/1000,2)</f>
        <v>25.2</v>
      </c>
      <c r="J46" s="2" t="n">
        <f aca="false">ROUND(E46*F46*G46/1000,2)</f>
        <v>14.2</v>
      </c>
      <c r="K46" s="5"/>
      <c r="L46" s="5"/>
      <c r="M46" s="7" t="str">
        <f aca="false">IF(K46="","",ROUND(K46-I46,2))</f>
        <v/>
      </c>
      <c r="N46" s="2" t="n">
        <f aca="false">IF(K46="",I46,K46)</f>
        <v>25.2</v>
      </c>
      <c r="O46" s="2" t="n">
        <f aca="false">IF(L46="",J46,L46)</f>
        <v>14.2</v>
      </c>
      <c r="P46" s="2" t="n">
        <f aca="false">ROUND(SQRT(N46^2+O46^2),2)</f>
        <v>28.93</v>
      </c>
      <c r="Q46" s="2" t="n">
        <f aca="false">ROUND(N46/O46,3)</f>
        <v>1.775</v>
      </c>
      <c r="R46" s="2" t="s">
        <v>458</v>
      </c>
      <c r="S46" s="2" t="s">
        <v>409</v>
      </c>
      <c r="T46" s="2" t="s">
        <v>459</v>
      </c>
      <c r="U46" s="2" t="s">
        <v>530</v>
      </c>
    </row>
    <row r="47" customFormat="false" ht="15" hidden="false" customHeight="true" outlineLevel="0" collapsed="false">
      <c r="A47" s="2" t="s">
        <v>540</v>
      </c>
      <c r="B47" s="2" t="s">
        <v>405</v>
      </c>
      <c r="C47" s="2" t="s">
        <v>541</v>
      </c>
      <c r="D47" s="5" t="n">
        <v>9312</v>
      </c>
      <c r="E47" s="5" t="n">
        <v>4896</v>
      </c>
      <c r="F47" s="5" t="n">
        <v>2.9</v>
      </c>
      <c r="G47" s="5" t="n">
        <v>1</v>
      </c>
      <c r="H47" s="2" t="s">
        <v>537</v>
      </c>
      <c r="I47" s="2" t="n">
        <f aca="false">ROUND(D47*F47*G47/1000,2)</f>
        <v>27</v>
      </c>
      <c r="J47" s="2" t="n">
        <f aca="false">ROUND(E47*F47*G47/1000,2)</f>
        <v>14.2</v>
      </c>
      <c r="K47" s="5"/>
      <c r="L47" s="5"/>
      <c r="M47" s="7" t="str">
        <f aca="false">IF(K47="","",ROUND(K47-I47,2))</f>
        <v/>
      </c>
      <c r="N47" s="2" t="n">
        <f aca="false">IF(K47="",I47,K47)</f>
        <v>27</v>
      </c>
      <c r="O47" s="2" t="n">
        <f aca="false">IF(L47="",J47,L47)</f>
        <v>14.2</v>
      </c>
      <c r="P47" s="2" t="n">
        <f aca="false">ROUND(SQRT(N47^2+O47^2),2)</f>
        <v>30.51</v>
      </c>
      <c r="Q47" s="2" t="n">
        <f aca="false">ROUND(N47/O47,3)</f>
        <v>1.901</v>
      </c>
      <c r="R47" s="2" t="s">
        <v>458</v>
      </c>
      <c r="S47" s="2" t="s">
        <v>409</v>
      </c>
      <c r="T47" s="2" t="s">
        <v>459</v>
      </c>
      <c r="U47" s="2" t="s">
        <v>530</v>
      </c>
    </row>
    <row r="48" customFormat="false" ht="15" hidden="false" customHeight="true" outlineLevel="0" collapsed="false">
      <c r="A48" s="2" t="s">
        <v>542</v>
      </c>
      <c r="B48" s="2" t="s">
        <v>405</v>
      </c>
      <c r="C48" s="2" t="s">
        <v>543</v>
      </c>
      <c r="D48" s="5" t="n">
        <v>9312</v>
      </c>
      <c r="E48" s="5" t="n">
        <v>3864</v>
      </c>
      <c r="F48" s="5" t="n">
        <v>2.9</v>
      </c>
      <c r="G48" s="5" t="n">
        <v>1</v>
      </c>
      <c r="H48" s="2" t="s">
        <v>537</v>
      </c>
      <c r="I48" s="2" t="n">
        <f aca="false">ROUND(D48*F48*G48/1000,2)</f>
        <v>27</v>
      </c>
      <c r="J48" s="2" t="n">
        <f aca="false">ROUND(E48*F48*G48/1000,2)</f>
        <v>11.21</v>
      </c>
      <c r="K48" s="5"/>
      <c r="L48" s="5"/>
      <c r="M48" s="7" t="str">
        <f aca="false">IF(K48="","",ROUND(K48-I48,2))</f>
        <v/>
      </c>
      <c r="N48" s="2" t="n">
        <f aca="false">IF(K48="",I48,K48)</f>
        <v>27</v>
      </c>
      <c r="O48" s="2" t="n">
        <f aca="false">IF(L48="",J48,L48)</f>
        <v>11.21</v>
      </c>
      <c r="P48" s="2" t="n">
        <f aca="false">ROUND(SQRT(N48^2+O48^2),2)</f>
        <v>29.23</v>
      </c>
      <c r="Q48" s="2" t="n">
        <f aca="false">ROUND(N48/O48,3)</f>
        <v>2.409</v>
      </c>
      <c r="R48" s="2" t="s">
        <v>458</v>
      </c>
      <c r="S48" s="2" t="s">
        <v>409</v>
      </c>
      <c r="T48" s="2" t="s">
        <v>459</v>
      </c>
      <c r="U48" s="2" t="s">
        <v>530</v>
      </c>
    </row>
    <row r="49" customFormat="false" ht="15" hidden="false" customHeight="true" outlineLevel="0" collapsed="false">
      <c r="A49" s="2" t="s">
        <v>544</v>
      </c>
      <c r="B49" s="2" t="s">
        <v>405</v>
      </c>
      <c r="C49" s="2" t="s">
        <v>545</v>
      </c>
      <c r="D49" s="5" t="n">
        <v>7680</v>
      </c>
      <c r="E49" s="5" t="n">
        <v>6408</v>
      </c>
      <c r="F49" s="5" t="n">
        <v>2.9</v>
      </c>
      <c r="G49" s="5" t="n">
        <v>1</v>
      </c>
      <c r="H49" s="2" t="s">
        <v>537</v>
      </c>
      <c r="I49" s="2" t="n">
        <f aca="false">ROUND(D49*F49*G49/1000,2)</f>
        <v>22.27</v>
      </c>
      <c r="J49" s="2" t="n">
        <f aca="false">ROUND(E49*F49*G49/1000,2)</f>
        <v>18.58</v>
      </c>
      <c r="K49" s="5"/>
      <c r="L49" s="5"/>
      <c r="M49" s="7" t="str">
        <f aca="false">IF(K49="","",ROUND(K49-I49,2))</f>
        <v/>
      </c>
      <c r="N49" s="2" t="n">
        <f aca="false">IF(K49="",I49,K49)</f>
        <v>22.27</v>
      </c>
      <c r="O49" s="2" t="n">
        <f aca="false">IF(L49="",J49,L49)</f>
        <v>18.58</v>
      </c>
      <c r="P49" s="2" t="n">
        <f aca="false">ROUND(SQRT(N49^2+O49^2),2)</f>
        <v>29</v>
      </c>
      <c r="Q49" s="2" t="n">
        <f aca="false">ROUND(N49/O49,3)</f>
        <v>1.199</v>
      </c>
      <c r="R49" s="2" t="s">
        <v>458</v>
      </c>
      <c r="S49" s="2" t="s">
        <v>409</v>
      </c>
      <c r="T49" s="2" t="s">
        <v>459</v>
      </c>
      <c r="U49" s="2" t="s">
        <v>530</v>
      </c>
    </row>
    <row r="50" customFormat="false" ht="27.75" hidden="false" customHeight="true" outlineLevel="0" collapsed="false">
      <c r="A50" s="2" t="s">
        <v>546</v>
      </c>
      <c r="B50" s="2" t="s">
        <v>405</v>
      </c>
      <c r="C50" s="2" t="s">
        <v>508</v>
      </c>
      <c r="D50" s="5" t="n">
        <v>8192</v>
      </c>
      <c r="E50" s="5" t="n">
        <v>5360</v>
      </c>
      <c r="F50" s="5" t="n">
        <v>2.9</v>
      </c>
      <c r="G50" s="5" t="n">
        <v>1.5</v>
      </c>
      <c r="H50" s="2" t="s">
        <v>547</v>
      </c>
      <c r="I50" s="2" t="n">
        <f aca="false">ROUND(D50*F50*G50/1000,2)</f>
        <v>35.64</v>
      </c>
      <c r="J50" s="2" t="n">
        <f aca="false">ROUND(E50*F50*G50/1000,2)</f>
        <v>23.32</v>
      </c>
      <c r="K50" s="5"/>
      <c r="L50" s="5"/>
      <c r="M50" s="7" t="str">
        <f aca="false">IF(K50="","",ROUND(K50-I50,2))</f>
        <v/>
      </c>
      <c r="N50" s="2" t="n">
        <f aca="false">IF(K50="",I50,K50)</f>
        <v>35.64</v>
      </c>
      <c r="O50" s="2" t="n">
        <f aca="false">IF(L50="",J50,L50)</f>
        <v>23.32</v>
      </c>
      <c r="P50" s="2" t="n">
        <f aca="false">ROUND(SQRT(N50^2+O50^2),2)</f>
        <v>42.59</v>
      </c>
      <c r="Q50" s="2" t="n">
        <f aca="false">ROUND(N50/O50,3)</f>
        <v>1.528</v>
      </c>
      <c r="R50" s="2" t="s">
        <v>502</v>
      </c>
      <c r="S50" s="2" t="s">
        <v>409</v>
      </c>
      <c r="T50" s="2" t="s">
        <v>459</v>
      </c>
      <c r="U50" s="2" t="s">
        <v>530</v>
      </c>
    </row>
    <row r="51" customFormat="false" ht="27.75" hidden="false" customHeight="true" outlineLevel="0" collapsed="false">
      <c r="A51" s="2" t="s">
        <v>548</v>
      </c>
      <c r="B51" s="2" t="s">
        <v>405</v>
      </c>
      <c r="C51" s="2" t="s">
        <v>510</v>
      </c>
      <c r="D51" s="5" t="n">
        <v>8192</v>
      </c>
      <c r="E51" s="5" t="n">
        <v>4608</v>
      </c>
      <c r="F51" s="5" t="n">
        <v>2.9</v>
      </c>
      <c r="G51" s="5" t="n">
        <v>1.5</v>
      </c>
      <c r="H51" s="2" t="s">
        <v>547</v>
      </c>
      <c r="I51" s="2" t="n">
        <f aca="false">ROUND(D51*F51*G51/1000,2)</f>
        <v>35.64</v>
      </c>
      <c r="J51" s="2" t="n">
        <f aca="false">ROUND(E51*F51*G51/1000,2)</f>
        <v>20.04</v>
      </c>
      <c r="K51" s="5"/>
      <c r="L51" s="5"/>
      <c r="M51" s="7" t="str">
        <f aca="false">IF(K51="","",ROUND(K51-I51,2))</f>
        <v/>
      </c>
      <c r="N51" s="2" t="n">
        <f aca="false">IF(K51="",I51,K51)</f>
        <v>35.64</v>
      </c>
      <c r="O51" s="2" t="n">
        <f aca="false">IF(L51="",J51,L51)</f>
        <v>20.04</v>
      </c>
      <c r="P51" s="2" t="n">
        <f aca="false">ROUND(SQRT(N51^2+O51^2),2)</f>
        <v>40.89</v>
      </c>
      <c r="Q51" s="2" t="n">
        <f aca="false">ROUND(N51/O51,3)</f>
        <v>1.778</v>
      </c>
      <c r="R51" s="2" t="s">
        <v>502</v>
      </c>
      <c r="S51" s="2" t="s">
        <v>409</v>
      </c>
      <c r="T51" s="2" t="s">
        <v>459</v>
      </c>
      <c r="U51" s="2" t="s">
        <v>530</v>
      </c>
    </row>
    <row r="52" customFormat="false" ht="27.75" hidden="false" customHeight="true" outlineLevel="0" collapsed="false">
      <c r="A52" s="2" t="s">
        <v>549</v>
      </c>
      <c r="B52" s="2" t="s">
        <v>405</v>
      </c>
      <c r="C52" s="2" t="s">
        <v>512</v>
      </c>
      <c r="D52" s="5" t="n">
        <v>8192</v>
      </c>
      <c r="E52" s="5" t="n">
        <v>4320</v>
      </c>
      <c r="F52" s="5" t="n">
        <v>2.9</v>
      </c>
      <c r="G52" s="5" t="n">
        <v>1.5</v>
      </c>
      <c r="H52" s="2" t="s">
        <v>547</v>
      </c>
      <c r="I52" s="2" t="n">
        <f aca="false">ROUND(D52*F52*G52/1000,2)</f>
        <v>35.64</v>
      </c>
      <c r="J52" s="2" t="n">
        <f aca="false">ROUND(E52*F52*G52/1000,2)</f>
        <v>18.79</v>
      </c>
      <c r="K52" s="5"/>
      <c r="L52" s="5"/>
      <c r="M52" s="7" t="str">
        <f aca="false">IF(K52="","",ROUND(K52-I52,2))</f>
        <v/>
      </c>
      <c r="N52" s="2" t="n">
        <f aca="false">IF(K52="",I52,K52)</f>
        <v>35.64</v>
      </c>
      <c r="O52" s="2" t="n">
        <f aca="false">IF(L52="",J52,L52)</f>
        <v>18.79</v>
      </c>
      <c r="P52" s="2" t="n">
        <f aca="false">ROUND(SQRT(N52^2+O52^2),2)</f>
        <v>40.29</v>
      </c>
      <c r="Q52" s="2" t="n">
        <f aca="false">ROUND(N52/O52,3)</f>
        <v>1.897</v>
      </c>
      <c r="R52" s="2" t="s">
        <v>502</v>
      </c>
      <c r="S52" s="2" t="s">
        <v>409</v>
      </c>
      <c r="T52" s="2" t="s">
        <v>459</v>
      </c>
      <c r="U52" s="2" t="s">
        <v>530</v>
      </c>
    </row>
    <row r="53" customFormat="false" ht="27.75" hidden="false" customHeight="true" outlineLevel="0" collapsed="false">
      <c r="A53" s="2" t="s">
        <v>550</v>
      </c>
      <c r="B53" s="2" t="s">
        <v>405</v>
      </c>
      <c r="C53" s="2" t="s">
        <v>514</v>
      </c>
      <c r="D53" s="5" t="n">
        <v>8192</v>
      </c>
      <c r="E53" s="5" t="n">
        <v>3408</v>
      </c>
      <c r="F53" s="5" t="n">
        <v>2.9</v>
      </c>
      <c r="G53" s="5" t="n">
        <v>1.5</v>
      </c>
      <c r="H53" s="2" t="s">
        <v>547</v>
      </c>
      <c r="I53" s="2" t="n">
        <f aca="false">ROUND(D53*F53*G53/1000,2)</f>
        <v>35.64</v>
      </c>
      <c r="J53" s="2" t="n">
        <f aca="false">ROUND(E53*F53*G53/1000,2)</f>
        <v>14.82</v>
      </c>
      <c r="K53" s="5"/>
      <c r="L53" s="5"/>
      <c r="M53" s="7" t="str">
        <f aca="false">IF(K53="","",ROUND(K53-I53,2))</f>
        <v/>
      </c>
      <c r="N53" s="2" t="n">
        <f aca="false">IF(K53="",I53,K53)</f>
        <v>35.64</v>
      </c>
      <c r="O53" s="2" t="n">
        <f aca="false">IF(L53="",J53,L53)</f>
        <v>14.82</v>
      </c>
      <c r="P53" s="2" t="n">
        <f aca="false">ROUND(SQRT(N53^2+O53^2),2)</f>
        <v>38.6</v>
      </c>
      <c r="Q53" s="2" t="n">
        <f aca="false">ROUND(N53/O53,3)</f>
        <v>2.405</v>
      </c>
      <c r="R53" s="2" t="s">
        <v>502</v>
      </c>
      <c r="S53" s="2" t="s">
        <v>409</v>
      </c>
      <c r="T53" s="2" t="s">
        <v>459</v>
      </c>
      <c r="U53" s="2" t="s">
        <v>530</v>
      </c>
    </row>
    <row r="54" customFormat="false" ht="27.75" hidden="false" customHeight="true" outlineLevel="0" collapsed="false">
      <c r="A54" s="2" t="s">
        <v>551</v>
      </c>
      <c r="B54" s="2" t="s">
        <v>405</v>
      </c>
      <c r="C54" s="2" t="s">
        <v>552</v>
      </c>
      <c r="D54" s="5" t="n">
        <v>6432</v>
      </c>
      <c r="E54" s="5" t="n">
        <v>5360</v>
      </c>
      <c r="F54" s="5" t="n">
        <v>2.9</v>
      </c>
      <c r="G54" s="5" t="n">
        <v>1.5</v>
      </c>
      <c r="H54" s="2" t="s">
        <v>547</v>
      </c>
      <c r="I54" s="2" t="n">
        <f aca="false">ROUND(D54*F54*G54/1000,2)</f>
        <v>27.98</v>
      </c>
      <c r="J54" s="2" t="n">
        <f aca="false">ROUND(E54*F54*G54/1000,2)</f>
        <v>23.32</v>
      </c>
      <c r="K54" s="5"/>
      <c r="L54" s="5"/>
      <c r="M54" s="7" t="str">
        <f aca="false">IF(K54="","",ROUND(K54-I54,2))</f>
        <v/>
      </c>
      <c r="N54" s="2" t="n">
        <f aca="false">IF(K54="",I54,K54)</f>
        <v>27.98</v>
      </c>
      <c r="O54" s="2" t="n">
        <f aca="false">IF(L54="",J54,L54)</f>
        <v>23.32</v>
      </c>
      <c r="P54" s="2" t="n">
        <f aca="false">ROUND(SQRT(N54^2+O54^2),2)</f>
        <v>36.42</v>
      </c>
      <c r="Q54" s="2" t="n">
        <f aca="false">ROUND(N54/O54,3)</f>
        <v>1.2</v>
      </c>
      <c r="R54" s="2" t="s">
        <v>502</v>
      </c>
      <c r="S54" s="2" t="s">
        <v>409</v>
      </c>
      <c r="T54" s="2" t="s">
        <v>459</v>
      </c>
      <c r="U54" s="2" t="s">
        <v>530</v>
      </c>
    </row>
    <row r="55" customFormat="false" ht="27.75" hidden="false" customHeight="true" outlineLevel="0" collapsed="false">
      <c r="A55" s="2" t="s">
        <v>553</v>
      </c>
      <c r="B55" s="2" t="s">
        <v>405</v>
      </c>
      <c r="C55" s="2" t="s">
        <v>521</v>
      </c>
      <c r="D55" s="5" t="n">
        <v>4096</v>
      </c>
      <c r="E55" s="5" t="n">
        <v>2680</v>
      </c>
      <c r="F55" s="5" t="n">
        <v>2.9</v>
      </c>
      <c r="G55" s="5" t="n">
        <v>3</v>
      </c>
      <c r="H55" s="2" t="s">
        <v>547</v>
      </c>
      <c r="I55" s="2" t="n">
        <f aca="false">ROUND(D55*F55*G55/1000,2)</f>
        <v>35.64</v>
      </c>
      <c r="J55" s="2" t="n">
        <f aca="false">ROUND(E55*F55*G55/1000,2)</f>
        <v>23.32</v>
      </c>
      <c r="K55" s="5"/>
      <c r="L55" s="5"/>
      <c r="M55" s="7" t="str">
        <f aca="false">IF(K55="","",ROUND(K55-I55,2))</f>
        <v/>
      </c>
      <c r="N55" s="2" t="n">
        <f aca="false">IF(K55="",I55,K55)</f>
        <v>35.64</v>
      </c>
      <c r="O55" s="2" t="n">
        <f aca="false">IF(L55="",J55,L55)</f>
        <v>23.32</v>
      </c>
      <c r="P55" s="2" t="n">
        <f aca="false">ROUND(SQRT(N55^2+O55^2),2)</f>
        <v>42.59</v>
      </c>
      <c r="Q55" s="2" t="n">
        <f aca="false">ROUND(N55/O55,3)</f>
        <v>1.528</v>
      </c>
      <c r="R55" s="2" t="s">
        <v>502</v>
      </c>
      <c r="S55" s="2" t="s">
        <v>409</v>
      </c>
      <c r="T55" s="2" t="s">
        <v>459</v>
      </c>
      <c r="U55" s="2" t="s">
        <v>530</v>
      </c>
    </row>
    <row r="56" customFormat="false" ht="27.75" hidden="false" customHeight="true" outlineLevel="0" collapsed="false">
      <c r="A56" s="2" t="s">
        <v>554</v>
      </c>
      <c r="B56" s="2" t="s">
        <v>405</v>
      </c>
      <c r="C56" s="2" t="s">
        <v>440</v>
      </c>
      <c r="D56" s="5" t="n">
        <v>4096</v>
      </c>
      <c r="E56" s="5" t="n">
        <v>2304</v>
      </c>
      <c r="F56" s="5" t="n">
        <v>2.9</v>
      </c>
      <c r="G56" s="5" t="n">
        <v>3</v>
      </c>
      <c r="H56" s="2" t="s">
        <v>547</v>
      </c>
      <c r="I56" s="2" t="n">
        <f aca="false">ROUND(D56*F56*G56/1000,2)</f>
        <v>35.64</v>
      </c>
      <c r="J56" s="2" t="n">
        <f aca="false">ROUND(E56*F56*G56/1000,2)</f>
        <v>20.04</v>
      </c>
      <c r="K56" s="5"/>
      <c r="L56" s="5"/>
      <c r="M56" s="7" t="str">
        <f aca="false">IF(K56="","",ROUND(K56-I56,2))</f>
        <v/>
      </c>
      <c r="N56" s="2" t="n">
        <f aca="false">IF(K56="",I56,K56)</f>
        <v>35.64</v>
      </c>
      <c r="O56" s="2" t="n">
        <f aca="false">IF(L56="",J56,L56)</f>
        <v>20.04</v>
      </c>
      <c r="P56" s="2" t="n">
        <f aca="false">ROUND(SQRT(N56^2+O56^2),2)</f>
        <v>40.89</v>
      </c>
      <c r="Q56" s="2" t="n">
        <f aca="false">ROUND(N56/O56,3)</f>
        <v>1.778</v>
      </c>
      <c r="R56" s="2" t="s">
        <v>502</v>
      </c>
      <c r="S56" s="2" t="s">
        <v>409</v>
      </c>
      <c r="T56" s="2" t="s">
        <v>459</v>
      </c>
      <c r="U56" s="2" t="s">
        <v>530</v>
      </c>
    </row>
    <row r="57" customFormat="false" ht="27.75" hidden="false" customHeight="true" outlineLevel="0" collapsed="false">
      <c r="A57" s="2" t="s">
        <v>555</v>
      </c>
      <c r="B57" s="2" t="s">
        <v>405</v>
      </c>
      <c r="C57" s="2" t="s">
        <v>524</v>
      </c>
      <c r="D57" s="5" t="n">
        <v>4096</v>
      </c>
      <c r="E57" s="5" t="n">
        <v>2160</v>
      </c>
      <c r="F57" s="5" t="n">
        <v>2.9</v>
      </c>
      <c r="G57" s="5" t="n">
        <v>3</v>
      </c>
      <c r="H57" s="2" t="s">
        <v>547</v>
      </c>
      <c r="I57" s="2" t="n">
        <f aca="false">ROUND(D57*F57*G57/1000,2)</f>
        <v>35.64</v>
      </c>
      <c r="J57" s="2" t="n">
        <f aca="false">ROUND(E57*F57*G57/1000,2)</f>
        <v>18.79</v>
      </c>
      <c r="K57" s="5"/>
      <c r="L57" s="5"/>
      <c r="M57" s="7" t="str">
        <f aca="false">IF(K57="","",ROUND(K57-I57,2))</f>
        <v/>
      </c>
      <c r="N57" s="2" t="n">
        <f aca="false">IF(K57="",I57,K57)</f>
        <v>35.64</v>
      </c>
      <c r="O57" s="2" t="n">
        <f aca="false">IF(L57="",J57,L57)</f>
        <v>18.79</v>
      </c>
      <c r="P57" s="2" t="n">
        <f aca="false">ROUND(SQRT(N57^2+O57^2),2)</f>
        <v>40.29</v>
      </c>
      <c r="Q57" s="2" t="n">
        <f aca="false">ROUND(N57/O57,3)</f>
        <v>1.897</v>
      </c>
      <c r="R57" s="2" t="s">
        <v>502</v>
      </c>
      <c r="S57" s="2" t="s">
        <v>409</v>
      </c>
      <c r="T57" s="2" t="s">
        <v>459</v>
      </c>
      <c r="U57" s="2" t="s">
        <v>530</v>
      </c>
    </row>
    <row r="58" customFormat="false" ht="27.75" hidden="false" customHeight="true" outlineLevel="0" collapsed="false">
      <c r="A58" s="2" t="s">
        <v>556</v>
      </c>
      <c r="B58" s="2" t="s">
        <v>405</v>
      </c>
      <c r="C58" s="2" t="s">
        <v>526</v>
      </c>
      <c r="D58" s="5" t="n">
        <v>4096</v>
      </c>
      <c r="E58" s="5" t="n">
        <v>1704</v>
      </c>
      <c r="F58" s="5" t="n">
        <v>2.9</v>
      </c>
      <c r="G58" s="5" t="n">
        <v>3</v>
      </c>
      <c r="H58" s="2" t="s">
        <v>547</v>
      </c>
      <c r="I58" s="2" t="n">
        <f aca="false">ROUND(D58*F58*G58/1000,2)</f>
        <v>35.64</v>
      </c>
      <c r="J58" s="2" t="n">
        <f aca="false">ROUND(E58*F58*G58/1000,2)</f>
        <v>14.82</v>
      </c>
      <c r="K58" s="5"/>
      <c r="L58" s="5"/>
      <c r="M58" s="7" t="str">
        <f aca="false">IF(K58="","",ROUND(K58-I58,2))</f>
        <v/>
      </c>
      <c r="N58" s="2" t="n">
        <f aca="false">IF(K58="",I58,K58)</f>
        <v>35.64</v>
      </c>
      <c r="O58" s="2" t="n">
        <f aca="false">IF(L58="",J58,L58)</f>
        <v>14.82</v>
      </c>
      <c r="P58" s="2" t="n">
        <f aca="false">ROUND(SQRT(N58^2+O58^2),2)</f>
        <v>38.6</v>
      </c>
      <c r="Q58" s="2" t="n">
        <f aca="false">ROUND(N58/O58,3)</f>
        <v>2.405</v>
      </c>
      <c r="R58" s="2" t="s">
        <v>502</v>
      </c>
      <c r="S58" s="2" t="s">
        <v>409</v>
      </c>
      <c r="T58" s="2" t="s">
        <v>459</v>
      </c>
      <c r="U58" s="2" t="s">
        <v>530</v>
      </c>
    </row>
    <row r="59" customFormat="false" ht="27.75" hidden="false" customHeight="true" outlineLevel="0" collapsed="false">
      <c r="A59" s="2" t="s">
        <v>557</v>
      </c>
      <c r="B59" s="2" t="s">
        <v>405</v>
      </c>
      <c r="C59" s="2" t="s">
        <v>558</v>
      </c>
      <c r="D59" s="5" t="n">
        <v>3216</v>
      </c>
      <c r="E59" s="5" t="n">
        <v>2680</v>
      </c>
      <c r="F59" s="5" t="n">
        <v>2.9</v>
      </c>
      <c r="G59" s="5" t="n">
        <v>3</v>
      </c>
      <c r="H59" s="2" t="s">
        <v>547</v>
      </c>
      <c r="I59" s="2" t="n">
        <f aca="false">ROUND(D59*F59*G59/1000,2)</f>
        <v>27.98</v>
      </c>
      <c r="J59" s="2" t="n">
        <f aca="false">ROUND(E59*F59*G59/1000,2)</f>
        <v>23.32</v>
      </c>
      <c r="K59" s="5"/>
      <c r="L59" s="5"/>
      <c r="M59" s="7" t="str">
        <f aca="false">IF(K59="","",ROUND(K59-I59,2))</f>
        <v/>
      </c>
      <c r="N59" s="2" t="n">
        <f aca="false">IF(K59="",I59,K59)</f>
        <v>27.98</v>
      </c>
      <c r="O59" s="2" t="n">
        <f aca="false">IF(L59="",J59,L59)</f>
        <v>23.32</v>
      </c>
      <c r="P59" s="2" t="n">
        <f aca="false">ROUND(SQRT(N59^2+O59^2),2)</f>
        <v>36.42</v>
      </c>
      <c r="Q59" s="2" t="n">
        <f aca="false">ROUND(N59/O59,3)</f>
        <v>1.2</v>
      </c>
      <c r="R59" s="2" t="s">
        <v>502</v>
      </c>
      <c r="S59" s="2" t="s">
        <v>409</v>
      </c>
      <c r="T59" s="2" t="s">
        <v>459</v>
      </c>
      <c r="U59" s="2" t="s">
        <v>530</v>
      </c>
    </row>
    <row r="61" customFormat="false" ht="15" hidden="false" customHeight="true" outlineLevel="0" collapsed="false">
      <c r="A61" s="2" t="s">
        <v>411</v>
      </c>
      <c r="B61" s="6" t="s">
        <v>559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customFormat="false" ht="15" hidden="false" customHeight="true" outlineLevel="0" collapsed="false">
      <c r="A62" s="2"/>
      <c r="B62" s="6" t="s">
        <v>560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customFormat="false" ht="15" hidden="false" customHeight="true" outlineLevel="0" collapsed="false">
      <c r="A63" s="2"/>
      <c r="B63" s="6" t="s">
        <v>561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customFormat="false" ht="15" hidden="false" customHeight="true" outlineLevel="0" collapsed="false">
      <c r="A64" s="2"/>
      <c r="B64" s="6" t="s">
        <v>562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</sheetData>
  <autoFilter ref="A1:U59"/>
  <mergeCells count="4">
    <mergeCell ref="B61:U61"/>
    <mergeCell ref="B62:U62"/>
    <mergeCell ref="B63:U63"/>
    <mergeCell ref="B64:U64"/>
  </mergeCells>
  <conditionalFormatting sqref="T2:T59">
    <cfRule type="expression" priority="2" aboveAverage="0" equalAverage="0" bottom="0" percent="0" rank="0" text="" dxfId="7">
      <formula>LEFT($T2,10)="CONFIRMADO"</formula>
    </cfRule>
    <cfRule type="expression" priority="3" aboveAverage="0" equalAverage="0" bottom="0" percent="0" rank="0" text="" dxfId="8">
      <formula>LEFT($T2,9)="CALCULADO"</formula>
    </cfRule>
    <cfRule type="expression" priority="4" aboveAverage="0" equalAverage="0" bottom="0" percent="0" rank="0" text="" dxfId="9">
      <formula>LEFT($T2,9)="PENDIENTE"</formula>
    </cfRule>
  </conditionalFormatting>
  <conditionalFormatting sqref="M2:M59">
    <cfRule type="expression" priority="5" aboveAverage="0" equalAverage="0" bottom="0" percent="0" rank="0" text="" dxfId="9">
      <formula>AND(ISNUMBER($M2),ABS($M2)&gt;0.1)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0"/>
    <col collapsed="false" customWidth="true" hidden="false" outlineLevel="0" max="2" min="2" style="3" width="18"/>
    <col collapsed="false" customWidth="true" hidden="false" outlineLevel="0" max="3" min="3" style="3" width="46"/>
    <col collapsed="false" customWidth="true" hidden="false" outlineLevel="0" max="4" min="4" style="3" width="30"/>
    <col collapsed="false" customWidth="true" hidden="false" outlineLevel="0" max="5" min="5" style="3" width="40"/>
    <col collapsed="false" customWidth="true" hidden="false" outlineLevel="0" max="6" min="6" style="3" width="56"/>
    <col collapsed="false" customWidth="true" hidden="false" outlineLevel="0" max="7" min="7" style="3" width="22"/>
    <col collapsed="false" customWidth="true" hidden="false" outlineLevel="0" max="8" min="8" style="3" width="26"/>
  </cols>
  <sheetData>
    <row r="1" customFormat="false" ht="15" hidden="false" customHeight="true" outlineLevel="0" collapsed="false">
      <c r="A1" s="1" t="s">
        <v>92</v>
      </c>
      <c r="B1" s="1" t="s">
        <v>563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96</v>
      </c>
    </row>
    <row r="2" customFormat="false" ht="27.75" hidden="false" customHeight="true" outlineLevel="0" collapsed="false">
      <c r="A2" s="2" t="s">
        <v>569</v>
      </c>
      <c r="B2" s="2" t="s">
        <v>172</v>
      </c>
      <c r="C2" s="2" t="s">
        <v>570</v>
      </c>
      <c r="D2" s="2" t="s">
        <v>571</v>
      </c>
      <c r="E2" s="2" t="s">
        <v>572</v>
      </c>
      <c r="F2" s="2" t="s">
        <v>573</v>
      </c>
      <c r="G2" s="2" t="s">
        <v>574</v>
      </c>
      <c r="H2" s="2" t="s">
        <v>575</v>
      </c>
    </row>
    <row r="3" customFormat="false" ht="27.75" hidden="false" customHeight="true" outlineLevel="0" collapsed="false">
      <c r="A3" s="2" t="s">
        <v>576</v>
      </c>
      <c r="B3" s="2" t="s">
        <v>577</v>
      </c>
      <c r="C3" s="2" t="s">
        <v>578</v>
      </c>
      <c r="D3" s="2" t="s">
        <v>579</v>
      </c>
      <c r="E3" s="2" t="s">
        <v>580</v>
      </c>
      <c r="F3" s="2" t="s">
        <v>581</v>
      </c>
      <c r="G3" s="2" t="s">
        <v>21</v>
      </c>
      <c r="H3" s="2" t="s">
        <v>582</v>
      </c>
    </row>
    <row r="4" customFormat="false" ht="27.75" hidden="false" customHeight="true" outlineLevel="0" collapsed="false">
      <c r="A4" s="2" t="s">
        <v>583</v>
      </c>
      <c r="B4" s="2" t="s">
        <v>172</v>
      </c>
      <c r="C4" s="2" t="s">
        <v>584</v>
      </c>
      <c r="D4" s="2" t="s">
        <v>585</v>
      </c>
      <c r="E4" s="2" t="s">
        <v>586</v>
      </c>
      <c r="F4" s="2" t="s">
        <v>587</v>
      </c>
      <c r="G4" s="2" t="s">
        <v>15</v>
      </c>
      <c r="H4" s="2" t="s">
        <v>588</v>
      </c>
    </row>
    <row r="5" customFormat="false" ht="27.75" hidden="false" customHeight="true" outlineLevel="0" collapsed="false">
      <c r="A5" s="2" t="s">
        <v>589</v>
      </c>
      <c r="B5" s="2" t="s">
        <v>590</v>
      </c>
      <c r="C5" s="2" t="s">
        <v>591</v>
      </c>
      <c r="D5" s="2" t="s">
        <v>592</v>
      </c>
      <c r="E5" s="2" t="s">
        <v>593</v>
      </c>
      <c r="F5" s="2" t="s">
        <v>594</v>
      </c>
      <c r="G5" s="2" t="s">
        <v>10</v>
      </c>
      <c r="H5" s="2" t="s">
        <v>588</v>
      </c>
    </row>
    <row r="6" customFormat="false" ht="27.75" hidden="false" customHeight="true" outlineLevel="0" collapsed="false">
      <c r="A6" s="2" t="s">
        <v>595</v>
      </c>
      <c r="B6" s="2" t="s">
        <v>155</v>
      </c>
      <c r="C6" s="2" t="s">
        <v>596</v>
      </c>
      <c r="D6" s="2" t="s">
        <v>597</v>
      </c>
      <c r="E6" s="2" t="s">
        <v>598</v>
      </c>
      <c r="F6" s="2" t="s">
        <v>599</v>
      </c>
      <c r="G6" s="2" t="s">
        <v>574</v>
      </c>
      <c r="H6" s="2" t="s">
        <v>600</v>
      </c>
    </row>
    <row r="8" customFormat="false" ht="27.75" hidden="false" customHeight="true" outlineLevel="0" collapsed="false">
      <c r="A8" s="2" t="s">
        <v>601</v>
      </c>
      <c r="B8" s="8" t="s">
        <v>602</v>
      </c>
      <c r="C8" s="2" t="n">
        <f aca="false">COUNTA(09_Gates_Modos!A2:A59)</f>
        <v>58</v>
      </c>
    </row>
    <row r="9" customFormat="false" ht="27.75" hidden="false" customHeight="true" outlineLevel="0" collapsed="false">
      <c r="A9" s="2"/>
      <c r="B9" s="8" t="s">
        <v>603</v>
      </c>
      <c r="C9" s="2" t="n">
        <f aca="false">COUNTIF(09_Gates_Modos!T2:T59,"CONFIRMADO*")</f>
        <v>11</v>
      </c>
    </row>
    <row r="10" customFormat="false" ht="27.75" hidden="false" customHeight="true" outlineLevel="0" collapsed="false">
      <c r="A10" s="2"/>
      <c r="B10" s="8" t="s">
        <v>604</v>
      </c>
      <c r="C10" s="2" t="n">
        <f aca="false">COUNTIF(09_Gates_Modos!T2:T59,"CALCULADO*")</f>
        <v>32</v>
      </c>
    </row>
    <row r="11" customFormat="false" ht="27.75" hidden="false" customHeight="true" outlineLevel="0" collapsed="false">
      <c r="A11" s="2"/>
      <c r="B11" s="8" t="s">
        <v>605</v>
      </c>
      <c r="C11" s="2" t="n">
        <f aca="false">COUNTIF(09_Gates_Modos!T2:T59,"PENDIENTE*")</f>
        <v>15</v>
      </c>
    </row>
    <row r="12" customFormat="false" ht="95.25" hidden="false" customHeight="true" outlineLevel="0" collapsed="false">
      <c r="A12" s="2"/>
      <c r="B12" s="8" t="s">
        <v>606</v>
      </c>
      <c r="C12" s="2" t="n">
        <f aca="false">23+C8</f>
        <v>81</v>
      </c>
    </row>
  </sheetData>
  <autoFilter ref="A1:H6"/>
  <conditionalFormatting sqref="H2:H6">
    <cfRule type="expression" priority="2" aboveAverage="0" equalAverage="0" bottom="0" percent="0" rank="0" text="" dxfId="7">
      <formula>LEFT($H2,8)="RESUELTO"</formula>
    </cfRule>
    <cfRule type="expression" priority="3" aboveAverage="0" equalAverage="0" bottom="0" percent="0" rank="0" text="" dxfId="7">
      <formula>LEFT($H2,8)="DECIDIDO"</formula>
    </cfRule>
    <cfRule type="expression" priority="4" aboveAverage="0" equalAverage="0" bottom="0" percent="0" rank="0" text="" dxfId="9">
      <formula>LEFT($H2,9)="PENDIENTE"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70"/>
    <col collapsed="false" customWidth="true" hidden="false" outlineLevel="0" max="4" min="4" style="3" width="40"/>
  </cols>
  <sheetData>
    <row r="1" customFormat="false" ht="15" hidden="false" customHeight="true" outlineLevel="0" collapsed="false">
      <c r="A1" s="1" t="s">
        <v>265</v>
      </c>
      <c r="B1" s="1" t="s">
        <v>266</v>
      </c>
      <c r="C1" s="1" t="s">
        <v>607</v>
      </c>
      <c r="D1" s="1" t="s">
        <v>267</v>
      </c>
    </row>
    <row r="2" customFormat="false" ht="27.75" hidden="false" customHeight="true" outlineLevel="0" collapsed="false">
      <c r="A2" s="2" t="s">
        <v>268</v>
      </c>
      <c r="B2" s="2" t="s">
        <v>608</v>
      </c>
      <c r="C2" s="2" t="s">
        <v>609</v>
      </c>
      <c r="D2" s="2" t="s">
        <v>610</v>
      </c>
    </row>
    <row r="3" customFormat="false" ht="41.25" hidden="false" customHeight="true" outlineLevel="0" collapsed="false">
      <c r="A3" s="2" t="s">
        <v>272</v>
      </c>
      <c r="B3" s="2" t="s">
        <v>611</v>
      </c>
      <c r="C3" s="2" t="s">
        <v>612</v>
      </c>
      <c r="D3" s="2" t="s">
        <v>613</v>
      </c>
    </row>
    <row r="4" customFormat="false" ht="41.25" hidden="false" customHeight="true" outlineLevel="0" collapsed="false">
      <c r="A4" s="2" t="s">
        <v>276</v>
      </c>
      <c r="B4" s="2" t="s">
        <v>614</v>
      </c>
      <c r="C4" s="2" t="s">
        <v>615</v>
      </c>
      <c r="D4" s="2" t="s">
        <v>616</v>
      </c>
    </row>
    <row r="5" customFormat="false" ht="27.75" hidden="false" customHeight="true" outlineLevel="0" collapsed="false">
      <c r="A5" s="2" t="s">
        <v>279</v>
      </c>
      <c r="B5" s="2" t="s">
        <v>617</v>
      </c>
      <c r="C5" s="2" t="s">
        <v>618</v>
      </c>
      <c r="D5" s="2" t="s">
        <v>619</v>
      </c>
    </row>
    <row r="6" customFormat="false" ht="15" hidden="false" customHeight="true" outlineLevel="0" collapsed="false">
      <c r="A6" s="2" t="s">
        <v>283</v>
      </c>
      <c r="B6" s="2" t="s">
        <v>620</v>
      </c>
      <c r="C6" s="2" t="s">
        <v>621</v>
      </c>
      <c r="D6" s="2" t="s">
        <v>622</v>
      </c>
    </row>
    <row r="7" customFormat="false" ht="27.75" hidden="false" customHeight="true" outlineLevel="0" collapsed="false">
      <c r="A7" s="2" t="s">
        <v>285</v>
      </c>
      <c r="B7" s="2" t="s">
        <v>623</v>
      </c>
      <c r="C7" s="2" t="s">
        <v>624</v>
      </c>
      <c r="D7" s="2" t="s">
        <v>625</v>
      </c>
    </row>
    <row r="8" customFormat="false" ht="27.75" hidden="false" customHeight="true" outlineLevel="0" collapsed="false">
      <c r="A8" s="2" t="s">
        <v>287</v>
      </c>
      <c r="B8" s="2" t="s">
        <v>626</v>
      </c>
      <c r="C8" s="2" t="s">
        <v>627</v>
      </c>
      <c r="D8" s="2" t="s">
        <v>628</v>
      </c>
    </row>
    <row r="9" customFormat="false" ht="15" hidden="false" customHeight="true" outlineLevel="0" collapsed="false">
      <c r="A9" s="2" t="s">
        <v>291</v>
      </c>
      <c r="B9" s="2" t="s">
        <v>629</v>
      </c>
      <c r="C9" s="2" t="s">
        <v>630</v>
      </c>
      <c r="D9" s="2" t="s">
        <v>631</v>
      </c>
    </row>
    <row r="10" customFormat="false" ht="27.75" hidden="false" customHeight="true" outlineLevel="0" collapsed="false">
      <c r="A10" s="2" t="s">
        <v>295</v>
      </c>
      <c r="B10" s="2" t="s">
        <v>632</v>
      </c>
      <c r="C10" s="2" t="s">
        <v>633</v>
      </c>
      <c r="D10" s="2" t="s">
        <v>634</v>
      </c>
    </row>
    <row r="11" customFormat="false" ht="27.75" hidden="false" customHeight="true" outlineLevel="0" collapsed="false">
      <c r="A11" s="2" t="s">
        <v>299</v>
      </c>
      <c r="B11" s="2" t="s">
        <v>635</v>
      </c>
      <c r="C11" s="2" t="s">
        <v>636</v>
      </c>
      <c r="D11" s="2" t="s">
        <v>637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60"/>
    <col collapsed="false" customWidth="true" hidden="false" outlineLevel="0" max="3" min="3" style="3" width="70"/>
    <col collapsed="false" customWidth="true" hidden="false" outlineLevel="0" max="4" min="4" style="3" width="13"/>
    <col collapsed="false" customWidth="true" hidden="false" outlineLevel="0" max="5" min="5" style="3" width="30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92</v>
      </c>
      <c r="B1" s="1" t="s">
        <v>140</v>
      </c>
      <c r="C1" s="1" t="s">
        <v>638</v>
      </c>
      <c r="D1" s="1" t="s">
        <v>381</v>
      </c>
      <c r="E1" s="1" t="s">
        <v>639</v>
      </c>
      <c r="F1" s="1" t="s">
        <v>640</v>
      </c>
      <c r="G1" s="1" t="s">
        <v>641</v>
      </c>
    </row>
    <row r="2" customFormat="false" ht="15" hidden="false" customHeight="true" outlineLevel="0" collapsed="false">
      <c r="A2" s="2" t="s">
        <v>435</v>
      </c>
      <c r="B2" s="2" t="s">
        <v>642</v>
      </c>
      <c r="C2" s="9" t="s">
        <v>643</v>
      </c>
      <c r="D2" s="2" t="s">
        <v>9</v>
      </c>
      <c r="E2" s="2" t="s">
        <v>644</v>
      </c>
      <c r="F2" s="2" t="s">
        <v>346</v>
      </c>
      <c r="G2" s="2" t="s">
        <v>104</v>
      </c>
    </row>
    <row r="3" customFormat="false" ht="27.75" hidden="false" customHeight="true" outlineLevel="0" collapsed="false">
      <c r="A3" s="2" t="s">
        <v>645</v>
      </c>
      <c r="B3" s="2" t="s">
        <v>646</v>
      </c>
      <c r="C3" s="9" t="s">
        <v>647</v>
      </c>
      <c r="D3" s="2" t="s">
        <v>9</v>
      </c>
      <c r="E3" s="2" t="s">
        <v>648</v>
      </c>
      <c r="F3" s="2" t="s">
        <v>649</v>
      </c>
      <c r="G3" s="2" t="s">
        <v>650</v>
      </c>
    </row>
    <row r="4" customFormat="false" ht="15" hidden="false" customHeight="true" outlineLevel="0" collapsed="false">
      <c r="A4" s="2" t="s">
        <v>651</v>
      </c>
      <c r="B4" s="2" t="s">
        <v>652</v>
      </c>
      <c r="C4" s="9" t="s">
        <v>653</v>
      </c>
      <c r="D4" s="2" t="s">
        <v>9</v>
      </c>
      <c r="E4" s="2" t="s">
        <v>654</v>
      </c>
      <c r="F4" s="2" t="s">
        <v>346</v>
      </c>
      <c r="G4" s="2" t="s">
        <v>104</v>
      </c>
    </row>
    <row r="5" customFormat="false" ht="15" hidden="false" customHeight="true" outlineLevel="0" collapsed="false">
      <c r="A5" s="2" t="s">
        <v>396</v>
      </c>
      <c r="B5" s="2" t="s">
        <v>655</v>
      </c>
      <c r="C5" s="9" t="s">
        <v>656</v>
      </c>
      <c r="D5" s="2" t="s">
        <v>9</v>
      </c>
      <c r="E5" s="2" t="s">
        <v>657</v>
      </c>
      <c r="F5" s="2" t="s">
        <v>346</v>
      </c>
      <c r="G5" s="2" t="s">
        <v>104</v>
      </c>
    </row>
    <row r="6" customFormat="false" ht="15" hidden="false" customHeight="true" outlineLevel="0" collapsed="false">
      <c r="A6" s="2" t="s">
        <v>402</v>
      </c>
      <c r="B6" s="2" t="s">
        <v>658</v>
      </c>
      <c r="C6" s="9" t="s">
        <v>659</v>
      </c>
      <c r="D6" s="2" t="s">
        <v>9</v>
      </c>
      <c r="E6" s="2" t="s">
        <v>660</v>
      </c>
      <c r="F6" s="2" t="s">
        <v>661</v>
      </c>
      <c r="G6" s="2" t="s">
        <v>104</v>
      </c>
    </row>
    <row r="7" customFormat="false" ht="15" hidden="false" customHeight="true" outlineLevel="0" collapsed="false">
      <c r="A7" s="2" t="s">
        <v>409</v>
      </c>
      <c r="B7" s="2" t="s">
        <v>662</v>
      </c>
      <c r="C7" s="9" t="s">
        <v>663</v>
      </c>
      <c r="D7" s="2" t="s">
        <v>9</v>
      </c>
      <c r="E7" s="2" t="s">
        <v>664</v>
      </c>
      <c r="F7" s="2" t="s">
        <v>346</v>
      </c>
      <c r="G7" s="2" t="s">
        <v>104</v>
      </c>
    </row>
    <row r="8" customFormat="false" ht="28.35" hidden="false" customHeight="false" outlineLevel="0" collapsed="false">
      <c r="A8" s="2" t="s">
        <v>665</v>
      </c>
      <c r="B8" s="2" t="s">
        <v>666</v>
      </c>
      <c r="C8" s="9" t="s">
        <v>667</v>
      </c>
      <c r="D8" s="2" t="s">
        <v>9</v>
      </c>
      <c r="E8" s="2" t="s">
        <v>668</v>
      </c>
      <c r="F8" s="2" t="s">
        <v>669</v>
      </c>
      <c r="G8" s="2" t="s">
        <v>104</v>
      </c>
    </row>
    <row r="9" customFormat="false" ht="28.35" hidden="false" customHeight="false" outlineLevel="0" collapsed="false">
      <c r="A9" s="2" t="s">
        <v>670</v>
      </c>
      <c r="B9" s="2" t="s">
        <v>671</v>
      </c>
      <c r="C9" s="9" t="s">
        <v>672</v>
      </c>
      <c r="D9" s="2" t="s">
        <v>9</v>
      </c>
      <c r="E9" s="2" t="s">
        <v>673</v>
      </c>
      <c r="F9" s="2" t="s">
        <v>346</v>
      </c>
      <c r="G9" s="2" t="s">
        <v>104</v>
      </c>
    </row>
    <row r="10" customFormat="false" ht="28.35" hidden="false" customHeight="false" outlineLevel="0" collapsed="false">
      <c r="A10" s="2" t="s">
        <v>674</v>
      </c>
      <c r="B10" s="2" t="s">
        <v>675</v>
      </c>
      <c r="C10" s="9" t="s">
        <v>676</v>
      </c>
      <c r="D10" s="2" t="s">
        <v>9</v>
      </c>
      <c r="E10" s="2" t="s">
        <v>668</v>
      </c>
      <c r="F10" s="2" t="s">
        <v>677</v>
      </c>
      <c r="G10" s="2" t="s">
        <v>104</v>
      </c>
    </row>
    <row r="11" customFormat="false" ht="28.35" hidden="false" customHeight="false" outlineLevel="0" collapsed="false">
      <c r="A11" s="2" t="s">
        <v>678</v>
      </c>
      <c r="B11" s="2" t="s">
        <v>679</v>
      </c>
      <c r="C11" s="9" t="s">
        <v>680</v>
      </c>
      <c r="D11" s="2" t="s">
        <v>9</v>
      </c>
      <c r="E11" s="2" t="s">
        <v>681</v>
      </c>
      <c r="F11" s="2" t="s">
        <v>346</v>
      </c>
      <c r="G11" s="2" t="s">
        <v>104</v>
      </c>
    </row>
    <row r="12" customFormat="false" ht="28.35" hidden="false" customHeight="false" outlineLevel="0" collapsed="false">
      <c r="A12" s="2" t="s">
        <v>682</v>
      </c>
      <c r="B12" s="2" t="s">
        <v>683</v>
      </c>
      <c r="C12" s="9" t="s">
        <v>684</v>
      </c>
      <c r="D12" s="2" t="s">
        <v>9</v>
      </c>
      <c r="E12" s="2" t="s">
        <v>685</v>
      </c>
      <c r="F12" s="2" t="s">
        <v>686</v>
      </c>
      <c r="G12" s="2" t="s">
        <v>136</v>
      </c>
    </row>
    <row r="13" customFormat="false" ht="28.35" hidden="false" customHeight="false" outlineLevel="0" collapsed="false">
      <c r="A13" s="2" t="s">
        <v>687</v>
      </c>
      <c r="B13" s="2" t="s">
        <v>688</v>
      </c>
      <c r="C13" s="9" t="s">
        <v>689</v>
      </c>
      <c r="D13" s="2" t="s">
        <v>9</v>
      </c>
      <c r="E13" s="2" t="s">
        <v>690</v>
      </c>
      <c r="F13" s="2" t="s">
        <v>691</v>
      </c>
      <c r="G13" s="2" t="s">
        <v>104</v>
      </c>
    </row>
    <row r="14" customFormat="false" ht="28.35" hidden="false" customHeight="false" outlineLevel="0" collapsed="false">
      <c r="A14" s="2" t="s">
        <v>692</v>
      </c>
      <c r="B14" s="2" t="s">
        <v>693</v>
      </c>
      <c r="C14" s="9" t="s">
        <v>694</v>
      </c>
      <c r="D14" s="2" t="s">
        <v>9</v>
      </c>
      <c r="E14" s="2" t="s">
        <v>695</v>
      </c>
      <c r="F14" s="2" t="s">
        <v>696</v>
      </c>
      <c r="G14" s="2" t="s">
        <v>136</v>
      </c>
    </row>
    <row r="15" customFormat="false" ht="28.35" hidden="false" customHeight="false" outlineLevel="0" collapsed="false">
      <c r="A15" s="2" t="s">
        <v>697</v>
      </c>
      <c r="B15" s="2" t="s">
        <v>698</v>
      </c>
      <c r="C15" s="9" t="s">
        <v>699</v>
      </c>
      <c r="D15" s="2" t="s">
        <v>9</v>
      </c>
      <c r="E15" s="2" t="s">
        <v>700</v>
      </c>
      <c r="F15" s="2" t="s">
        <v>701</v>
      </c>
      <c r="G15" s="2" t="s">
        <v>702</v>
      </c>
    </row>
    <row r="16" customFormat="false" ht="28.35" hidden="false" customHeight="false" outlineLevel="0" collapsed="false">
      <c r="A16" s="2" t="s">
        <v>703</v>
      </c>
      <c r="B16" s="2" t="s">
        <v>704</v>
      </c>
      <c r="C16" s="9" t="s">
        <v>705</v>
      </c>
      <c r="D16" s="2" t="s">
        <v>9</v>
      </c>
      <c r="E16" s="2" t="s">
        <v>700</v>
      </c>
      <c r="F16" s="2" t="s">
        <v>706</v>
      </c>
      <c r="G16" s="2" t="s">
        <v>136</v>
      </c>
    </row>
    <row r="17" customFormat="false" ht="28.35" hidden="false" customHeight="false" outlineLevel="0" collapsed="false">
      <c r="A17" s="2" t="s">
        <v>707</v>
      </c>
      <c r="B17" s="2" t="s">
        <v>708</v>
      </c>
      <c r="C17" s="9" t="s">
        <v>709</v>
      </c>
      <c r="D17" s="2" t="s">
        <v>9</v>
      </c>
      <c r="E17" s="2" t="s">
        <v>710</v>
      </c>
      <c r="F17" s="2" t="s">
        <v>711</v>
      </c>
      <c r="G17" s="2" t="s">
        <v>650</v>
      </c>
    </row>
  </sheetData>
  <autoFilter ref="A1:G17"/>
  <hyperlinks>
    <hyperlink ref="C2" r:id="rId1" display="https://www.arri.com/resource/blob/400322/3ccb33a431efbe7eb9223444c0468cac/recording-formats-poster-data.pdf"/>
    <hyperlink ref="C3" r:id="rId2" display="https://www.fdtimes.com/2025/07/31/arri-alexa-35-xtreme/"/>
    <hyperlink ref="C4" r:id="rId3" display="https://www.arri.com/resource/blob/398842/d0022c71c2e428c42d9fe07be96c2580/20250731-arri-press-release-alexa-35-xtreme-arricore-en-data.pdf"/>
    <hyperlink ref="C5" r:id="rId4" display="https://www.blackmagicdesign.com/products/blackmagicpyxis/techspecs/W-CIN-24"/>
    <hyperlink ref="C6" r:id="rId5" display="https://www.lensrentals.com/product-assets/22fac6da-9c01-4dce-bbf3-e9e6cf2cd92b/blackmagic-ursa-cine-17k-65-evf-techspecs.pdf"/>
    <hyperlink ref="C7" r:id="rId6" display="https://www.blackmagicdesign.com/products/blackmagicursacine/techspecs/W-CIN-17"/>
    <hyperlink ref="C8" r:id="rId7" display="https://www.afcinema.com/IMG/pdf/3/0/f/arri_group_alexa_sxt_studio_technical_data.pdf"/>
    <hyperlink ref="C9" r:id="rId8" display="https://www.arri.com/en/learn-help/learn-help-camera-system/frequently-asked-questions/alexa-sxt-faq"/>
    <hyperlink ref="C10" r:id="rId9" display="https://www.videocineimport.com/wp-content/uploads/2020/03/Technical-Data-ALEXA-SXT-W.pdf"/>
    <hyperlink ref="C11" r:id="rId10" display="https://www.arri.com/resource/blob/41634/b1379eeeabbdc8b194a2af2dae68fee7/download-camera-alexa-sxt-crib-sheet-data.pdf"/>
    <hyperlink ref="C12" r:id="rId11" display="https://visuals.co.uk/blog/arri-alexa-sxt-gets-prores-2k-and-4k-anamorphic-modes-plus-open-gate-prores-3-4k-and-arriraw-3-2k"/>
    <hyperlink ref="C13" r:id="rId12" display="https://help.codex.online/content/media-stations/sxr-capture-drive-dock"/>
    <hyperlink ref="C14" r:id="rId13" display="https://vmedia.digital/memory-card-database/arri-sxt-compatible-memory-cards-recording-times/"/>
    <hyperlink ref="C15" r:id="rId14" display="https://napalmrentals.com/product/set-zeiss-superspeed-mkii-18-25-35-50-85mm-t1-3-s35"/>
    <hyperlink ref="C16" r:id="rId15" display="https://www.camaleonrental.com/gb/zeiss-lenses-hire/zeiss-super-speed-t13-mkii"/>
    <hyperlink ref="C17" r:id="rId16" display="https://www.truelens.co.uk/35mm-zeiss-super-spee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238</v>
      </c>
      <c r="B1" s="1" t="s">
        <v>712</v>
      </c>
      <c r="C1" s="1" t="s">
        <v>713</v>
      </c>
      <c r="D1" s="1" t="s">
        <v>380</v>
      </c>
      <c r="E1" s="1" t="s">
        <v>96</v>
      </c>
      <c r="F1" s="1" t="s">
        <v>430</v>
      </c>
    </row>
    <row r="2" customFormat="false" ht="28.35" hidden="false" customHeight="false" outlineLevel="0" collapsed="false">
      <c r="A2" s="2" t="s">
        <v>714</v>
      </c>
      <c r="B2" s="2" t="s">
        <v>715</v>
      </c>
      <c r="C2" s="2" t="s">
        <v>716</v>
      </c>
      <c r="D2" s="2" t="s">
        <v>717</v>
      </c>
      <c r="E2" s="2" t="s">
        <v>436</v>
      </c>
      <c r="F2" s="2" t="s">
        <v>718</v>
      </c>
    </row>
    <row r="3" customFormat="false" ht="15" hidden="false" customHeight="false" outlineLevel="0" collapsed="false">
      <c r="A3" s="2" t="s">
        <v>719</v>
      </c>
      <c r="B3" s="2" t="s">
        <v>4</v>
      </c>
      <c r="C3" s="2" t="s">
        <v>720</v>
      </c>
      <c r="D3" s="2" t="s">
        <v>665</v>
      </c>
      <c r="E3" s="2" t="s">
        <v>436</v>
      </c>
      <c r="F3" s="2"/>
    </row>
    <row r="4" customFormat="false" ht="15" hidden="false" customHeight="false" outlineLevel="0" collapsed="false">
      <c r="A4" s="2" t="s">
        <v>719</v>
      </c>
      <c r="B4" s="2" t="s">
        <v>721</v>
      </c>
      <c r="C4" s="2" t="s">
        <v>722</v>
      </c>
      <c r="D4" s="2" t="s">
        <v>674</v>
      </c>
      <c r="E4" s="2" t="s">
        <v>436</v>
      </c>
      <c r="F4" s="2" t="s">
        <v>723</v>
      </c>
    </row>
    <row r="5" customFormat="false" ht="15" hidden="false" customHeight="false" outlineLevel="0" collapsed="false">
      <c r="A5" s="2" t="s">
        <v>719</v>
      </c>
      <c r="B5" s="2" t="s">
        <v>724</v>
      </c>
      <c r="C5" s="2" t="s">
        <v>725</v>
      </c>
      <c r="D5" s="2" t="s">
        <v>717</v>
      </c>
      <c r="E5" s="2" t="s">
        <v>436</v>
      </c>
      <c r="F5" s="2"/>
    </row>
    <row r="6" customFormat="false" ht="15" hidden="false" customHeight="false" outlineLevel="0" collapsed="false">
      <c r="A6" s="2" t="s">
        <v>719</v>
      </c>
      <c r="B6" s="2" t="s">
        <v>726</v>
      </c>
      <c r="C6" s="2" t="s">
        <v>727</v>
      </c>
      <c r="D6" s="2" t="s">
        <v>674</v>
      </c>
      <c r="E6" s="2" t="s">
        <v>436</v>
      </c>
      <c r="F6" s="2" t="s">
        <v>728</v>
      </c>
    </row>
    <row r="7" customFormat="false" ht="28.35" hidden="false" customHeight="false" outlineLevel="0" collapsed="false">
      <c r="A7" s="2" t="s">
        <v>378</v>
      </c>
      <c r="B7" s="2" t="s">
        <v>729</v>
      </c>
      <c r="C7" s="2" t="s">
        <v>730</v>
      </c>
      <c r="D7" s="2" t="s">
        <v>665</v>
      </c>
      <c r="E7" s="2" t="s">
        <v>436</v>
      </c>
      <c r="F7" s="2" t="s">
        <v>731</v>
      </c>
    </row>
    <row r="8" customFormat="false" ht="28.35" hidden="false" customHeight="false" outlineLevel="0" collapsed="false">
      <c r="A8" s="2" t="s">
        <v>732</v>
      </c>
      <c r="B8" s="2" t="s">
        <v>733</v>
      </c>
      <c r="C8" s="2" t="s">
        <v>734</v>
      </c>
      <c r="D8" s="2" t="s">
        <v>735</v>
      </c>
      <c r="E8" s="2" t="s">
        <v>436</v>
      </c>
      <c r="F8" s="2" t="s">
        <v>736</v>
      </c>
    </row>
    <row r="9" customFormat="false" ht="28.35" hidden="false" customHeight="false" outlineLevel="0" collapsed="false">
      <c r="A9" s="2" t="s">
        <v>732</v>
      </c>
      <c r="B9" s="2" t="s">
        <v>737</v>
      </c>
      <c r="C9" s="2" t="s">
        <v>738</v>
      </c>
      <c r="D9" s="2" t="s">
        <v>739</v>
      </c>
      <c r="E9" s="2" t="s">
        <v>436</v>
      </c>
      <c r="F9" s="2" t="s">
        <v>740</v>
      </c>
    </row>
    <row r="10" customFormat="false" ht="15" hidden="false" customHeight="false" outlineLevel="0" collapsed="false">
      <c r="A10" s="2" t="s">
        <v>732</v>
      </c>
      <c r="B10" s="2" t="s">
        <v>741</v>
      </c>
      <c r="C10" s="2" t="s">
        <v>742</v>
      </c>
      <c r="D10" s="2" t="s">
        <v>678</v>
      </c>
      <c r="E10" s="2" t="s">
        <v>436</v>
      </c>
      <c r="F10" s="2"/>
    </row>
    <row r="11" customFormat="false" ht="28.35" hidden="false" customHeight="false" outlineLevel="0" collapsed="false">
      <c r="A11" s="2" t="s">
        <v>732</v>
      </c>
      <c r="B11" s="2" t="s">
        <v>743</v>
      </c>
      <c r="C11" s="2" t="s">
        <v>744</v>
      </c>
      <c r="D11" s="2" t="s">
        <v>670</v>
      </c>
      <c r="E11" s="2" t="s">
        <v>436</v>
      </c>
      <c r="F11" s="2" t="s">
        <v>745</v>
      </c>
    </row>
    <row r="12" customFormat="false" ht="15" hidden="false" customHeight="false" outlineLevel="0" collapsed="false">
      <c r="A12" s="2" t="s">
        <v>746</v>
      </c>
      <c r="B12" s="2" t="s">
        <v>747</v>
      </c>
      <c r="C12" s="2" t="s">
        <v>748</v>
      </c>
      <c r="D12" s="2" t="s">
        <v>749</v>
      </c>
      <c r="E12" s="2" t="s">
        <v>436</v>
      </c>
      <c r="F12" s="2" t="s">
        <v>750</v>
      </c>
    </row>
    <row r="13" customFormat="false" ht="15" hidden="false" customHeight="false" outlineLevel="0" collapsed="false">
      <c r="A13" s="2" t="s">
        <v>746</v>
      </c>
      <c r="B13" s="2" t="s">
        <v>751</v>
      </c>
      <c r="C13" s="2" t="s">
        <v>752</v>
      </c>
      <c r="D13" s="2" t="s">
        <v>749</v>
      </c>
      <c r="E13" s="2" t="s">
        <v>436</v>
      </c>
      <c r="F13" s="2"/>
    </row>
    <row r="14" customFormat="false" ht="15" hidden="false" customHeight="false" outlineLevel="0" collapsed="false">
      <c r="A14" s="2" t="s">
        <v>746</v>
      </c>
      <c r="B14" s="2" t="s">
        <v>753</v>
      </c>
      <c r="C14" s="2" t="s">
        <v>752</v>
      </c>
      <c r="D14" s="2" t="s">
        <v>749</v>
      </c>
      <c r="E14" s="2" t="s">
        <v>436</v>
      </c>
      <c r="F14" s="2"/>
    </row>
    <row r="15" customFormat="false" ht="15" hidden="false" customHeight="false" outlineLevel="0" collapsed="false">
      <c r="A15" s="2" t="s">
        <v>746</v>
      </c>
      <c r="B15" s="2" t="s">
        <v>754</v>
      </c>
      <c r="C15" s="2" t="s">
        <v>755</v>
      </c>
      <c r="D15" s="2" t="s">
        <v>749</v>
      </c>
      <c r="E15" s="2" t="s">
        <v>436</v>
      </c>
      <c r="F15" s="2"/>
    </row>
    <row r="16" customFormat="false" ht="15" hidden="false" customHeight="false" outlineLevel="0" collapsed="false">
      <c r="A16" s="2" t="s">
        <v>756</v>
      </c>
      <c r="B16" s="2" t="s">
        <v>757</v>
      </c>
      <c r="C16" s="2" t="s">
        <v>758</v>
      </c>
      <c r="D16" s="2" t="s">
        <v>665</v>
      </c>
      <c r="E16" s="2" t="s">
        <v>436</v>
      </c>
      <c r="F16" s="2"/>
    </row>
    <row r="17" customFormat="false" ht="15" hidden="false" customHeight="false" outlineLevel="0" collapsed="false">
      <c r="A17" s="2" t="s">
        <v>759</v>
      </c>
      <c r="B17" s="2" t="s">
        <v>760</v>
      </c>
      <c r="C17" s="2" t="s">
        <v>761</v>
      </c>
      <c r="D17" s="2" t="s">
        <v>665</v>
      </c>
      <c r="E17" s="2" t="s">
        <v>436</v>
      </c>
      <c r="F17" s="2" t="s">
        <v>762</v>
      </c>
    </row>
  </sheetData>
  <autoFilter ref="A1:F17"/>
  <conditionalFormatting sqref="E2:E17">
    <cfRule type="expression" priority="2" aboveAverage="0" equalAverage="0" bottom="0" percent="0" rank="0" text="" dxfId="11">
      <formula>LEFT($E2,10)="CONFIRMADO"</formula>
    </cfRule>
    <cfRule type="expression" priority="3" aboveAverage="0" equalAverage="0" bottom="0" percent="0" rank="0" text="" dxfId="12">
      <formula>LEFT($E2,9)="CALCULADO"</formula>
    </cfRule>
    <cfRule type="expression" priority="4" aboveAverage="0" equalAverage="0" bottom="0" percent="0" rank="0" text="" dxfId="12">
      <formula>LEFT($E2,9)="CONTRASTE"</formula>
    </cfRule>
    <cfRule type="expression" priority="5" aboveAverage="0" equalAverage="0" bottom="0" percent="0" rank="0" text="" dxfId="13">
      <formula>LEFT($E2,9)="PENDIENTE"</formula>
    </cfRule>
    <cfRule type="expression" priority="6" aboveAverage="0" equalAverage="0" bottom="0" percent="0" rank="0" text="" dxfId="14">
      <formula>LEFT($E2,11)="DISCREPANCIA"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8" min="5" style="0" width="10"/>
    <col collapsed="false" customWidth="true" hidden="false" outlineLevel="0" max="9" min="9" style="0" width="8"/>
    <col collapsed="false" customWidth="true" hidden="false" outlineLevel="0" max="13" min="10" style="0" width="10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7"/>
    <col collapsed="false" customWidth="true" hidden="false" outlineLevel="0" max="18" min="18" style="0" width="40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1" min="21" style="0" width="20"/>
    <col collapsed="false" customWidth="true" hidden="false" outlineLevel="0" max="22" min="22" style="0" width="46"/>
  </cols>
  <sheetData>
    <row r="1" customFormat="false" ht="68.65" hidden="false" customHeight="false" outlineLevel="0" collapsed="false">
      <c r="A1" s="1" t="s">
        <v>413</v>
      </c>
      <c r="B1" s="1" t="s">
        <v>763</v>
      </c>
      <c r="C1" s="1" t="s">
        <v>764</v>
      </c>
      <c r="D1" s="1" t="s">
        <v>715</v>
      </c>
      <c r="E1" s="1" t="s">
        <v>765</v>
      </c>
      <c r="F1" s="1" t="s">
        <v>766</v>
      </c>
      <c r="G1" s="1" t="s">
        <v>767</v>
      </c>
      <c r="H1" s="1" t="s">
        <v>768</v>
      </c>
      <c r="I1" s="1" t="s">
        <v>376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424</v>
      </c>
      <c r="O1" s="1" t="s">
        <v>769</v>
      </c>
      <c r="P1" s="1" t="s">
        <v>770</v>
      </c>
      <c r="Q1" s="1" t="s">
        <v>746</v>
      </c>
      <c r="R1" s="1" t="s">
        <v>771</v>
      </c>
      <c r="S1" s="1" t="s">
        <v>772</v>
      </c>
      <c r="T1" s="1" t="s">
        <v>380</v>
      </c>
      <c r="U1" s="1" t="s">
        <v>96</v>
      </c>
      <c r="V1" s="1" t="s">
        <v>430</v>
      </c>
    </row>
    <row r="2" customFormat="false" ht="15" hidden="false" customHeight="false" outlineLevel="0" collapsed="false">
      <c r="A2" s="2" t="s">
        <v>773</v>
      </c>
      <c r="B2" s="2" t="s">
        <v>747</v>
      </c>
      <c r="C2" s="2" t="s">
        <v>774</v>
      </c>
      <c r="D2" s="2" t="s">
        <v>775</v>
      </c>
      <c r="E2" s="5" t="n">
        <v>1920</v>
      </c>
      <c r="F2" s="5" t="n">
        <v>1080</v>
      </c>
      <c r="G2" s="5" t="n">
        <v>2880</v>
      </c>
      <c r="H2" s="5" t="n">
        <v>1620</v>
      </c>
      <c r="I2" s="5" t="n">
        <v>8.25</v>
      </c>
      <c r="J2" s="2" t="n">
        <f aca="false">ROUND(G2*I2/1000,2)</f>
        <v>23.76</v>
      </c>
      <c r="K2" s="2" t="n">
        <f aca="false">ROUND(H2*I2/1000,2)</f>
        <v>13.37</v>
      </c>
      <c r="L2" s="5" t="n">
        <v>23.76</v>
      </c>
      <c r="M2" s="5" t="n">
        <v>13.37</v>
      </c>
      <c r="N2" s="7" t="n">
        <f aca="false">ROUND(L2-J2,2)</f>
        <v>0</v>
      </c>
      <c r="O2" s="2" t="n">
        <f aca="false">ROUND(SQRT(L2^2+M2^2),2)</f>
        <v>27.26</v>
      </c>
      <c r="P2" s="2" t="n">
        <f aca="false">ROUND(L2/M2,3)</f>
        <v>1.777</v>
      </c>
      <c r="Q2" s="5" t="n">
        <v>120</v>
      </c>
      <c r="R2" s="2" t="s">
        <v>776</v>
      </c>
      <c r="S2" s="2" t="s">
        <v>777</v>
      </c>
      <c r="T2" s="2" t="s">
        <v>778</v>
      </c>
      <c r="U2" s="2" t="s">
        <v>436</v>
      </c>
      <c r="V2" s="2"/>
    </row>
    <row r="3" customFormat="false" ht="15" hidden="false" customHeight="false" outlineLevel="0" collapsed="false">
      <c r="A3" s="2" t="s">
        <v>779</v>
      </c>
      <c r="B3" s="2" t="s">
        <v>747</v>
      </c>
      <c r="C3" s="2" t="s">
        <v>780</v>
      </c>
      <c r="D3" s="2" t="s">
        <v>775</v>
      </c>
      <c r="E3" s="5" t="n">
        <v>2048</v>
      </c>
      <c r="F3" s="5" t="n">
        <v>1152</v>
      </c>
      <c r="G3" s="5" t="n">
        <v>2880</v>
      </c>
      <c r="H3" s="5" t="n">
        <v>1620</v>
      </c>
      <c r="I3" s="5" t="n">
        <v>8.25</v>
      </c>
      <c r="J3" s="2" t="n">
        <f aca="false">ROUND(G3*I3/1000,2)</f>
        <v>23.76</v>
      </c>
      <c r="K3" s="2" t="n">
        <f aca="false">ROUND(H3*I3/1000,2)</f>
        <v>13.37</v>
      </c>
      <c r="L3" s="5" t="n">
        <v>23.76</v>
      </c>
      <c r="M3" s="5" t="n">
        <v>13.37</v>
      </c>
      <c r="N3" s="7" t="n">
        <f aca="false">ROUND(L3-J3,2)</f>
        <v>0</v>
      </c>
      <c r="O3" s="2" t="n">
        <f aca="false">ROUND(SQRT(L3^2+M3^2),2)</f>
        <v>27.26</v>
      </c>
      <c r="P3" s="2" t="n">
        <f aca="false">ROUND(L3/M3,3)</f>
        <v>1.777</v>
      </c>
      <c r="Q3" s="5" t="n">
        <v>120</v>
      </c>
      <c r="R3" s="2"/>
      <c r="S3" s="2" t="s">
        <v>777</v>
      </c>
      <c r="T3" s="2" t="s">
        <v>778</v>
      </c>
      <c r="U3" s="2" t="s">
        <v>436</v>
      </c>
      <c r="V3" s="2"/>
    </row>
    <row r="4" customFormat="false" ht="28.35" hidden="false" customHeight="false" outlineLevel="0" collapsed="false">
      <c r="A4" s="2" t="s">
        <v>781</v>
      </c>
      <c r="B4" s="2" t="s">
        <v>747</v>
      </c>
      <c r="C4" s="2" t="s">
        <v>782</v>
      </c>
      <c r="D4" s="2" t="s">
        <v>775</v>
      </c>
      <c r="E4" s="5" t="n">
        <v>3200</v>
      </c>
      <c r="F4" s="5" t="n">
        <v>1824</v>
      </c>
      <c r="G4" s="5" t="n">
        <v>3200</v>
      </c>
      <c r="H4" s="5" t="n">
        <v>1800</v>
      </c>
      <c r="I4" s="5" t="n">
        <v>8.25</v>
      </c>
      <c r="J4" s="2" t="n">
        <f aca="false">ROUND(G4*I4/1000,2)</f>
        <v>26.4</v>
      </c>
      <c r="K4" s="2" t="n">
        <f aca="false">ROUND(H4*I4/1000,2)</f>
        <v>14.85</v>
      </c>
      <c r="L4" s="5" t="n">
        <v>26.4</v>
      </c>
      <c r="M4" s="5" t="n">
        <v>14.85</v>
      </c>
      <c r="N4" s="7" t="n">
        <f aca="false">ROUND(L4-J4,2)</f>
        <v>0</v>
      </c>
      <c r="O4" s="2" t="n">
        <f aca="false">ROUND(SQRT(L4^2+M4^2),2)</f>
        <v>30.29</v>
      </c>
      <c r="P4" s="2" t="n">
        <f aca="false">ROUND(L4/M4,3)</f>
        <v>1.778</v>
      </c>
      <c r="Q4" s="5" t="n">
        <v>72</v>
      </c>
      <c r="R4" s="2" t="s">
        <v>783</v>
      </c>
      <c r="S4" s="2" t="s">
        <v>777</v>
      </c>
      <c r="T4" s="2" t="s">
        <v>778</v>
      </c>
      <c r="U4" s="2" t="s">
        <v>784</v>
      </c>
      <c r="V4" s="2" t="s">
        <v>785</v>
      </c>
    </row>
    <row r="5" customFormat="false" ht="28.35" hidden="false" customHeight="false" outlineLevel="0" collapsed="false">
      <c r="A5" s="2" t="s">
        <v>786</v>
      </c>
      <c r="B5" s="2" t="s">
        <v>747</v>
      </c>
      <c r="C5" s="2" t="s">
        <v>787</v>
      </c>
      <c r="D5" s="2" t="s">
        <v>775</v>
      </c>
      <c r="E5" s="5" t="n">
        <v>3840</v>
      </c>
      <c r="F5" s="5" t="n">
        <v>2160</v>
      </c>
      <c r="G5" s="5" t="n">
        <v>3200</v>
      </c>
      <c r="H5" s="5" t="n">
        <v>1800</v>
      </c>
      <c r="I5" s="5" t="n">
        <v>8.25</v>
      </c>
      <c r="J5" s="2" t="n">
        <f aca="false">ROUND(G5*I5/1000,2)</f>
        <v>26.4</v>
      </c>
      <c r="K5" s="2" t="n">
        <f aca="false">ROUND(H5*I5/1000,2)</f>
        <v>14.85</v>
      </c>
      <c r="L5" s="5" t="n">
        <v>26.4</v>
      </c>
      <c r="M5" s="5" t="n">
        <v>14.85</v>
      </c>
      <c r="N5" s="7" t="n">
        <f aca="false">ROUND(L5-J5,2)</f>
        <v>0</v>
      </c>
      <c r="O5" s="2" t="n">
        <f aca="false">ROUND(SQRT(L5^2+M5^2),2)</f>
        <v>30.29</v>
      </c>
      <c r="P5" s="2" t="n">
        <f aca="false">ROUND(L5/M5,3)</f>
        <v>1.778</v>
      </c>
      <c r="Q5" s="5" t="n">
        <v>50</v>
      </c>
      <c r="R5" s="2" t="s">
        <v>788</v>
      </c>
      <c r="S5" s="2" t="s">
        <v>777</v>
      </c>
      <c r="T5" s="2" t="s">
        <v>778</v>
      </c>
      <c r="U5" s="2" t="s">
        <v>436</v>
      </c>
      <c r="V5" s="2" t="s">
        <v>789</v>
      </c>
    </row>
    <row r="6" customFormat="false" ht="15" hidden="false" customHeight="false" outlineLevel="0" collapsed="false">
      <c r="A6" s="2" t="s">
        <v>790</v>
      </c>
      <c r="B6" s="2" t="s">
        <v>747</v>
      </c>
      <c r="C6" s="2" t="s">
        <v>791</v>
      </c>
      <c r="D6" s="2" t="s">
        <v>792</v>
      </c>
      <c r="E6" s="5" t="n">
        <v>2880</v>
      </c>
      <c r="F6" s="5" t="n">
        <v>1620</v>
      </c>
      <c r="G6" s="5" t="n">
        <v>2880</v>
      </c>
      <c r="H6" s="5" t="n">
        <v>1620</v>
      </c>
      <c r="I6" s="5" t="n">
        <v>8.25</v>
      </c>
      <c r="J6" s="2" t="n">
        <f aca="false">ROUND(G6*I6/1000,2)</f>
        <v>23.76</v>
      </c>
      <c r="K6" s="2" t="n">
        <f aca="false">ROUND(H6*I6/1000,2)</f>
        <v>13.37</v>
      </c>
      <c r="L6" s="5" t="n">
        <v>23.76</v>
      </c>
      <c r="M6" s="5" t="n">
        <v>13.37</v>
      </c>
      <c r="N6" s="7" t="n">
        <f aca="false">ROUND(L6-J6,2)</f>
        <v>0</v>
      </c>
      <c r="O6" s="2" t="n">
        <f aca="false">ROUND(SQRT(L6^2+M6^2),2)</f>
        <v>27.26</v>
      </c>
      <c r="P6" s="2" t="n">
        <f aca="false">ROUND(L6/M6,3)</f>
        <v>1.777</v>
      </c>
      <c r="Q6" s="5" t="n">
        <v>120</v>
      </c>
      <c r="R6" s="2"/>
      <c r="S6" s="2" t="s">
        <v>777</v>
      </c>
      <c r="T6" s="2" t="s">
        <v>778</v>
      </c>
      <c r="U6" s="2" t="s">
        <v>436</v>
      </c>
      <c r="V6" s="2" t="s">
        <v>793</v>
      </c>
    </row>
    <row r="7" customFormat="false" ht="28.35" hidden="false" customHeight="false" outlineLevel="0" collapsed="false">
      <c r="A7" s="2" t="s">
        <v>794</v>
      </c>
      <c r="B7" s="2" t="s">
        <v>747</v>
      </c>
      <c r="C7" s="2" t="s">
        <v>795</v>
      </c>
      <c r="D7" s="2" t="s">
        <v>792</v>
      </c>
      <c r="E7" s="5" t="n">
        <v>3168</v>
      </c>
      <c r="F7" s="5" t="n">
        <v>1782</v>
      </c>
      <c r="G7" s="5" t="n">
        <v>3168</v>
      </c>
      <c r="H7" s="5" t="n">
        <v>1782</v>
      </c>
      <c r="I7" s="5" t="n">
        <v>8.25</v>
      </c>
      <c r="J7" s="2" t="n">
        <f aca="false">ROUND(G7*I7/1000,2)</f>
        <v>26.14</v>
      </c>
      <c r="K7" s="2" t="n">
        <f aca="false">ROUND(H7*I7/1000,2)</f>
        <v>14.7</v>
      </c>
      <c r="L7" s="5" t="n">
        <v>26.14</v>
      </c>
      <c r="M7" s="5" t="n">
        <v>14.7</v>
      </c>
      <c r="N7" s="7" t="n">
        <f aca="false">ROUND(L7-J7,2)</f>
        <v>0</v>
      </c>
      <c r="O7" s="2" t="n">
        <f aca="false">ROUND(SQRT(L7^2+M7^2),2)</f>
        <v>29.99</v>
      </c>
      <c r="P7" s="2" t="n">
        <f aca="false">ROUND(L7/M7,3)</f>
        <v>1.778</v>
      </c>
      <c r="Q7" s="5" t="n">
        <v>120</v>
      </c>
      <c r="R7" s="2" t="s">
        <v>796</v>
      </c>
      <c r="S7" s="2" t="s">
        <v>777</v>
      </c>
      <c r="T7" s="2" t="s">
        <v>797</v>
      </c>
      <c r="U7" s="2" t="s">
        <v>436</v>
      </c>
      <c r="V7" s="2" t="s">
        <v>798</v>
      </c>
    </row>
    <row r="8" customFormat="false" ht="28.35" hidden="false" customHeight="false" outlineLevel="0" collapsed="false">
      <c r="A8" s="2" t="s">
        <v>799</v>
      </c>
      <c r="B8" s="2" t="s">
        <v>751</v>
      </c>
      <c r="C8" s="2" t="s">
        <v>800</v>
      </c>
      <c r="D8" s="2" t="s">
        <v>775</v>
      </c>
      <c r="E8" s="5" t="n">
        <v>2048</v>
      </c>
      <c r="F8" s="5" t="n">
        <v>858</v>
      </c>
      <c r="G8" s="5" t="n">
        <v>2560</v>
      </c>
      <c r="H8" s="5" t="n">
        <v>2146</v>
      </c>
      <c r="I8" s="5" t="n">
        <v>8.25</v>
      </c>
      <c r="J8" s="2" t="n">
        <f aca="false">ROUND(G8*I8/1000,2)</f>
        <v>21.12</v>
      </c>
      <c r="K8" s="2" t="n">
        <f aca="false">ROUND(H8*I8/1000,2)</f>
        <v>17.7</v>
      </c>
      <c r="L8" s="5" t="n">
        <v>21.12</v>
      </c>
      <c r="M8" s="5" t="n">
        <v>17.7</v>
      </c>
      <c r="N8" s="7" t="n">
        <f aca="false">ROUND(L8-J8,2)</f>
        <v>0</v>
      </c>
      <c r="O8" s="2" t="n">
        <f aca="false">ROUND(SQRT(L8^2+M8^2),2)</f>
        <v>27.56</v>
      </c>
      <c r="P8" s="2" t="n">
        <f aca="false">ROUND(L8/M8,3)</f>
        <v>1.193</v>
      </c>
      <c r="Q8" s="5" t="n">
        <v>96</v>
      </c>
      <c r="R8" s="2" t="s">
        <v>801</v>
      </c>
      <c r="S8" s="2" t="s">
        <v>802</v>
      </c>
      <c r="T8" s="2" t="s">
        <v>803</v>
      </c>
      <c r="U8" s="2" t="s">
        <v>436</v>
      </c>
      <c r="V8" s="2" t="s">
        <v>804</v>
      </c>
    </row>
    <row r="9" customFormat="false" ht="28.35" hidden="false" customHeight="false" outlineLevel="0" collapsed="false">
      <c r="A9" s="2" t="s">
        <v>805</v>
      </c>
      <c r="B9" s="2" t="s">
        <v>751</v>
      </c>
      <c r="C9" s="2" t="s">
        <v>806</v>
      </c>
      <c r="D9" s="2" t="s">
        <v>775</v>
      </c>
      <c r="E9" s="5" t="n">
        <v>4096</v>
      </c>
      <c r="F9" s="5" t="n">
        <v>1716</v>
      </c>
      <c r="G9" s="5" t="n">
        <v>2560</v>
      </c>
      <c r="H9" s="5" t="n">
        <v>2146</v>
      </c>
      <c r="I9" s="5" t="n">
        <v>8.25</v>
      </c>
      <c r="J9" s="2" t="n">
        <f aca="false">ROUND(G9*I9/1000,2)</f>
        <v>21.12</v>
      </c>
      <c r="K9" s="2" t="n">
        <f aca="false">ROUND(H9*I9/1000,2)</f>
        <v>17.7</v>
      </c>
      <c r="L9" s="5" t="n">
        <v>21.12</v>
      </c>
      <c r="M9" s="5" t="n">
        <v>17.7</v>
      </c>
      <c r="N9" s="7" t="n">
        <f aca="false">ROUND(L9-J9,2)</f>
        <v>0</v>
      </c>
      <c r="O9" s="2" t="n">
        <f aca="false">ROUND(SQRT(L9^2+M9^2),2)</f>
        <v>27.56</v>
      </c>
      <c r="P9" s="2" t="n">
        <f aca="false">ROUND(L9/M9,3)</f>
        <v>1.193</v>
      </c>
      <c r="Q9" s="5" t="n">
        <v>60</v>
      </c>
      <c r="R9" s="2" t="s">
        <v>807</v>
      </c>
      <c r="S9" s="2" t="s">
        <v>802</v>
      </c>
      <c r="T9" s="2" t="s">
        <v>803</v>
      </c>
      <c r="U9" s="2" t="s">
        <v>436</v>
      </c>
      <c r="V9" s="2"/>
    </row>
    <row r="10" customFormat="false" ht="55.2" hidden="false" customHeight="false" outlineLevel="0" collapsed="false">
      <c r="A10" s="2" t="s">
        <v>808</v>
      </c>
      <c r="B10" s="2" t="s">
        <v>751</v>
      </c>
      <c r="C10" s="2" t="s">
        <v>809</v>
      </c>
      <c r="D10" s="2" t="s">
        <v>792</v>
      </c>
      <c r="E10" s="5" t="n">
        <v>2592</v>
      </c>
      <c r="F10" s="5" t="n">
        <v>2160</v>
      </c>
      <c r="G10" s="5" t="n">
        <v>2578</v>
      </c>
      <c r="H10" s="5" t="n">
        <v>2160</v>
      </c>
      <c r="I10" s="5" t="n">
        <v>8.25</v>
      </c>
      <c r="J10" s="2" t="n">
        <f aca="false">ROUND(G10*I10/1000,2)</f>
        <v>21.27</v>
      </c>
      <c r="K10" s="2" t="n">
        <f aca="false">ROUND(H10*I10/1000,2)</f>
        <v>17.82</v>
      </c>
      <c r="L10" s="5" t="n">
        <v>21.38</v>
      </c>
      <c r="M10" s="5" t="n">
        <v>17.82</v>
      </c>
      <c r="N10" s="7" t="n">
        <f aca="false">ROUND(L10-J10,2)</f>
        <v>0.11</v>
      </c>
      <c r="O10" s="2" t="n">
        <f aca="false">ROUND(SQRT(L10^2+M10^2),2)</f>
        <v>27.83</v>
      </c>
      <c r="P10" s="2" t="n">
        <f aca="false">ROUND(L10/M10,3)</f>
        <v>1.2</v>
      </c>
      <c r="Q10" s="5" t="n">
        <v>96</v>
      </c>
      <c r="R10" s="2"/>
      <c r="S10" s="2" t="s">
        <v>802</v>
      </c>
      <c r="T10" s="2" t="s">
        <v>778</v>
      </c>
      <c r="U10" s="2" t="s">
        <v>784</v>
      </c>
      <c r="V10" s="2" t="s">
        <v>810</v>
      </c>
    </row>
    <row r="11" customFormat="false" ht="28.35" hidden="false" customHeight="false" outlineLevel="0" collapsed="false">
      <c r="A11" s="2" t="s">
        <v>811</v>
      </c>
      <c r="B11" s="2" t="s">
        <v>753</v>
      </c>
      <c r="C11" s="2" t="s">
        <v>812</v>
      </c>
      <c r="D11" s="2" t="s">
        <v>775</v>
      </c>
      <c r="E11" s="5" t="n">
        <v>2944</v>
      </c>
      <c r="F11" s="5" t="n">
        <v>2176</v>
      </c>
      <c r="G11" s="5" t="n">
        <v>2880</v>
      </c>
      <c r="H11" s="5" t="n">
        <v>2160</v>
      </c>
      <c r="I11" s="5" t="n">
        <v>8.25</v>
      </c>
      <c r="J11" s="2" t="n">
        <f aca="false">ROUND(G11*I11/1000,2)</f>
        <v>23.76</v>
      </c>
      <c r="K11" s="2" t="n">
        <f aca="false">ROUND(H11*I11/1000,2)</f>
        <v>17.82</v>
      </c>
      <c r="L11" s="5" t="n">
        <v>23.76</v>
      </c>
      <c r="M11" s="5" t="n">
        <v>17.82</v>
      </c>
      <c r="N11" s="7" t="n">
        <f aca="false">ROUND(L11-J11,2)</f>
        <v>0</v>
      </c>
      <c r="O11" s="2" t="n">
        <f aca="false">ROUND(SQRT(L11^2+M11^2),2)</f>
        <v>29.7</v>
      </c>
      <c r="P11" s="2" t="n">
        <f aca="false">ROUND(L11/M11,3)</f>
        <v>1.333</v>
      </c>
      <c r="Q11" s="5" t="n">
        <v>60</v>
      </c>
      <c r="R11" s="2" t="s">
        <v>813</v>
      </c>
      <c r="S11" s="2" t="s">
        <v>777</v>
      </c>
      <c r="T11" s="2" t="s">
        <v>778</v>
      </c>
      <c r="U11" s="2" t="s">
        <v>784</v>
      </c>
      <c r="V11" s="2" t="s">
        <v>814</v>
      </c>
    </row>
    <row r="12" customFormat="false" ht="28.35" hidden="false" customHeight="false" outlineLevel="0" collapsed="false">
      <c r="A12" s="2" t="s">
        <v>815</v>
      </c>
      <c r="B12" s="2" t="s">
        <v>753</v>
      </c>
      <c r="C12" s="2" t="s">
        <v>791</v>
      </c>
      <c r="D12" s="2" t="s">
        <v>792</v>
      </c>
      <c r="E12" s="5" t="n">
        <v>2944</v>
      </c>
      <c r="F12" s="5" t="n">
        <v>2176</v>
      </c>
      <c r="G12" s="5" t="n">
        <v>2880</v>
      </c>
      <c r="H12" s="5" t="n">
        <v>2160</v>
      </c>
      <c r="I12" s="5" t="n">
        <v>8.25</v>
      </c>
      <c r="J12" s="2" t="n">
        <f aca="false">ROUND(G12*I12/1000,2)</f>
        <v>23.76</v>
      </c>
      <c r="K12" s="2" t="n">
        <f aca="false">ROUND(H12*I12/1000,2)</f>
        <v>17.82</v>
      </c>
      <c r="L12" s="5" t="n">
        <v>23.76</v>
      </c>
      <c r="M12" s="5" t="n">
        <v>17.82</v>
      </c>
      <c r="N12" s="7" t="n">
        <f aca="false">ROUND(L12-J12,2)</f>
        <v>0</v>
      </c>
      <c r="O12" s="2" t="n">
        <f aca="false">ROUND(SQRT(L12^2+M12^2),2)</f>
        <v>29.7</v>
      </c>
      <c r="P12" s="2" t="n">
        <f aca="false">ROUND(L12/M12,3)</f>
        <v>1.333</v>
      </c>
      <c r="Q12" s="5" t="n">
        <v>96</v>
      </c>
      <c r="R12" s="2"/>
      <c r="S12" s="2" t="s">
        <v>816</v>
      </c>
      <c r="T12" s="2" t="s">
        <v>778</v>
      </c>
      <c r="U12" s="2" t="s">
        <v>436</v>
      </c>
      <c r="V12" s="2" t="s">
        <v>793</v>
      </c>
    </row>
    <row r="13" customFormat="false" ht="28.35" hidden="false" customHeight="false" outlineLevel="0" collapsed="false">
      <c r="A13" s="2" t="s">
        <v>817</v>
      </c>
      <c r="B13" s="2" t="s">
        <v>754</v>
      </c>
      <c r="C13" s="2" t="s">
        <v>818</v>
      </c>
      <c r="D13" s="2" t="s">
        <v>775</v>
      </c>
      <c r="E13" s="5" t="n">
        <v>3456</v>
      </c>
      <c r="F13" s="5" t="n">
        <v>2202</v>
      </c>
      <c r="G13" s="5" t="n">
        <v>3424</v>
      </c>
      <c r="H13" s="5" t="n">
        <v>2202</v>
      </c>
      <c r="I13" s="5" t="n">
        <v>8.25</v>
      </c>
      <c r="J13" s="2" t="n">
        <f aca="false">ROUND(G13*I13/1000,2)</f>
        <v>28.25</v>
      </c>
      <c r="K13" s="2" t="n">
        <f aca="false">ROUND(H13*I13/1000,2)</f>
        <v>18.17</v>
      </c>
      <c r="L13" s="5" t="n">
        <v>28.25</v>
      </c>
      <c r="M13" s="5" t="n">
        <v>18.17</v>
      </c>
      <c r="N13" s="7" t="n">
        <f aca="false">ROUND(L13-J13,2)</f>
        <v>0</v>
      </c>
      <c r="O13" s="2" t="n">
        <f aca="false">ROUND(SQRT(L13^2+M13^2),2)</f>
        <v>33.59</v>
      </c>
      <c r="P13" s="2" t="n">
        <f aca="false">ROUND(L13/M13,3)</f>
        <v>1.555</v>
      </c>
      <c r="Q13" s="5" t="n">
        <v>60</v>
      </c>
      <c r="R13" s="2" t="s">
        <v>819</v>
      </c>
      <c r="S13" s="2" t="s">
        <v>820</v>
      </c>
      <c r="T13" s="2" t="s">
        <v>797</v>
      </c>
      <c r="U13" s="2" t="s">
        <v>784</v>
      </c>
      <c r="V13" s="2" t="s">
        <v>821</v>
      </c>
    </row>
    <row r="14" customFormat="false" ht="28.35" hidden="false" customHeight="false" outlineLevel="0" collapsed="false">
      <c r="A14" s="2" t="s">
        <v>822</v>
      </c>
      <c r="B14" s="2" t="s">
        <v>754</v>
      </c>
      <c r="C14" s="2" t="s">
        <v>823</v>
      </c>
      <c r="D14" s="2" t="s">
        <v>775</v>
      </c>
      <c r="E14" s="5" t="n">
        <v>4096</v>
      </c>
      <c r="F14" s="5" t="n">
        <v>2636</v>
      </c>
      <c r="G14" s="5" t="n">
        <v>3414</v>
      </c>
      <c r="H14" s="5" t="n">
        <v>2198</v>
      </c>
      <c r="I14" s="5" t="n">
        <v>8.25</v>
      </c>
      <c r="J14" s="2" t="n">
        <f aca="false">ROUND(G14*I14/1000,2)</f>
        <v>28.17</v>
      </c>
      <c r="K14" s="2" t="n">
        <f aca="false">ROUND(H14*I14/1000,2)</f>
        <v>18.13</v>
      </c>
      <c r="L14" s="5" t="n">
        <v>28.17</v>
      </c>
      <c r="M14" s="5" t="n">
        <v>18.13</v>
      </c>
      <c r="N14" s="7" t="n">
        <f aca="false">ROUND(L14-J14,2)</f>
        <v>0</v>
      </c>
      <c r="O14" s="2" t="n">
        <f aca="false">ROUND(SQRT(L14^2+M14^2),2)</f>
        <v>33.5</v>
      </c>
      <c r="P14" s="2" t="n">
        <f aca="false">ROUND(L14/M14,3)</f>
        <v>1.554</v>
      </c>
      <c r="Q14" s="5" t="n">
        <v>48</v>
      </c>
      <c r="R14" s="2" t="s">
        <v>824</v>
      </c>
      <c r="S14" s="2" t="s">
        <v>825</v>
      </c>
      <c r="T14" s="2" t="s">
        <v>778</v>
      </c>
      <c r="U14" s="2" t="s">
        <v>436</v>
      </c>
      <c r="V14" s="2" t="s">
        <v>826</v>
      </c>
    </row>
    <row r="15" customFormat="false" ht="28.35" hidden="false" customHeight="false" outlineLevel="0" collapsed="false">
      <c r="A15" s="2" t="s">
        <v>827</v>
      </c>
      <c r="B15" s="2" t="s">
        <v>754</v>
      </c>
      <c r="C15" s="2" t="s">
        <v>828</v>
      </c>
      <c r="D15" s="2" t="s">
        <v>792</v>
      </c>
      <c r="E15" s="5" t="n">
        <v>3424</v>
      </c>
      <c r="F15" s="5" t="n">
        <v>2202</v>
      </c>
      <c r="G15" s="5" t="n">
        <v>3424</v>
      </c>
      <c r="H15" s="5" t="n">
        <v>2202</v>
      </c>
      <c r="I15" s="5" t="n">
        <v>8.25</v>
      </c>
      <c r="J15" s="2" t="n">
        <f aca="false">ROUND(G15*I15/1000,2)</f>
        <v>28.25</v>
      </c>
      <c r="K15" s="2" t="n">
        <f aca="false">ROUND(H15*I15/1000,2)</f>
        <v>18.17</v>
      </c>
      <c r="L15" s="5" t="n">
        <v>28.25</v>
      </c>
      <c r="M15" s="5" t="n">
        <v>18.17</v>
      </c>
      <c r="N15" s="7" t="n">
        <f aca="false">ROUND(L15-J15,2)</f>
        <v>0</v>
      </c>
      <c r="O15" s="2" t="n">
        <f aca="false">ROUND(SQRT(L15^2+M15^2),2)</f>
        <v>33.59</v>
      </c>
      <c r="P15" s="2" t="n">
        <f aca="false">ROUND(L15/M15,3)</f>
        <v>1.555</v>
      </c>
      <c r="Q15" s="5" t="n">
        <v>90</v>
      </c>
      <c r="R15" s="2" t="s">
        <v>829</v>
      </c>
      <c r="S15" s="2" t="s">
        <v>820</v>
      </c>
      <c r="T15" s="2" t="s">
        <v>778</v>
      </c>
      <c r="U15" s="2" t="s">
        <v>436</v>
      </c>
      <c r="V15" s="2" t="s">
        <v>830</v>
      </c>
    </row>
    <row r="17" customFormat="false" ht="31.5" hidden="false" customHeight="true" outlineLevel="0" collapsed="false">
      <c r="A17" s="2" t="s">
        <v>411</v>
      </c>
      <c r="B17" s="6" t="s">
        <v>831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</sheetData>
  <autoFilter ref="A1:V15"/>
  <mergeCells count="1">
    <mergeCell ref="B17:V17"/>
  </mergeCells>
  <conditionalFormatting sqref="U2:U15">
    <cfRule type="expression" priority="2" aboveAverage="0" equalAverage="0" bottom="0" percent="0" rank="0" text="" dxfId="11">
      <formula>LEFT($U2,10)="CONFIRMADO"</formula>
    </cfRule>
    <cfRule type="expression" priority="3" aboveAverage="0" equalAverage="0" bottom="0" percent="0" rank="0" text="" dxfId="12">
      <formula>LEFT($U2,9)="CALCULADO"</formula>
    </cfRule>
    <cfRule type="expression" priority="4" aboveAverage="0" equalAverage="0" bottom="0" percent="0" rank="0" text="" dxfId="12">
      <formula>LEFT($U2,9)="CONTRASTE"</formula>
    </cfRule>
    <cfRule type="expression" priority="5" aboveAverage="0" equalAverage="0" bottom="0" percent="0" rank="0" text="" dxfId="13">
      <formula>LEFT($U2,9)="PENDIENTE"</formula>
    </cfRule>
    <cfRule type="expression" priority="6" aboveAverage="0" equalAverage="0" bottom="0" percent="0" rank="0" text="" dxfId="14">
      <formula>LEFT($U2,11)="DISCREPANCIA"</formula>
    </cfRule>
  </conditionalFormatting>
  <conditionalFormatting sqref="N2:N15">
    <cfRule type="expression" priority="7" aboveAverage="0" equalAverage="0" bottom="0" percent="0" rank="0" text="" dxfId="13">
      <formula>ABS($N2)&gt;0.1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8.35" hidden="false" customHeight="false" outlineLevel="0" collapsed="false">
      <c r="A1" s="1" t="s">
        <v>225</v>
      </c>
      <c r="B1" s="1" t="s">
        <v>832</v>
      </c>
      <c r="C1" s="1" t="s">
        <v>833</v>
      </c>
      <c r="D1" s="1" t="s">
        <v>792</v>
      </c>
      <c r="E1" s="1" t="s">
        <v>775</v>
      </c>
      <c r="F1" s="1" t="s">
        <v>743</v>
      </c>
      <c r="G1" s="1" t="s">
        <v>834</v>
      </c>
      <c r="H1" s="1" t="s">
        <v>835</v>
      </c>
      <c r="I1" s="1" t="s">
        <v>380</v>
      </c>
      <c r="J1" s="1" t="s">
        <v>96</v>
      </c>
      <c r="K1" s="1" t="s">
        <v>430</v>
      </c>
    </row>
    <row r="2" customFormat="false" ht="41.75" hidden="false" customHeight="false" outlineLevel="0" collapsed="false">
      <c r="A2" s="2" t="s">
        <v>836</v>
      </c>
      <c r="B2" s="5" t="n">
        <v>2000</v>
      </c>
      <c r="C2" s="2" t="s">
        <v>837</v>
      </c>
      <c r="D2" s="2" t="s">
        <v>777</v>
      </c>
      <c r="E2" s="2" t="s">
        <v>777</v>
      </c>
      <c r="F2" s="2" t="s">
        <v>777</v>
      </c>
      <c r="G2" s="2" t="s">
        <v>838</v>
      </c>
      <c r="H2" s="2" t="s">
        <v>839</v>
      </c>
      <c r="I2" s="2" t="s">
        <v>840</v>
      </c>
      <c r="J2" s="2" t="s">
        <v>436</v>
      </c>
      <c r="K2" s="2" t="s">
        <v>841</v>
      </c>
    </row>
    <row r="3" customFormat="false" ht="28.35" hidden="false" customHeight="false" outlineLevel="0" collapsed="false">
      <c r="A3" s="2" t="s">
        <v>842</v>
      </c>
      <c r="B3" s="5" t="n">
        <v>1000</v>
      </c>
      <c r="C3" s="2" t="s">
        <v>837</v>
      </c>
      <c r="D3" s="2" t="s">
        <v>777</v>
      </c>
      <c r="E3" s="2" t="s">
        <v>777</v>
      </c>
      <c r="F3" s="2" t="s">
        <v>777</v>
      </c>
      <c r="G3" s="2" t="s">
        <v>838</v>
      </c>
      <c r="H3" s="2" t="s">
        <v>477</v>
      </c>
      <c r="I3" s="2" t="s">
        <v>840</v>
      </c>
      <c r="J3" s="2" t="s">
        <v>436</v>
      </c>
      <c r="K3" s="2"/>
    </row>
    <row r="4" customFormat="false" ht="28.35" hidden="false" customHeight="false" outlineLevel="0" collapsed="false">
      <c r="A4" s="2" t="s">
        <v>843</v>
      </c>
      <c r="B4" s="5" t="n">
        <v>512</v>
      </c>
      <c r="C4" s="2" t="s">
        <v>844</v>
      </c>
      <c r="D4" s="2" t="s">
        <v>777</v>
      </c>
      <c r="E4" s="2" t="s">
        <v>777</v>
      </c>
      <c r="F4" s="2" t="s">
        <v>777</v>
      </c>
      <c r="G4" s="2" t="s">
        <v>845</v>
      </c>
      <c r="H4" s="2" t="s">
        <v>846</v>
      </c>
      <c r="I4" s="2" t="s">
        <v>847</v>
      </c>
      <c r="J4" s="2" t="s">
        <v>436</v>
      </c>
      <c r="K4" s="2" t="s">
        <v>848</v>
      </c>
    </row>
    <row r="5" customFormat="false" ht="28.35" hidden="false" customHeight="false" outlineLevel="0" collapsed="false">
      <c r="A5" s="2" t="s">
        <v>849</v>
      </c>
      <c r="B5" s="5" t="n">
        <v>256</v>
      </c>
      <c r="C5" s="2" t="s">
        <v>850</v>
      </c>
      <c r="D5" s="2" t="s">
        <v>851</v>
      </c>
      <c r="E5" s="2" t="s">
        <v>777</v>
      </c>
      <c r="F5" s="2" t="s">
        <v>851</v>
      </c>
      <c r="G5" s="2" t="s">
        <v>21</v>
      </c>
      <c r="H5" s="2" t="s">
        <v>852</v>
      </c>
      <c r="I5" s="2" t="s">
        <v>853</v>
      </c>
      <c r="J5" s="2" t="s">
        <v>436</v>
      </c>
      <c r="K5" s="2" t="s">
        <v>854</v>
      </c>
    </row>
    <row r="6" customFormat="false" ht="15" hidden="false" customHeight="false" outlineLevel="0" collapsed="false">
      <c r="A6" s="2" t="s">
        <v>855</v>
      </c>
      <c r="B6" s="5" t="n">
        <v>128</v>
      </c>
      <c r="C6" s="2" t="s">
        <v>856</v>
      </c>
      <c r="D6" s="2" t="s">
        <v>851</v>
      </c>
      <c r="E6" s="2" t="s">
        <v>777</v>
      </c>
      <c r="F6" s="2" t="s">
        <v>851</v>
      </c>
      <c r="G6" s="2" t="s">
        <v>21</v>
      </c>
      <c r="H6" s="2" t="s">
        <v>857</v>
      </c>
      <c r="I6" s="2" t="s">
        <v>847</v>
      </c>
      <c r="J6" s="2" t="s">
        <v>436</v>
      </c>
      <c r="K6" s="2" t="s">
        <v>858</v>
      </c>
    </row>
    <row r="7" customFormat="false" ht="15" hidden="false" customHeight="false" outlineLevel="0" collapsed="false">
      <c r="A7" s="2" t="s">
        <v>859</v>
      </c>
      <c r="B7" s="5" t="n">
        <v>64</v>
      </c>
      <c r="C7" s="2" t="s">
        <v>856</v>
      </c>
      <c r="D7" s="2" t="s">
        <v>851</v>
      </c>
      <c r="E7" s="2" t="s">
        <v>777</v>
      </c>
      <c r="F7" s="2" t="s">
        <v>851</v>
      </c>
      <c r="G7" s="2" t="s">
        <v>21</v>
      </c>
      <c r="H7" s="2" t="s">
        <v>857</v>
      </c>
      <c r="I7" s="2" t="s">
        <v>847</v>
      </c>
      <c r="J7" s="2" t="s">
        <v>436</v>
      </c>
      <c r="K7" s="2" t="s">
        <v>860</v>
      </c>
    </row>
    <row r="9" customFormat="false" ht="15" hidden="false" customHeight="false" outlineLevel="0" collapsed="false">
      <c r="A9" s="10" t="s">
        <v>861</v>
      </c>
    </row>
    <row r="10" customFormat="false" ht="41.75" hidden="false" customHeight="false" outlineLevel="0" collapsed="false">
      <c r="A10" s="1" t="s">
        <v>862</v>
      </c>
      <c r="B10" s="1" t="s">
        <v>863</v>
      </c>
      <c r="C10" s="1" t="s">
        <v>864</v>
      </c>
      <c r="D10" s="1" t="s">
        <v>865</v>
      </c>
      <c r="E10" s="1" t="s">
        <v>866</v>
      </c>
      <c r="F10" s="1" t="s">
        <v>867</v>
      </c>
      <c r="G10" s="1" t="s">
        <v>868</v>
      </c>
      <c r="H10" s="1" t="s">
        <v>869</v>
      </c>
      <c r="I10" s="1" t="s">
        <v>870</v>
      </c>
      <c r="J10" s="1" t="s">
        <v>871</v>
      </c>
      <c r="K10" s="1" t="s">
        <v>872</v>
      </c>
      <c r="L10" s="1" t="s">
        <v>873</v>
      </c>
    </row>
    <row r="11" customFormat="false" ht="28.35" hidden="false" customHeight="false" outlineLevel="0" collapsed="false">
      <c r="A11" s="2" t="s">
        <v>874</v>
      </c>
      <c r="B11" s="2" t="s">
        <v>875</v>
      </c>
      <c r="C11" s="2" t="s">
        <v>876</v>
      </c>
      <c r="D11" s="11" t="n">
        <v>0.0451388888888889</v>
      </c>
      <c r="E11" s="11" t="n">
        <v>0.0854166666666667</v>
      </c>
      <c r="F11" s="11" t="n">
        <v>0.179166666666667</v>
      </c>
      <c r="G11" s="11" t="n">
        <v>0.168055555555556</v>
      </c>
      <c r="H11" s="11" t="n">
        <v>0.336111111111111</v>
      </c>
      <c r="I11" s="11" t="n">
        <v>0.672916666666667</v>
      </c>
      <c r="J11" s="12" t="n">
        <f aca="false">IF(C11="ARRIRAW",ROUND(2000000/(I11*1440*60),0),ROUND(256000/(F11*1440*60),0))</f>
        <v>17</v>
      </c>
      <c r="K11" s="12" t="n">
        <f aca="false">J11*8</f>
        <v>136</v>
      </c>
      <c r="L11" s="12" t="n">
        <f aca="false">ROUND(J11*3600/1000,0)</f>
        <v>61</v>
      </c>
    </row>
    <row r="12" customFormat="false" ht="28.35" hidden="false" customHeight="false" outlineLevel="0" collapsed="false">
      <c r="A12" s="2" t="s">
        <v>877</v>
      </c>
      <c r="B12" s="2" t="s">
        <v>875</v>
      </c>
      <c r="C12" s="2" t="s">
        <v>878</v>
      </c>
      <c r="D12" s="11" t="n">
        <v>0.0298611111111111</v>
      </c>
      <c r="E12" s="11" t="n">
        <v>0.0569444444444444</v>
      </c>
      <c r="F12" s="11" t="n">
        <v>0.119444444444445</v>
      </c>
      <c r="G12" s="11" t="n">
        <v>0.1125</v>
      </c>
      <c r="H12" s="11" t="n">
        <v>0.224305555555556</v>
      </c>
      <c r="I12" s="11" t="n">
        <v>0.448611111111111</v>
      </c>
      <c r="J12" s="12" t="n">
        <f aca="false">IF(C12="ARRIRAW",ROUND(2000000/(I12*1440*60),0),ROUND(256000/(F12*1440*60),0))</f>
        <v>25</v>
      </c>
      <c r="K12" s="12" t="n">
        <f aca="false">J12*8</f>
        <v>200</v>
      </c>
      <c r="L12" s="12" t="n">
        <f aca="false">ROUND(J12*3600/1000,0)</f>
        <v>90</v>
      </c>
    </row>
    <row r="13" customFormat="false" ht="28.35" hidden="false" customHeight="false" outlineLevel="0" collapsed="false">
      <c r="A13" s="2" t="s">
        <v>879</v>
      </c>
      <c r="B13" s="2" t="s">
        <v>875</v>
      </c>
      <c r="C13" s="2" t="s">
        <v>880</v>
      </c>
      <c r="D13" s="11" t="n">
        <v>0.0201388888888889</v>
      </c>
      <c r="E13" s="11" t="n">
        <v>0.0381944444444445</v>
      </c>
      <c r="F13" s="11" t="n">
        <v>0.0798611111111111</v>
      </c>
      <c r="G13" s="11" t="n">
        <v>0.075</v>
      </c>
      <c r="H13" s="11" t="n">
        <v>0.149305555555556</v>
      </c>
      <c r="I13" s="11" t="n">
        <v>0.299305555555556</v>
      </c>
      <c r="J13" s="12" t="n">
        <f aca="false">IF(C13="ARRIRAW",ROUND(2000000/(I13*1440*60),0),ROUND(256000/(F13*1440*60),0))</f>
        <v>37</v>
      </c>
      <c r="K13" s="12" t="n">
        <f aca="false">J13*8</f>
        <v>296</v>
      </c>
      <c r="L13" s="12" t="n">
        <f aca="false">ROUND(J13*3600/1000,0)</f>
        <v>133</v>
      </c>
    </row>
    <row r="14" customFormat="false" ht="28.35" hidden="false" customHeight="false" outlineLevel="0" collapsed="false">
      <c r="A14" s="2" t="s">
        <v>881</v>
      </c>
      <c r="B14" s="2" t="s">
        <v>875</v>
      </c>
      <c r="C14" s="2" t="s">
        <v>882</v>
      </c>
      <c r="D14" s="11" t="n">
        <v>0.0131944444444444</v>
      </c>
      <c r="E14" s="11" t="n">
        <v>0.025</v>
      </c>
      <c r="F14" s="11" t="n">
        <v>0.0534722222222222</v>
      </c>
      <c r="G14" s="11" t="n">
        <v>0.05</v>
      </c>
      <c r="H14" s="11" t="n">
        <v>0.1</v>
      </c>
      <c r="I14" s="11" t="n">
        <v>0.199305555555556</v>
      </c>
      <c r="J14" s="12" t="n">
        <f aca="false">IF(C14="ARRIRAW",ROUND(2000000/(I14*1440*60),0),ROUND(256000/(F14*1440*60),0))</f>
        <v>55</v>
      </c>
      <c r="K14" s="12" t="n">
        <f aca="false">J14*8</f>
        <v>440</v>
      </c>
      <c r="L14" s="12" t="n">
        <f aca="false">ROUND(J14*3600/1000,0)</f>
        <v>198</v>
      </c>
    </row>
    <row r="15" customFormat="false" ht="28.35" hidden="false" customHeight="false" outlineLevel="0" collapsed="false">
      <c r="A15" s="2" t="s">
        <v>883</v>
      </c>
      <c r="B15" s="2" t="s">
        <v>884</v>
      </c>
      <c r="C15" s="2" t="s">
        <v>876</v>
      </c>
      <c r="D15" s="11" t="n">
        <v>0.0395833333333333</v>
      </c>
      <c r="E15" s="11" t="n">
        <v>0.075</v>
      </c>
      <c r="F15" s="11" t="n">
        <v>0.156944444444444</v>
      </c>
      <c r="G15" s="11" t="n">
        <v>0.147222222222222</v>
      </c>
      <c r="H15" s="11" t="n">
        <v>0.294444444444445</v>
      </c>
      <c r="I15" s="11" t="n">
        <v>0.588888888888889</v>
      </c>
      <c r="J15" s="12" t="n">
        <f aca="false">IF(C15="ARRIRAW",ROUND(2000000/(I15*1440*60),0),ROUND(256000/(F15*1440*60),0))</f>
        <v>19</v>
      </c>
      <c r="K15" s="12" t="n">
        <f aca="false">J15*8</f>
        <v>152</v>
      </c>
      <c r="L15" s="12" t="n">
        <f aca="false">ROUND(J15*3600/1000,0)</f>
        <v>68</v>
      </c>
    </row>
    <row r="16" customFormat="false" ht="28.35" hidden="false" customHeight="false" outlineLevel="0" collapsed="false">
      <c r="A16" s="2" t="s">
        <v>885</v>
      </c>
      <c r="B16" s="2" t="s">
        <v>884</v>
      </c>
      <c r="C16" s="2" t="s">
        <v>878</v>
      </c>
      <c r="D16" s="11" t="n">
        <v>0.0263888888888889</v>
      </c>
      <c r="E16" s="11" t="n">
        <v>0.05</v>
      </c>
      <c r="F16" s="11" t="n">
        <v>0.104861111111111</v>
      </c>
      <c r="G16" s="11" t="n">
        <v>0.0979166666666667</v>
      </c>
      <c r="H16" s="11" t="n">
        <v>0.196527777777778</v>
      </c>
      <c r="I16" s="11" t="n">
        <v>0.392361111111111</v>
      </c>
      <c r="J16" s="12" t="n">
        <f aca="false">IF(C16="ARRIRAW",ROUND(2000000/(I16*1440*60),0),ROUND(256000/(F16*1440*60),0))</f>
        <v>28</v>
      </c>
      <c r="K16" s="12" t="n">
        <f aca="false">J16*8</f>
        <v>224</v>
      </c>
      <c r="L16" s="12" t="n">
        <f aca="false">ROUND(J16*3600/1000,0)</f>
        <v>101</v>
      </c>
    </row>
    <row r="17" customFormat="false" ht="28.35" hidden="false" customHeight="false" outlineLevel="0" collapsed="false">
      <c r="A17" s="2" t="s">
        <v>886</v>
      </c>
      <c r="B17" s="2" t="s">
        <v>884</v>
      </c>
      <c r="C17" s="2" t="s">
        <v>880</v>
      </c>
      <c r="D17" s="11" t="n">
        <v>0.0173611111111111</v>
      </c>
      <c r="E17" s="11" t="n">
        <v>0.0333333333333333</v>
      </c>
      <c r="F17" s="11" t="n">
        <v>0.0694444444444445</v>
      </c>
      <c r="G17" s="11" t="n">
        <v>0.0652777777777778</v>
      </c>
      <c r="H17" s="11" t="n">
        <v>0.130555555555556</v>
      </c>
      <c r="I17" s="11" t="n">
        <v>0.261805555555556</v>
      </c>
      <c r="J17" s="12" t="n">
        <f aca="false">IF(C17="ARRIRAW",ROUND(2000000/(I17*1440*60),0),ROUND(256000/(F17*1440*60),0))</f>
        <v>43</v>
      </c>
      <c r="K17" s="12" t="n">
        <f aca="false">J17*8</f>
        <v>344</v>
      </c>
      <c r="L17" s="12" t="n">
        <f aca="false">ROUND(J17*3600/1000,0)</f>
        <v>155</v>
      </c>
    </row>
    <row r="18" customFormat="false" ht="28.35" hidden="false" customHeight="false" outlineLevel="0" collapsed="false">
      <c r="A18" s="2" t="s">
        <v>887</v>
      </c>
      <c r="B18" s="2" t="s">
        <v>884</v>
      </c>
      <c r="C18" s="2" t="s">
        <v>882</v>
      </c>
      <c r="D18" s="11" t="n">
        <v>0.0118055555555556</v>
      </c>
      <c r="E18" s="11" t="n">
        <v>0.0222222222222222</v>
      </c>
      <c r="F18" s="11" t="n">
        <v>0.0465277777777778</v>
      </c>
      <c r="G18" s="11" t="n">
        <v>0.04375</v>
      </c>
      <c r="H18" s="11" t="n">
        <v>0.0875</v>
      </c>
      <c r="I18" s="11" t="n">
        <v>0.174305555555556</v>
      </c>
      <c r="J18" s="12" t="n">
        <f aca="false">IF(C18="ARRIRAW",ROUND(2000000/(I18*1440*60),0),ROUND(256000/(F18*1440*60),0))</f>
        <v>64</v>
      </c>
      <c r="K18" s="12" t="n">
        <f aca="false">J18*8</f>
        <v>512</v>
      </c>
      <c r="L18" s="12" t="n">
        <f aca="false">ROUND(J18*3600/1000,0)</f>
        <v>230</v>
      </c>
    </row>
    <row r="19" customFormat="false" ht="28.35" hidden="false" customHeight="false" outlineLevel="0" collapsed="false">
      <c r="A19" s="2" t="s">
        <v>888</v>
      </c>
      <c r="B19" s="2" t="s">
        <v>889</v>
      </c>
      <c r="C19" s="2" t="s">
        <v>876</v>
      </c>
      <c r="D19" s="11" t="n">
        <v>0.0159722222222222</v>
      </c>
      <c r="E19" s="11" t="n">
        <v>0.0305555555555556</v>
      </c>
      <c r="F19" s="11" t="n">
        <v>0.0645833333333333</v>
      </c>
      <c r="G19" s="11" t="n">
        <v>0.0604166666666667</v>
      </c>
      <c r="H19" s="11" t="n">
        <v>0.120833333333333</v>
      </c>
      <c r="I19" s="11" t="n">
        <v>0.240972222222222</v>
      </c>
      <c r="J19" s="12" t="n">
        <f aca="false">IF(C19="ARRIRAW",ROUND(2000000/(I19*1440*60),0),ROUND(256000/(F19*1440*60),0))</f>
        <v>46</v>
      </c>
      <c r="K19" s="12" t="n">
        <f aca="false">J19*8</f>
        <v>368</v>
      </c>
      <c r="L19" s="12" t="n">
        <f aca="false">ROUND(J19*3600/1000,0)</f>
        <v>166</v>
      </c>
    </row>
    <row r="20" customFormat="false" ht="28.35" hidden="false" customHeight="false" outlineLevel="0" collapsed="false">
      <c r="A20" s="2" t="s">
        <v>890</v>
      </c>
      <c r="B20" s="2" t="s">
        <v>889</v>
      </c>
      <c r="C20" s="2" t="s">
        <v>878</v>
      </c>
      <c r="D20" s="11" t="n">
        <v>0.0111111111111111</v>
      </c>
      <c r="E20" s="11" t="n">
        <v>0.0201388888888889</v>
      </c>
      <c r="F20" s="11" t="n">
        <v>0.0430555555555556</v>
      </c>
      <c r="G20" s="11" t="n">
        <v>0.0402777777777778</v>
      </c>
      <c r="H20" s="11" t="n">
        <v>0.0805555555555556</v>
      </c>
      <c r="I20" s="11" t="n">
        <v>0.161111111111111</v>
      </c>
      <c r="J20" s="12" t="n">
        <f aca="false">IF(C20="ARRIRAW",ROUND(2000000/(I20*1440*60),0),ROUND(256000/(F20*1440*60),0))</f>
        <v>69</v>
      </c>
      <c r="K20" s="12" t="n">
        <f aca="false">J20*8</f>
        <v>552</v>
      </c>
      <c r="L20" s="12" t="n">
        <f aca="false">ROUND(J20*3600/1000,0)</f>
        <v>248</v>
      </c>
    </row>
    <row r="21" customFormat="false" ht="28.35" hidden="false" customHeight="false" outlineLevel="0" collapsed="false">
      <c r="A21" s="2" t="s">
        <v>891</v>
      </c>
      <c r="B21" s="2" t="s">
        <v>889</v>
      </c>
      <c r="C21" s="2" t="s">
        <v>880</v>
      </c>
      <c r="D21" s="11" t="n">
        <v>0.00694444444444444</v>
      </c>
      <c r="E21" s="11" t="n">
        <v>0.0138888888888889</v>
      </c>
      <c r="F21" s="11" t="n">
        <v>0.0284722222222222</v>
      </c>
      <c r="G21" s="11" t="n">
        <v>0.0270833333333333</v>
      </c>
      <c r="H21" s="11" t="n">
        <v>0.0534722222222222</v>
      </c>
      <c r="I21" s="11" t="n">
        <v>0.106944444444444</v>
      </c>
      <c r="J21" s="12" t="n">
        <f aca="false">IF(C21="ARRIRAW",ROUND(2000000/(I21*1440*60),0),ROUND(256000/(F21*1440*60),0))</f>
        <v>104</v>
      </c>
      <c r="K21" s="12" t="n">
        <f aca="false">J21*8</f>
        <v>832</v>
      </c>
      <c r="L21" s="12" t="n">
        <f aca="false">ROUND(J21*3600/1000,0)</f>
        <v>374</v>
      </c>
    </row>
    <row r="22" customFormat="false" ht="28.35" hidden="false" customHeight="false" outlineLevel="0" collapsed="false">
      <c r="A22" s="2" t="s">
        <v>892</v>
      </c>
      <c r="B22" s="2" t="s">
        <v>889</v>
      </c>
      <c r="C22" s="2" t="s">
        <v>882</v>
      </c>
      <c r="D22" s="13" t="s">
        <v>893</v>
      </c>
      <c r="E22" s="13" t="s">
        <v>893</v>
      </c>
      <c r="F22" s="11" t="n">
        <v>0.01875</v>
      </c>
      <c r="G22" s="11" t="n">
        <v>0.0180555555555556</v>
      </c>
      <c r="H22" s="11" t="n">
        <v>0.0354166666666667</v>
      </c>
      <c r="I22" s="11" t="n">
        <v>0.0715277777777778</v>
      </c>
      <c r="J22" s="12" t="n">
        <f aca="false">IF(C22="ARRIRAW",ROUND(2000000/(I22*1440*60),0),ROUND(256000/(F22*1440*60),0))</f>
        <v>158</v>
      </c>
      <c r="K22" s="12" t="n">
        <f aca="false">J22*8</f>
        <v>1264</v>
      </c>
      <c r="L22" s="12" t="n">
        <f aca="false">ROUND(J22*3600/1000,0)</f>
        <v>569</v>
      </c>
    </row>
    <row r="23" customFormat="false" ht="28.35" hidden="false" customHeight="false" outlineLevel="0" collapsed="false">
      <c r="A23" s="2" t="s">
        <v>894</v>
      </c>
      <c r="B23" s="2" t="s">
        <v>895</v>
      </c>
      <c r="C23" s="2" t="s">
        <v>876</v>
      </c>
      <c r="D23" s="11" t="n">
        <v>0.0111111111111111</v>
      </c>
      <c r="E23" s="11" t="n">
        <v>0.0215277777777778</v>
      </c>
      <c r="F23" s="11" t="n">
        <v>0.0444444444444445</v>
      </c>
      <c r="G23" s="11" t="n">
        <v>0.0416666666666667</v>
      </c>
      <c r="H23" s="11" t="n">
        <v>0.0840277777777778</v>
      </c>
      <c r="I23" s="11" t="n">
        <v>0.167361111111111</v>
      </c>
      <c r="J23" s="12" t="n">
        <f aca="false">IF(C23="ARRIRAW",ROUND(2000000/(I23*1440*60),0),ROUND(256000/(F23*1440*60),0))</f>
        <v>67</v>
      </c>
      <c r="K23" s="12" t="n">
        <f aca="false">J23*8</f>
        <v>536</v>
      </c>
      <c r="L23" s="12" t="n">
        <f aca="false">ROUND(J23*3600/1000,0)</f>
        <v>241</v>
      </c>
    </row>
    <row r="24" customFormat="false" ht="28.35" hidden="false" customHeight="false" outlineLevel="0" collapsed="false">
      <c r="A24" s="2" t="s">
        <v>896</v>
      </c>
      <c r="B24" s="2" t="s">
        <v>895</v>
      </c>
      <c r="C24" s="2" t="s">
        <v>878</v>
      </c>
      <c r="D24" s="11" t="n">
        <v>0.00763888888888889</v>
      </c>
      <c r="E24" s="11" t="n">
        <v>0.0138888888888889</v>
      </c>
      <c r="F24" s="11" t="n">
        <v>0.0298611111111111</v>
      </c>
      <c r="G24" s="11" t="n">
        <v>0.0277777777777778</v>
      </c>
      <c r="H24" s="11" t="n">
        <v>0.0555555555555556</v>
      </c>
      <c r="I24" s="11" t="n">
        <v>0.111805555555556</v>
      </c>
      <c r="J24" s="12" t="n">
        <f aca="false">IF(C24="ARRIRAW",ROUND(2000000/(I24*1440*60),0),ROUND(256000/(F24*1440*60),0))</f>
        <v>99</v>
      </c>
      <c r="K24" s="12" t="n">
        <f aca="false">J24*8</f>
        <v>792</v>
      </c>
      <c r="L24" s="12" t="n">
        <f aca="false">ROUND(J24*3600/1000,0)</f>
        <v>356</v>
      </c>
    </row>
    <row r="25" customFormat="false" ht="28.35" hidden="false" customHeight="false" outlineLevel="0" collapsed="false">
      <c r="A25" s="2" t="s">
        <v>897</v>
      </c>
      <c r="B25" s="2" t="s">
        <v>895</v>
      </c>
      <c r="C25" s="2" t="s">
        <v>880</v>
      </c>
      <c r="D25" s="13" t="s">
        <v>893</v>
      </c>
      <c r="E25" s="13" t="s">
        <v>893</v>
      </c>
      <c r="F25" s="11" t="n">
        <v>0.0201388888888889</v>
      </c>
      <c r="G25" s="11" t="n">
        <v>0.01875</v>
      </c>
      <c r="H25" s="11" t="n">
        <v>0.0375</v>
      </c>
      <c r="I25" s="11" t="n">
        <v>0.0743055555555556</v>
      </c>
      <c r="J25" s="12" t="n">
        <f aca="false">IF(C25="ARRIRAW",ROUND(2000000/(I25*1440*60),0),ROUND(256000/(F25*1440*60),0))</f>
        <v>147</v>
      </c>
      <c r="K25" s="12" t="n">
        <f aca="false">J25*8</f>
        <v>1176</v>
      </c>
      <c r="L25" s="12" t="n">
        <f aca="false">ROUND(J25*3600/1000,0)</f>
        <v>529</v>
      </c>
    </row>
    <row r="26" customFormat="false" ht="28.35" hidden="false" customHeight="false" outlineLevel="0" collapsed="false">
      <c r="A26" s="2" t="s">
        <v>898</v>
      </c>
      <c r="B26" s="2" t="s">
        <v>895</v>
      </c>
      <c r="C26" s="2" t="s">
        <v>882</v>
      </c>
      <c r="D26" s="13" t="s">
        <v>893</v>
      </c>
      <c r="E26" s="13" t="s">
        <v>893</v>
      </c>
      <c r="F26" s="11" t="n">
        <v>0.0131944444444444</v>
      </c>
      <c r="G26" s="11" t="n">
        <v>0.0125</v>
      </c>
      <c r="H26" s="11" t="n">
        <v>0.025</v>
      </c>
      <c r="I26" s="11" t="n">
        <v>0.0493055555555556</v>
      </c>
      <c r="J26" s="12" t="n">
        <f aca="false">IF(C26="ARRIRAW",ROUND(2000000/(I26*1440*60),0),ROUND(256000/(F26*1440*60),0))</f>
        <v>225</v>
      </c>
      <c r="K26" s="12" t="n">
        <f aca="false">J26*8</f>
        <v>1800</v>
      </c>
      <c r="L26" s="12" t="n">
        <f aca="false">ROUND(J26*3600/1000,0)</f>
        <v>810</v>
      </c>
    </row>
    <row r="27" customFormat="false" ht="41.75" hidden="false" customHeight="false" outlineLevel="0" collapsed="false">
      <c r="A27" s="2" t="s">
        <v>899</v>
      </c>
      <c r="B27" s="2" t="s">
        <v>900</v>
      </c>
      <c r="C27" s="2" t="s">
        <v>792</v>
      </c>
      <c r="D27" s="13" t="s">
        <v>893</v>
      </c>
      <c r="E27" s="13" t="s">
        <v>893</v>
      </c>
      <c r="F27" s="13" t="s">
        <v>893</v>
      </c>
      <c r="G27" s="11" t="n">
        <v>0.0333333333333333</v>
      </c>
      <c r="H27" s="11" t="n">
        <v>0.0659722222222222</v>
      </c>
      <c r="I27" s="11" t="n">
        <v>0.131944444444444</v>
      </c>
      <c r="J27" s="12" t="n">
        <f aca="false">IF(C27="ARRIRAW",ROUND(2000000/(I27*1440*60),0),ROUND(256000/(F27*1440*60),0))</f>
        <v>175</v>
      </c>
      <c r="K27" s="12" t="n">
        <f aca="false">J27*8</f>
        <v>1400</v>
      </c>
      <c r="L27" s="12" t="n">
        <f aca="false">ROUND(J27*3600/1000,0)</f>
        <v>630</v>
      </c>
    </row>
    <row r="28" customFormat="false" ht="41.75" hidden="false" customHeight="false" outlineLevel="0" collapsed="false">
      <c r="A28" s="2" t="s">
        <v>901</v>
      </c>
      <c r="B28" s="2" t="s">
        <v>902</v>
      </c>
      <c r="C28" s="2" t="s">
        <v>792</v>
      </c>
      <c r="D28" s="13" t="s">
        <v>893</v>
      </c>
      <c r="E28" s="13" t="s">
        <v>893</v>
      </c>
      <c r="F28" s="13" t="s">
        <v>893</v>
      </c>
      <c r="G28" s="11" t="n">
        <v>0.0270833333333333</v>
      </c>
      <c r="H28" s="11" t="n">
        <v>0.0548611111111111</v>
      </c>
      <c r="I28" s="11" t="n">
        <v>0.109027777777778</v>
      </c>
      <c r="J28" s="12" t="n">
        <f aca="false">IF(C28="ARRIRAW",ROUND(2000000/(I28*1440*60),0),ROUND(256000/(F28*1440*60),0))</f>
        <v>212</v>
      </c>
      <c r="K28" s="12" t="n">
        <f aca="false">J28*8</f>
        <v>1696</v>
      </c>
      <c r="L28" s="12" t="n">
        <f aca="false">ROUND(J28*3600/1000,0)</f>
        <v>763</v>
      </c>
    </row>
    <row r="29" customFormat="false" ht="41.75" hidden="false" customHeight="false" outlineLevel="0" collapsed="false">
      <c r="A29" s="2" t="s">
        <v>903</v>
      </c>
      <c r="B29" s="2" t="s">
        <v>904</v>
      </c>
      <c r="C29" s="2" t="s">
        <v>876</v>
      </c>
      <c r="D29" s="11" t="n">
        <v>0.0527777777777778</v>
      </c>
      <c r="E29" s="11" t="n">
        <v>0.100694444444444</v>
      </c>
      <c r="F29" s="11" t="n">
        <v>0.211111111111111</v>
      </c>
      <c r="G29" s="11" t="n">
        <v>0.197916666666667</v>
      </c>
      <c r="H29" s="11" t="n">
        <v>0.395138888888889</v>
      </c>
      <c r="I29" s="11" t="n">
        <v>0.790277777777778</v>
      </c>
      <c r="J29" s="12" t="n">
        <f aca="false">IF(C29="ARRIRAW",ROUND(2000000/(I29*1440*60),0),ROUND(256000/(F29*1440*60),0))</f>
        <v>14</v>
      </c>
      <c r="K29" s="12" t="n">
        <f aca="false">J29*8</f>
        <v>112</v>
      </c>
      <c r="L29" s="12" t="n">
        <f aca="false">ROUND(J29*3600/1000,0)</f>
        <v>50</v>
      </c>
    </row>
    <row r="30" customFormat="false" ht="41.75" hidden="false" customHeight="false" outlineLevel="0" collapsed="false">
      <c r="A30" s="2" t="s">
        <v>905</v>
      </c>
      <c r="B30" s="2" t="s">
        <v>904</v>
      </c>
      <c r="C30" s="2" t="s">
        <v>878</v>
      </c>
      <c r="D30" s="11" t="n">
        <v>0.0354166666666667</v>
      </c>
      <c r="E30" s="11" t="n">
        <v>0.0666666666666667</v>
      </c>
      <c r="F30" s="11" t="n">
        <v>0.140277777777778</v>
      </c>
      <c r="G30" s="11" t="n">
        <v>0.13125</v>
      </c>
      <c r="H30" s="11" t="n">
        <v>0.2625</v>
      </c>
      <c r="I30" s="11" t="n">
        <v>0.525694444444445</v>
      </c>
      <c r="J30" s="12" t="n">
        <f aca="false">IF(C30="ARRIRAW",ROUND(2000000/(I30*1440*60),0),ROUND(256000/(F30*1440*60),0))</f>
        <v>21</v>
      </c>
      <c r="K30" s="12" t="n">
        <f aca="false">J30*8</f>
        <v>168</v>
      </c>
      <c r="L30" s="12" t="n">
        <f aca="false">ROUND(J30*3600/1000,0)</f>
        <v>76</v>
      </c>
    </row>
    <row r="31" customFormat="false" ht="41.75" hidden="false" customHeight="false" outlineLevel="0" collapsed="false">
      <c r="A31" s="2" t="s">
        <v>906</v>
      </c>
      <c r="B31" s="2" t="s">
        <v>904</v>
      </c>
      <c r="C31" s="2" t="s">
        <v>880</v>
      </c>
      <c r="D31" s="11" t="n">
        <v>0.0236111111111111</v>
      </c>
      <c r="E31" s="11" t="n">
        <v>0.0444444444444445</v>
      </c>
      <c r="F31" s="11" t="n">
        <v>0.09375</v>
      </c>
      <c r="G31" s="11" t="n">
        <v>0.0875</v>
      </c>
      <c r="H31" s="11" t="n">
        <v>0.175694444444444</v>
      </c>
      <c r="I31" s="11" t="n">
        <v>0.350694444444444</v>
      </c>
      <c r="J31" s="12" t="n">
        <f aca="false">IF(C31="ARRIRAW",ROUND(2000000/(I31*1440*60),0),ROUND(256000/(F31*1440*60),0))</f>
        <v>32</v>
      </c>
      <c r="K31" s="12" t="n">
        <f aca="false">J31*8</f>
        <v>256</v>
      </c>
      <c r="L31" s="12" t="n">
        <f aca="false">ROUND(J31*3600/1000,0)</f>
        <v>115</v>
      </c>
    </row>
    <row r="32" customFormat="false" ht="41.75" hidden="false" customHeight="false" outlineLevel="0" collapsed="false">
      <c r="A32" s="2" t="s">
        <v>907</v>
      </c>
      <c r="B32" s="2" t="s">
        <v>904</v>
      </c>
      <c r="C32" s="2" t="s">
        <v>882</v>
      </c>
      <c r="D32" s="11" t="n">
        <v>0.0159722222222222</v>
      </c>
      <c r="E32" s="11" t="n">
        <v>0.0298611111111111</v>
      </c>
      <c r="F32" s="11" t="n">
        <v>0.0625</v>
      </c>
      <c r="G32" s="11" t="n">
        <v>0.0583333333333333</v>
      </c>
      <c r="H32" s="11" t="n">
        <v>0.116666666666667</v>
      </c>
      <c r="I32" s="11" t="n">
        <v>0.234027777777778</v>
      </c>
      <c r="J32" s="12" t="n">
        <f aca="false">IF(C32="ARRIRAW",ROUND(2000000/(I32*1440*60),0),ROUND(256000/(F32*1440*60),0))</f>
        <v>47</v>
      </c>
      <c r="K32" s="12" t="n">
        <f aca="false">J32*8</f>
        <v>376</v>
      </c>
      <c r="L32" s="12" t="n">
        <f aca="false">ROUND(J32*3600/1000,0)</f>
        <v>169</v>
      </c>
    </row>
    <row r="33" customFormat="false" ht="41.75" hidden="false" customHeight="false" outlineLevel="0" collapsed="false">
      <c r="A33" s="2" t="s">
        <v>908</v>
      </c>
      <c r="B33" s="2" t="s">
        <v>909</v>
      </c>
      <c r="C33" s="2" t="s">
        <v>876</v>
      </c>
      <c r="D33" s="11" t="n">
        <v>0.0131944444444444</v>
      </c>
      <c r="E33" s="11" t="n">
        <v>0.025</v>
      </c>
      <c r="F33" s="11" t="n">
        <v>0.0527777777777778</v>
      </c>
      <c r="G33" s="11" t="n">
        <v>0.0493055555555556</v>
      </c>
      <c r="H33" s="11" t="n">
        <v>0.0986111111111111</v>
      </c>
      <c r="I33" s="11" t="n">
        <v>0.197916666666667</v>
      </c>
      <c r="J33" s="12" t="n">
        <f aca="false">IF(C33="ARRIRAW",ROUND(2000000/(I33*1440*60),0),ROUND(256000/(F33*1440*60),0))</f>
        <v>56</v>
      </c>
      <c r="K33" s="12" t="n">
        <f aca="false">J33*8</f>
        <v>448</v>
      </c>
      <c r="L33" s="12" t="n">
        <f aca="false">ROUND(J33*3600/1000,0)</f>
        <v>202</v>
      </c>
    </row>
    <row r="34" customFormat="false" ht="41.75" hidden="false" customHeight="false" outlineLevel="0" collapsed="false">
      <c r="A34" s="2" t="s">
        <v>910</v>
      </c>
      <c r="B34" s="2" t="s">
        <v>909</v>
      </c>
      <c r="C34" s="2" t="s">
        <v>878</v>
      </c>
      <c r="D34" s="11" t="n">
        <v>0.00902777777777778</v>
      </c>
      <c r="E34" s="11" t="n">
        <v>0.0166666666666667</v>
      </c>
      <c r="F34" s="11" t="n">
        <v>0.0354166666666667</v>
      </c>
      <c r="G34" s="11" t="n">
        <v>0.0326388888888889</v>
      </c>
      <c r="H34" s="11" t="n">
        <v>0.0659722222222222</v>
      </c>
      <c r="I34" s="11" t="n">
        <v>0.131944444444444</v>
      </c>
      <c r="J34" s="12" t="n">
        <f aca="false">IF(C34="ARRIRAW",ROUND(2000000/(I34*1440*60),0),ROUND(256000/(F34*1440*60),0))</f>
        <v>84</v>
      </c>
      <c r="K34" s="12" t="n">
        <f aca="false">J34*8</f>
        <v>672</v>
      </c>
      <c r="L34" s="12" t="n">
        <f aca="false">ROUND(J34*3600/1000,0)</f>
        <v>302</v>
      </c>
    </row>
    <row r="35" customFormat="false" ht="41.75" hidden="false" customHeight="false" outlineLevel="0" collapsed="false">
      <c r="A35" s="2" t="s">
        <v>911</v>
      </c>
      <c r="B35" s="2" t="s">
        <v>909</v>
      </c>
      <c r="C35" s="2" t="s">
        <v>880</v>
      </c>
      <c r="D35" s="11" t="n">
        <v>0.00555555555555556</v>
      </c>
      <c r="E35" s="11" t="n">
        <v>0.0111111111111111</v>
      </c>
      <c r="F35" s="11" t="n">
        <v>0.0236111111111111</v>
      </c>
      <c r="G35" s="11" t="n">
        <v>0.0222222222222222</v>
      </c>
      <c r="H35" s="11" t="n">
        <v>0.04375</v>
      </c>
      <c r="I35" s="11" t="n">
        <v>0.0875</v>
      </c>
      <c r="J35" s="12" t="n">
        <f aca="false">IF(C35="ARRIRAW",ROUND(2000000/(I35*1440*60),0),ROUND(256000/(F35*1440*60),0))</f>
        <v>125</v>
      </c>
      <c r="K35" s="12" t="n">
        <f aca="false">J35*8</f>
        <v>1000</v>
      </c>
      <c r="L35" s="12" t="n">
        <f aca="false">ROUND(J35*3600/1000,0)</f>
        <v>450</v>
      </c>
    </row>
    <row r="36" customFormat="false" ht="41.75" hidden="false" customHeight="false" outlineLevel="0" collapsed="false">
      <c r="A36" s="2" t="s">
        <v>912</v>
      </c>
      <c r="B36" s="2" t="s">
        <v>909</v>
      </c>
      <c r="C36" s="2" t="s">
        <v>882</v>
      </c>
      <c r="D36" s="13" t="s">
        <v>893</v>
      </c>
      <c r="E36" s="13" t="s">
        <v>893</v>
      </c>
      <c r="F36" s="11" t="n">
        <v>0.0152777777777778</v>
      </c>
      <c r="G36" s="11" t="n">
        <v>0.0145833333333333</v>
      </c>
      <c r="H36" s="11" t="n">
        <v>0.0291666666666667</v>
      </c>
      <c r="I36" s="11" t="n">
        <v>0.0583333333333333</v>
      </c>
      <c r="J36" s="12" t="n">
        <f aca="false">IF(C36="ARRIRAW",ROUND(2000000/(I36*1440*60),0),ROUND(256000/(F36*1440*60),0))</f>
        <v>194</v>
      </c>
      <c r="K36" s="12" t="n">
        <f aca="false">J36*8</f>
        <v>1552</v>
      </c>
      <c r="L36" s="12" t="n">
        <f aca="false">ROUND(J36*3600/1000,0)</f>
        <v>698</v>
      </c>
    </row>
    <row r="37" customFormat="false" ht="41.75" hidden="false" customHeight="false" outlineLevel="0" collapsed="false">
      <c r="A37" s="2" t="s">
        <v>913</v>
      </c>
      <c r="B37" s="2" t="s">
        <v>914</v>
      </c>
      <c r="C37" s="2" t="s">
        <v>792</v>
      </c>
      <c r="D37" s="13" t="s">
        <v>893</v>
      </c>
      <c r="E37" s="13" t="s">
        <v>893</v>
      </c>
      <c r="F37" s="13" t="s">
        <v>893</v>
      </c>
      <c r="G37" s="11" t="n">
        <v>0.0277777777777778</v>
      </c>
      <c r="H37" s="11" t="n">
        <v>0.0548611111111111</v>
      </c>
      <c r="I37" s="11" t="n">
        <v>0.109722222222222</v>
      </c>
      <c r="J37" s="12" t="n">
        <f aca="false">IF(C37="ARRIRAW",ROUND(2000000/(I37*1440*60),0),ROUND(256000/(F37*1440*60),0))</f>
        <v>211</v>
      </c>
      <c r="K37" s="12" t="n">
        <f aca="false">J37*8</f>
        <v>1688</v>
      </c>
      <c r="L37" s="12" t="n">
        <f aca="false">ROUND(J37*3600/1000,0)</f>
        <v>760</v>
      </c>
    </row>
    <row r="38" customFormat="false" ht="28.35" hidden="false" customHeight="false" outlineLevel="0" collapsed="false">
      <c r="A38" s="2" t="s">
        <v>915</v>
      </c>
      <c r="B38" s="2" t="s">
        <v>916</v>
      </c>
      <c r="C38" s="2" t="s">
        <v>876</v>
      </c>
      <c r="D38" s="11" t="n">
        <v>0.0152777777777778</v>
      </c>
      <c r="E38" s="11" t="n">
        <v>0.0284722222222222</v>
      </c>
      <c r="F38" s="11" t="n">
        <v>0.0597222222222222</v>
      </c>
      <c r="G38" s="11" t="n">
        <v>0.0555555555555556</v>
      </c>
      <c r="H38" s="11" t="n">
        <v>0.111805555555556</v>
      </c>
      <c r="I38" s="11" t="n">
        <v>0.223611111111111</v>
      </c>
      <c r="J38" s="12" t="n">
        <f aca="false">IF(C38="ARRIRAW",ROUND(2000000/(I38*1440*60),0),ROUND(256000/(F38*1440*60),0))</f>
        <v>50</v>
      </c>
      <c r="K38" s="12" t="n">
        <f aca="false">J38*8</f>
        <v>400</v>
      </c>
      <c r="L38" s="12" t="n">
        <f aca="false">ROUND(J38*3600/1000,0)</f>
        <v>180</v>
      </c>
    </row>
    <row r="39" customFormat="false" ht="28.35" hidden="false" customHeight="false" outlineLevel="0" collapsed="false">
      <c r="A39" s="2" t="s">
        <v>917</v>
      </c>
      <c r="B39" s="2" t="s">
        <v>916</v>
      </c>
      <c r="C39" s="2" t="s">
        <v>878</v>
      </c>
      <c r="D39" s="11" t="n">
        <v>0.00972222222222222</v>
      </c>
      <c r="E39" s="11" t="n">
        <v>0.01875</v>
      </c>
      <c r="F39" s="11" t="n">
        <v>0.0395833333333333</v>
      </c>
      <c r="G39" s="11" t="n">
        <v>0.0375</v>
      </c>
      <c r="H39" s="11" t="n">
        <v>0.0743055555555556</v>
      </c>
      <c r="I39" s="11" t="n">
        <v>0.148611111111111</v>
      </c>
      <c r="J39" s="12" t="n">
        <f aca="false">IF(C39="ARRIRAW",ROUND(2000000/(I39*1440*60),0),ROUND(256000/(F39*1440*60),0))</f>
        <v>75</v>
      </c>
      <c r="K39" s="12" t="n">
        <f aca="false">J39*8</f>
        <v>600</v>
      </c>
      <c r="L39" s="12" t="n">
        <f aca="false">ROUND(J39*3600/1000,0)</f>
        <v>270</v>
      </c>
    </row>
    <row r="40" customFormat="false" ht="28.35" hidden="false" customHeight="false" outlineLevel="0" collapsed="false">
      <c r="A40" s="2" t="s">
        <v>918</v>
      </c>
      <c r="B40" s="2" t="s">
        <v>916</v>
      </c>
      <c r="C40" s="2" t="s">
        <v>880</v>
      </c>
      <c r="D40" s="11" t="n">
        <v>0.00694444444444444</v>
      </c>
      <c r="E40" s="11" t="n">
        <v>0.0125</v>
      </c>
      <c r="F40" s="11" t="n">
        <v>0.0263888888888889</v>
      </c>
      <c r="G40" s="11" t="n">
        <v>0.025</v>
      </c>
      <c r="H40" s="11" t="n">
        <v>0.0493055555555556</v>
      </c>
      <c r="I40" s="11" t="n">
        <v>0.0993055555555556</v>
      </c>
      <c r="J40" s="12" t="n">
        <f aca="false">IF(C40="ARRIRAW",ROUND(2000000/(I40*1440*60),0),ROUND(256000/(F40*1440*60),0))</f>
        <v>112</v>
      </c>
      <c r="K40" s="12" t="n">
        <f aca="false">J40*8</f>
        <v>896</v>
      </c>
      <c r="L40" s="12" t="n">
        <f aca="false">ROUND(J40*3600/1000,0)</f>
        <v>403</v>
      </c>
    </row>
    <row r="41" customFormat="false" ht="28.35" hidden="false" customHeight="false" outlineLevel="0" collapsed="false">
      <c r="A41" s="2" t="s">
        <v>919</v>
      </c>
      <c r="B41" s="2" t="s">
        <v>916</v>
      </c>
      <c r="C41" s="2" t="s">
        <v>882</v>
      </c>
      <c r="D41" s="13" t="s">
        <v>893</v>
      </c>
      <c r="E41" s="13" t="s">
        <v>893</v>
      </c>
      <c r="F41" s="11" t="n">
        <v>0.0173611111111111</v>
      </c>
      <c r="G41" s="11" t="n">
        <v>0.0166666666666667</v>
      </c>
      <c r="H41" s="11" t="n">
        <v>0.0333333333333333</v>
      </c>
      <c r="I41" s="11" t="n">
        <v>0.0659722222222222</v>
      </c>
      <c r="J41" s="12" t="n">
        <f aca="false">IF(C41="ARRIRAW",ROUND(2000000/(I41*1440*60),0),ROUND(256000/(F41*1440*60),0))</f>
        <v>171</v>
      </c>
      <c r="K41" s="12" t="n">
        <f aca="false">J41*8</f>
        <v>1368</v>
      </c>
      <c r="L41" s="12" t="n">
        <f aca="false">ROUND(J41*3600/1000,0)</f>
        <v>616</v>
      </c>
    </row>
    <row r="42" customFormat="false" ht="41.75" hidden="false" customHeight="false" outlineLevel="0" collapsed="false">
      <c r="A42" s="2" t="s">
        <v>920</v>
      </c>
      <c r="B42" s="2" t="s">
        <v>921</v>
      </c>
      <c r="C42" s="2" t="s">
        <v>792</v>
      </c>
      <c r="D42" s="13" t="s">
        <v>893</v>
      </c>
      <c r="E42" s="13" t="s">
        <v>893</v>
      </c>
      <c r="F42" s="13" t="s">
        <v>893</v>
      </c>
      <c r="G42" s="11" t="n">
        <v>0.025</v>
      </c>
      <c r="H42" s="11" t="n">
        <v>0.0493055555555556</v>
      </c>
      <c r="I42" s="11" t="n">
        <v>0.0993055555555556</v>
      </c>
      <c r="J42" s="12" t="n">
        <f aca="false">IF(C42="ARRIRAW",ROUND(2000000/(I42*1440*60),0),ROUND(256000/(F42*1440*60),0))</f>
        <v>233</v>
      </c>
      <c r="K42" s="12" t="n">
        <f aca="false">J42*8</f>
        <v>1864</v>
      </c>
      <c r="L42" s="12" t="n">
        <f aca="false">ROUND(J42*3600/1000,0)</f>
        <v>839</v>
      </c>
    </row>
    <row r="43" customFormat="false" ht="28.35" hidden="false" customHeight="false" outlineLevel="0" collapsed="false">
      <c r="A43" s="2" t="s">
        <v>922</v>
      </c>
      <c r="B43" s="2" t="s">
        <v>923</v>
      </c>
      <c r="C43" s="2" t="s">
        <v>876</v>
      </c>
      <c r="D43" s="11" t="n">
        <v>0.0125</v>
      </c>
      <c r="E43" s="11" t="n">
        <v>0.0236111111111111</v>
      </c>
      <c r="F43" s="11" t="n">
        <v>0.0493055555555556</v>
      </c>
      <c r="G43" s="11" t="n">
        <v>0.0465277777777778</v>
      </c>
      <c r="H43" s="11" t="n">
        <v>0.0923611111111111</v>
      </c>
      <c r="I43" s="11" t="n">
        <v>0.184722222222222</v>
      </c>
      <c r="J43" s="12" t="n">
        <f aca="false">IF(C43="ARRIRAW",ROUND(2000000/(I43*1440*60),0),ROUND(256000/(F43*1440*60),0))</f>
        <v>60</v>
      </c>
      <c r="K43" s="12" t="n">
        <f aca="false">J43*8</f>
        <v>480</v>
      </c>
      <c r="L43" s="12" t="n">
        <f aca="false">ROUND(J43*3600/1000,0)</f>
        <v>216</v>
      </c>
    </row>
    <row r="44" customFormat="false" ht="28.35" hidden="false" customHeight="false" outlineLevel="0" collapsed="false">
      <c r="A44" s="2" t="s">
        <v>924</v>
      </c>
      <c r="B44" s="2" t="s">
        <v>923</v>
      </c>
      <c r="C44" s="2" t="s">
        <v>878</v>
      </c>
      <c r="D44" s="11" t="n">
        <v>0.00833333333333333</v>
      </c>
      <c r="E44" s="11" t="n">
        <v>0.0152777777777778</v>
      </c>
      <c r="F44" s="11" t="n">
        <v>0.0326388888888889</v>
      </c>
      <c r="G44" s="11" t="n">
        <v>0.0305555555555556</v>
      </c>
      <c r="H44" s="11" t="n">
        <v>0.0618055555555556</v>
      </c>
      <c r="I44" s="11" t="n">
        <v>0.123611111111111</v>
      </c>
      <c r="J44" s="12" t="n">
        <f aca="false">IF(C44="ARRIRAW",ROUND(2000000/(I44*1440*60),0),ROUND(256000/(F44*1440*60),0))</f>
        <v>91</v>
      </c>
      <c r="K44" s="12" t="n">
        <f aca="false">J44*8</f>
        <v>728</v>
      </c>
      <c r="L44" s="12" t="n">
        <f aca="false">ROUND(J44*3600/1000,0)</f>
        <v>328</v>
      </c>
    </row>
    <row r="45" customFormat="false" ht="28.35" hidden="false" customHeight="false" outlineLevel="0" collapsed="false">
      <c r="A45" s="2" t="s">
        <v>925</v>
      </c>
      <c r="B45" s="2" t="s">
        <v>923</v>
      </c>
      <c r="C45" s="2" t="s">
        <v>880</v>
      </c>
      <c r="D45" s="11" t="n">
        <v>0.00555555555555556</v>
      </c>
      <c r="E45" s="11" t="n">
        <v>0.0104166666666667</v>
      </c>
      <c r="F45" s="11" t="n">
        <v>0.0222222222222222</v>
      </c>
      <c r="G45" s="11" t="n">
        <v>0.0208333333333333</v>
      </c>
      <c r="H45" s="11" t="n">
        <v>0.0409722222222222</v>
      </c>
      <c r="I45" s="11" t="n">
        <v>0.0819444444444444</v>
      </c>
      <c r="J45" s="12" t="n">
        <f aca="false">IF(C45="ARRIRAW",ROUND(2000000/(I45*1440*60),0),ROUND(256000/(F45*1440*60),0))</f>
        <v>133</v>
      </c>
      <c r="K45" s="12" t="n">
        <f aca="false">J45*8</f>
        <v>1064</v>
      </c>
      <c r="L45" s="12" t="n">
        <f aca="false">ROUND(J45*3600/1000,0)</f>
        <v>479</v>
      </c>
    </row>
    <row r="46" customFormat="false" ht="28.35" hidden="false" customHeight="false" outlineLevel="0" collapsed="false">
      <c r="A46" s="2" t="s">
        <v>926</v>
      </c>
      <c r="B46" s="2" t="s">
        <v>923</v>
      </c>
      <c r="C46" s="2" t="s">
        <v>882</v>
      </c>
      <c r="D46" s="13" t="s">
        <v>893</v>
      </c>
      <c r="E46" s="13" t="s">
        <v>893</v>
      </c>
      <c r="F46" s="11" t="n">
        <v>0.0145833333333333</v>
      </c>
      <c r="G46" s="11" t="n">
        <v>0.0138888888888889</v>
      </c>
      <c r="H46" s="11" t="n">
        <v>0.0270833333333333</v>
      </c>
      <c r="I46" s="11" t="n">
        <v>0.0548611111111111</v>
      </c>
      <c r="J46" s="12" t="n">
        <f aca="false">IF(C46="ARRIRAW",ROUND(2000000/(I46*1440*60),0),ROUND(256000/(F46*1440*60),0))</f>
        <v>203</v>
      </c>
      <c r="K46" s="12" t="n">
        <f aca="false">J46*8</f>
        <v>1624</v>
      </c>
      <c r="L46" s="12" t="n">
        <f aca="false">ROUND(J46*3600/1000,0)</f>
        <v>731</v>
      </c>
    </row>
    <row r="47" customFormat="false" ht="41.75" hidden="false" customHeight="false" outlineLevel="0" collapsed="false">
      <c r="A47" s="2" t="s">
        <v>927</v>
      </c>
      <c r="B47" s="2" t="s">
        <v>928</v>
      </c>
      <c r="C47" s="2" t="s">
        <v>876</v>
      </c>
      <c r="D47" s="11" t="n">
        <v>0.00833333333333333</v>
      </c>
      <c r="E47" s="11" t="n">
        <v>0.0166666666666667</v>
      </c>
      <c r="F47" s="11" t="n">
        <v>0.0340277777777778</v>
      </c>
      <c r="G47" s="11" t="n">
        <v>0.0319444444444444</v>
      </c>
      <c r="H47" s="11" t="n">
        <v>0.0645833333333333</v>
      </c>
      <c r="I47" s="11" t="n">
        <v>0.128472222222222</v>
      </c>
      <c r="J47" s="12" t="n">
        <f aca="false">IF(C47="ARRIRAW",ROUND(2000000/(I47*1440*60),0),ROUND(256000/(F47*1440*60),0))</f>
        <v>87</v>
      </c>
      <c r="K47" s="12" t="n">
        <f aca="false">J47*8</f>
        <v>696</v>
      </c>
      <c r="L47" s="12" t="n">
        <f aca="false">ROUND(J47*3600/1000,0)</f>
        <v>313</v>
      </c>
    </row>
    <row r="48" customFormat="false" ht="41.75" hidden="false" customHeight="false" outlineLevel="0" collapsed="false">
      <c r="A48" s="2" t="s">
        <v>929</v>
      </c>
      <c r="B48" s="2" t="s">
        <v>928</v>
      </c>
      <c r="C48" s="2" t="s">
        <v>878</v>
      </c>
      <c r="D48" s="11" t="n">
        <v>0.00555555555555556</v>
      </c>
      <c r="E48" s="11" t="n">
        <v>0.0111111111111111</v>
      </c>
      <c r="F48" s="11" t="n">
        <v>0.0229166666666667</v>
      </c>
      <c r="G48" s="11" t="n">
        <v>0.0215277777777778</v>
      </c>
      <c r="H48" s="11" t="n">
        <v>0.0430555555555556</v>
      </c>
      <c r="I48" s="11" t="n">
        <v>0.0854166666666667</v>
      </c>
      <c r="J48" s="12" t="n">
        <f aca="false">IF(C48="ARRIRAW",ROUND(2000000/(I48*1440*60),0),ROUND(256000/(F48*1440*60),0))</f>
        <v>129</v>
      </c>
      <c r="K48" s="12" t="n">
        <f aca="false">J48*8</f>
        <v>1032</v>
      </c>
      <c r="L48" s="12" t="n">
        <f aca="false">ROUND(J48*3600/1000,0)</f>
        <v>464</v>
      </c>
    </row>
    <row r="49" customFormat="false" ht="41.75" hidden="false" customHeight="false" outlineLevel="0" collapsed="false">
      <c r="A49" s="2" t="s">
        <v>930</v>
      </c>
      <c r="B49" s="2" t="s">
        <v>928</v>
      </c>
      <c r="C49" s="2" t="s">
        <v>880</v>
      </c>
      <c r="D49" s="13" t="s">
        <v>893</v>
      </c>
      <c r="E49" s="13" t="s">
        <v>893</v>
      </c>
      <c r="F49" s="11" t="n">
        <v>0.0152777777777778</v>
      </c>
      <c r="G49" s="11" t="n">
        <v>0.0145833333333333</v>
      </c>
      <c r="H49" s="11" t="n">
        <v>0.0284722222222222</v>
      </c>
      <c r="I49" s="11" t="n">
        <v>0.0569444444444444</v>
      </c>
      <c r="J49" s="12" t="n">
        <f aca="false">IF(C49="ARRIRAW",ROUND(2000000/(I49*1440*60),0),ROUND(256000/(F49*1440*60),0))</f>
        <v>194</v>
      </c>
      <c r="K49" s="12" t="n">
        <f aca="false">J49*8</f>
        <v>1552</v>
      </c>
      <c r="L49" s="12" t="n">
        <f aca="false">ROUND(J49*3600/1000,0)</f>
        <v>698</v>
      </c>
    </row>
    <row r="50" customFormat="false" ht="41.75" hidden="false" customHeight="false" outlineLevel="0" collapsed="false">
      <c r="A50" s="2" t="s">
        <v>931</v>
      </c>
      <c r="B50" s="2" t="s">
        <v>928</v>
      </c>
      <c r="C50" s="2" t="s">
        <v>882</v>
      </c>
      <c r="D50" s="13" t="s">
        <v>893</v>
      </c>
      <c r="E50" s="13" t="s">
        <v>893</v>
      </c>
      <c r="F50" s="11" t="n">
        <v>0.0104166666666667</v>
      </c>
      <c r="G50" s="11" t="n">
        <v>0.00972222222222222</v>
      </c>
      <c r="H50" s="11" t="n">
        <v>0.01875</v>
      </c>
      <c r="I50" s="11" t="n">
        <v>0.0381944444444445</v>
      </c>
      <c r="J50" s="12" t="n">
        <f aca="false">IF(C50="ARRIRAW",ROUND(2000000/(I50*1440*60),0),ROUND(256000/(F50*1440*60),0))</f>
        <v>284</v>
      </c>
      <c r="K50" s="12" t="n">
        <f aca="false">J50*8</f>
        <v>2272</v>
      </c>
      <c r="L50" s="12" t="n">
        <f aca="false">ROUND(J50*3600/1000,0)</f>
        <v>1022</v>
      </c>
    </row>
    <row r="51" customFormat="false" ht="41.75" hidden="false" customHeight="false" outlineLevel="0" collapsed="false">
      <c r="A51" s="2" t="s">
        <v>932</v>
      </c>
      <c r="B51" s="2" t="s">
        <v>933</v>
      </c>
      <c r="C51" s="2" t="s">
        <v>792</v>
      </c>
      <c r="D51" s="13" t="s">
        <v>893</v>
      </c>
      <c r="E51" s="13" t="s">
        <v>893</v>
      </c>
      <c r="F51" s="13" t="s">
        <v>893</v>
      </c>
      <c r="G51" s="11" t="n">
        <v>0.0201388888888889</v>
      </c>
      <c r="H51" s="11" t="n">
        <v>0.0409722222222222</v>
      </c>
      <c r="I51" s="11" t="n">
        <v>0.0819444444444444</v>
      </c>
      <c r="J51" s="12" t="n">
        <f aca="false">IF(C51="ARRIRAW",ROUND(2000000/(I51*1440*60),0),ROUND(256000/(F51*1440*60),0))</f>
        <v>282</v>
      </c>
      <c r="K51" s="12" t="n">
        <f aca="false">J51*8</f>
        <v>2256</v>
      </c>
      <c r="L51" s="12" t="n">
        <f aca="false">ROUND(J51*3600/1000,0)</f>
        <v>1015</v>
      </c>
    </row>
    <row r="53" customFormat="false" ht="31.5" hidden="false" customHeight="true" outlineLevel="0" collapsed="false">
      <c r="A53" s="2" t="s">
        <v>411</v>
      </c>
      <c r="B53" s="6" t="s">
        <v>934</v>
      </c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31.5" hidden="false" customHeight="true" outlineLevel="0" collapsed="false">
      <c r="A54" s="2" t="s">
        <v>411</v>
      </c>
      <c r="B54" s="6" t="s">
        <v>935</v>
      </c>
      <c r="C54" s="6"/>
      <c r="D54" s="6"/>
      <c r="E54" s="6"/>
      <c r="F54" s="6"/>
      <c r="G54" s="6"/>
      <c r="H54" s="6"/>
      <c r="I54" s="6"/>
      <c r="J54" s="6"/>
      <c r="K54" s="6"/>
      <c r="L54" s="6"/>
    </row>
  </sheetData>
  <autoFilter ref="A10:L51"/>
  <mergeCells count="2">
    <mergeCell ref="B53:L53"/>
    <mergeCell ref="B54:L54"/>
  </mergeCells>
  <conditionalFormatting sqref="J2:J7">
    <cfRule type="expression" priority="2" aboveAverage="0" equalAverage="0" bottom="0" percent="0" rank="0" text="" dxfId="11">
      <formula>LEFT($J2,10)="CONFIRMADO"</formula>
    </cfRule>
    <cfRule type="expression" priority="3" aboveAverage="0" equalAverage="0" bottom="0" percent="0" rank="0" text="" dxfId="12">
      <formula>LEFT($J2,9)="CALCULADO"</formula>
    </cfRule>
    <cfRule type="expression" priority="4" aboveAverage="0" equalAverage="0" bottom="0" percent="0" rank="0" text="" dxfId="12">
      <formula>LEFT($J2,9)="CONTRASTE"</formula>
    </cfRule>
    <cfRule type="expression" priority="5" aboveAverage="0" equalAverage="0" bottom="0" percent="0" rank="0" text="" dxfId="13">
      <formula>LEFT($J2,9)="PENDIENTE"</formula>
    </cfRule>
    <cfRule type="expression" priority="6" aboveAverage="0" equalAverage="0" bottom="0" percent="0" rank="0" text="" dxfId="14">
      <formula>LEFT($J2,11)="DISCREPANCIA"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936</v>
      </c>
      <c r="B1" s="1" t="s">
        <v>713</v>
      </c>
      <c r="C1" s="1" t="s">
        <v>937</v>
      </c>
      <c r="D1" s="1" t="s">
        <v>938</v>
      </c>
    </row>
    <row r="2" customFormat="false" ht="15" hidden="false" customHeight="false" outlineLevel="0" collapsed="false">
      <c r="A2" s="14" t="s">
        <v>939</v>
      </c>
    </row>
    <row r="3" customFormat="false" ht="28.35" hidden="false" customHeight="false" outlineLevel="0" collapsed="false">
      <c r="A3" s="15" t="s">
        <v>940</v>
      </c>
      <c r="B3" s="16" t="s">
        <v>932</v>
      </c>
      <c r="C3" s="15"/>
      <c r="D3" s="2" t="s">
        <v>941</v>
      </c>
    </row>
    <row r="4" customFormat="false" ht="28.35" hidden="false" customHeight="false" outlineLevel="0" collapsed="false">
      <c r="A4" s="15" t="s">
        <v>942</v>
      </c>
      <c r="B4" s="16" t="s">
        <v>870</v>
      </c>
      <c r="C4" s="15"/>
      <c r="D4" s="2" t="s">
        <v>943</v>
      </c>
    </row>
    <row r="5" customFormat="false" ht="15" hidden="false" customHeight="false" outlineLevel="0" collapsed="false">
      <c r="A5" s="15" t="s">
        <v>944</v>
      </c>
      <c r="B5" s="16" t="n">
        <v>60</v>
      </c>
      <c r="C5" s="15" t="s">
        <v>945</v>
      </c>
      <c r="D5" s="2" t="s">
        <v>946</v>
      </c>
    </row>
    <row r="6" customFormat="false" ht="15" hidden="false" customHeight="false" outlineLevel="0" collapsed="false">
      <c r="A6" s="15" t="s">
        <v>947</v>
      </c>
      <c r="B6" s="16" t="n">
        <v>1</v>
      </c>
      <c r="C6" s="15" t="s">
        <v>948</v>
      </c>
      <c r="D6" s="2" t="s">
        <v>949</v>
      </c>
    </row>
    <row r="7" customFormat="false" ht="28.35" hidden="false" customHeight="false" outlineLevel="0" collapsed="false">
      <c r="A7" s="15" t="s">
        <v>950</v>
      </c>
      <c r="B7" s="16" t="n">
        <v>2500</v>
      </c>
      <c r="C7" s="15" t="s">
        <v>951</v>
      </c>
      <c r="D7" s="2" t="s">
        <v>952</v>
      </c>
    </row>
    <row r="8" customFormat="false" ht="28.35" hidden="false" customHeight="false" outlineLevel="0" collapsed="false">
      <c r="A8" s="15" t="s">
        <v>953</v>
      </c>
      <c r="B8" s="16" t="n">
        <v>400</v>
      </c>
      <c r="C8" s="15" t="s">
        <v>951</v>
      </c>
      <c r="D8" s="2" t="s">
        <v>954</v>
      </c>
    </row>
    <row r="9" customFormat="false" ht="28.35" hidden="false" customHeight="false" outlineLevel="0" collapsed="false">
      <c r="A9" s="15" t="s">
        <v>955</v>
      </c>
      <c r="B9" s="16" t="n">
        <v>2</v>
      </c>
      <c r="C9" s="15" t="s">
        <v>956</v>
      </c>
      <c r="D9" s="2" t="s">
        <v>957</v>
      </c>
    </row>
    <row r="10" customFormat="false" ht="15" hidden="false" customHeight="false" outlineLevel="0" collapsed="false">
      <c r="A10" s="15" t="s">
        <v>958</v>
      </c>
      <c r="B10" s="16" t="n">
        <v>1</v>
      </c>
      <c r="C10" s="15"/>
      <c r="D10" s="2" t="s">
        <v>959</v>
      </c>
    </row>
    <row r="11" customFormat="false" ht="15" hidden="false" customHeight="false" outlineLevel="0" collapsed="false">
      <c r="A11" s="14" t="s">
        <v>960</v>
      </c>
    </row>
    <row r="12" customFormat="false" ht="15" hidden="false" customHeight="false" outlineLevel="0" collapsed="false">
      <c r="A12" s="15" t="s">
        <v>371</v>
      </c>
      <c r="B12" s="10" t="str">
        <f aca="false">INDEX(15_SXT_Almacenamiento!$B$11:$B$51,MATCH(B3,15_SXT_Almacenamiento!$A$11:$A$51,0))&amp;" · "&amp;INDEX(15_SXT_Almacenamiento!$C$11:$C$51,MATCH(B3,15_SXT_Almacenamiento!$A$11:$A$51,0))</f>
        <v>Open Gate ARRIRAW 3.4K · ARRIRAW</v>
      </c>
      <c r="C12" s="15"/>
      <c r="D12" s="2" t="s">
        <v>961</v>
      </c>
    </row>
    <row r="13" customFormat="false" ht="15" hidden="false" customHeight="false" outlineLevel="0" collapsed="false">
      <c r="A13" s="15" t="s">
        <v>962</v>
      </c>
      <c r="B13" s="17" t="n">
        <f aca="false">INDEX(15_SXT_Almacenamiento!$J$11:$J$51,MATCH(B3,15_SXT_Almacenamiento!$A$11:$A$51,0))</f>
        <v>282</v>
      </c>
      <c r="C13" s="15" t="s">
        <v>951</v>
      </c>
      <c r="D13" s="2" t="s">
        <v>963</v>
      </c>
    </row>
    <row r="14" customFormat="false" ht="15" hidden="false" customHeight="false" outlineLevel="0" collapsed="false">
      <c r="A14" s="15" t="s">
        <v>964</v>
      </c>
      <c r="B14" s="17" t="n">
        <f aca="false">IFERROR(INDEX(15_SXT_Almacenamiento!$D$11:$I$51,MATCH(B3,15_SXT_Almacenamiento!$A$11:$A$51,0),MATCH(B4,{"SxS 64 GB","SxS 128 GB","CFast 256 GB","XR 512 GB","SXR 1 TB","SXR 2 TB"},0))*1440,"n/d")</f>
        <v>118</v>
      </c>
      <c r="C14" s="15" t="s">
        <v>945</v>
      </c>
      <c r="D14" s="2" t="s">
        <v>965</v>
      </c>
    </row>
    <row r="15" customFormat="false" ht="15" hidden="false" customHeight="false" outlineLevel="0" collapsed="false">
      <c r="A15" s="15" t="s">
        <v>966</v>
      </c>
      <c r="B15" s="18" t="n">
        <f aca="false">ROUND(B13*B5*60/1000,0)</f>
        <v>1015</v>
      </c>
      <c r="C15" s="15" t="s">
        <v>967</v>
      </c>
      <c r="D15" s="2" t="s">
        <v>968</v>
      </c>
    </row>
    <row r="16" customFormat="false" ht="15" hidden="false" customHeight="false" outlineLevel="0" collapsed="false">
      <c r="A16" s="15" t="s">
        <v>969</v>
      </c>
      <c r="B16" s="19" t="n">
        <f aca="false">ROUND(B15*B6/1000,2)</f>
        <v>1.02</v>
      </c>
      <c r="C16" s="15" t="s">
        <v>970</v>
      </c>
      <c r="D16" s="2" t="s">
        <v>971</v>
      </c>
    </row>
    <row r="17" customFormat="false" ht="15" hidden="false" customHeight="false" outlineLevel="0" collapsed="false">
      <c r="A17" s="15" t="s">
        <v>972</v>
      </c>
      <c r="B17" s="10" t="n">
        <f aca="false">IF(ISNUMBER(B14),ROUNDUP(B5/B14,0),"Medio no compatible")</f>
        <v>1</v>
      </c>
      <c r="C17" s="15" t="s">
        <v>973</v>
      </c>
      <c r="D17" s="2" t="s">
        <v>974</v>
      </c>
    </row>
    <row r="18" customFormat="false" ht="15" hidden="false" customHeight="false" outlineLevel="0" collapsed="false">
      <c r="A18" s="15" t="s">
        <v>975</v>
      </c>
      <c r="B18" s="18" t="n">
        <f aca="false">MIN(B7,B8)</f>
        <v>400</v>
      </c>
      <c r="C18" s="15" t="s">
        <v>951</v>
      </c>
      <c r="D18" s="2" t="s">
        <v>976</v>
      </c>
    </row>
    <row r="19" customFormat="false" ht="15" hidden="false" customHeight="false" outlineLevel="0" collapsed="false">
      <c r="A19" s="15" t="s">
        <v>977</v>
      </c>
      <c r="B19" s="19" t="n">
        <f aca="false">ROUND(B15*1000*(1+B10)/B18/3600,2)</f>
        <v>1.41</v>
      </c>
      <c r="C19" s="15" t="s">
        <v>978</v>
      </c>
      <c r="D19" s="2" t="s">
        <v>979</v>
      </c>
    </row>
    <row r="20" customFormat="false" ht="15" hidden="false" customHeight="false" outlineLevel="0" collapsed="false">
      <c r="A20" s="15" t="s">
        <v>980</v>
      </c>
      <c r="B20" s="19" t="n">
        <f aca="false">ROUND(B16*B9,2)</f>
        <v>2.04</v>
      </c>
      <c r="C20" s="15" t="s">
        <v>970</v>
      </c>
      <c r="D20" s="2" t="s">
        <v>981</v>
      </c>
    </row>
    <row r="23" customFormat="false" ht="31.5" hidden="false" customHeight="true" outlineLevel="0" collapsed="false">
      <c r="A23" s="2" t="s">
        <v>411</v>
      </c>
      <c r="B23" s="6" t="s">
        <v>982</v>
      </c>
      <c r="C23" s="6"/>
      <c r="D23" s="6"/>
    </row>
  </sheetData>
  <mergeCells count="1">
    <mergeCell ref="B23:D23"/>
  </mergeCells>
  <dataValidations count="2">
    <dataValidation allowBlank="false" errorStyle="stop" operator="between" showDropDown="false" showErrorMessage="false" showInputMessage="false" sqref="B3" type="list">
      <formula1>15_SXT_Almacenamiento!$A$11:$A$51</formula1>
      <formula2>0</formula2>
    </dataValidation>
    <dataValidation allowBlank="false" errorStyle="stop" operator="between" showDropDown="false" showErrorMessage="false" showInputMessage="false" sqref="B4" type="list">
      <formula1>"SxS 64 GB,SxS 128 GB,CFast 256 GB,XR 512 GB,SXR 1 TB,SXR 2 TB"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1" min="10" style="0" width="9"/>
    <col collapsed="false" customWidth="true" hidden="false" outlineLevel="0" max="17" min="12" style="0" width="10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0" min="20" style="0" width="14"/>
    <col collapsed="false" customWidth="true" hidden="false" outlineLevel="0" max="21" min="21" style="0" width="20"/>
    <col collapsed="false" customWidth="true" hidden="false" outlineLevel="0" max="22" min="22" style="0" width="50"/>
  </cols>
  <sheetData>
    <row r="1" customFormat="false" ht="95.5" hidden="false" customHeight="false" outlineLevel="0" collapsed="false">
      <c r="A1" s="1" t="s">
        <v>983</v>
      </c>
      <c r="B1" s="1" t="s">
        <v>984</v>
      </c>
      <c r="C1" s="1" t="s">
        <v>985</v>
      </c>
      <c r="D1" s="1" t="s">
        <v>986</v>
      </c>
      <c r="E1" s="1" t="s">
        <v>987</v>
      </c>
      <c r="F1" s="1" t="s">
        <v>378</v>
      </c>
      <c r="G1" s="1" t="s">
        <v>988</v>
      </c>
      <c r="H1" s="1" t="s">
        <v>989</v>
      </c>
      <c r="I1" s="1" t="s">
        <v>990</v>
      </c>
      <c r="J1" s="1" t="s">
        <v>991</v>
      </c>
      <c r="K1" s="1" t="s">
        <v>992</v>
      </c>
      <c r="L1" s="1" t="s">
        <v>993</v>
      </c>
      <c r="M1" s="1" t="s">
        <v>994</v>
      </c>
      <c r="N1" s="1" t="s">
        <v>995</v>
      </c>
      <c r="O1" s="1" t="s">
        <v>996</v>
      </c>
      <c r="P1" s="1" t="s">
        <v>997</v>
      </c>
      <c r="Q1" s="1" t="s">
        <v>998</v>
      </c>
      <c r="R1" s="1" t="s">
        <v>999</v>
      </c>
      <c r="S1" s="1" t="s">
        <v>246</v>
      </c>
      <c r="T1" s="1" t="s">
        <v>380</v>
      </c>
      <c r="U1" s="1" t="s">
        <v>96</v>
      </c>
      <c r="V1" s="1" t="s">
        <v>430</v>
      </c>
    </row>
    <row r="2" customFormat="false" ht="28.35" hidden="false" customHeight="false" outlineLevel="0" collapsed="false">
      <c r="A2" s="2" t="s">
        <v>1000</v>
      </c>
      <c r="B2" s="2" t="s">
        <v>1001</v>
      </c>
      <c r="C2" s="5" t="n">
        <v>18</v>
      </c>
      <c r="D2" s="2" t="s">
        <v>1002</v>
      </c>
      <c r="E2" s="2" t="s">
        <v>1003</v>
      </c>
      <c r="F2" s="2" t="s">
        <v>1004</v>
      </c>
      <c r="G2" s="5" t="n">
        <v>80</v>
      </c>
      <c r="H2" s="5" t="n">
        <v>0.25</v>
      </c>
      <c r="I2" s="5" t="n">
        <v>0.3</v>
      </c>
      <c r="J2" s="5" t="n">
        <v>1.19</v>
      </c>
      <c r="K2" s="5" t="n">
        <v>7</v>
      </c>
      <c r="L2" s="5" t="n">
        <v>33</v>
      </c>
      <c r="M2" s="5" t="n">
        <v>34</v>
      </c>
      <c r="N2" s="5" t="n">
        <v>32</v>
      </c>
      <c r="O2" s="5" t="n">
        <v>33</v>
      </c>
      <c r="P2" s="2" t="n">
        <f aca="false">L2</f>
        <v>33</v>
      </c>
      <c r="Q2" s="2" t="n">
        <f aca="false">MIN(L2:O2)</f>
        <v>32</v>
      </c>
      <c r="R2" s="2" t="s">
        <v>1005</v>
      </c>
      <c r="T2" s="2" t="s">
        <v>1006</v>
      </c>
      <c r="U2" s="2" t="s">
        <v>1007</v>
      </c>
      <c r="V2" s="2"/>
    </row>
    <row r="3" customFormat="false" ht="28.35" hidden="false" customHeight="false" outlineLevel="0" collapsed="false">
      <c r="A3" s="2" t="s">
        <v>1008</v>
      </c>
      <c r="B3" s="2" t="s">
        <v>1001</v>
      </c>
      <c r="C3" s="5" t="n">
        <v>25</v>
      </c>
      <c r="D3" s="2" t="s">
        <v>1002</v>
      </c>
      <c r="E3" s="2" t="s">
        <v>1009</v>
      </c>
      <c r="F3" s="2" t="s">
        <v>1004</v>
      </c>
      <c r="G3" s="5" t="n">
        <v>80</v>
      </c>
      <c r="H3" s="5" t="n">
        <v>0.25</v>
      </c>
      <c r="I3" s="5" t="n">
        <v>0.3</v>
      </c>
      <c r="J3" s="5" t="n">
        <v>0.83</v>
      </c>
      <c r="K3" s="5" t="n">
        <v>7</v>
      </c>
      <c r="L3" s="5" t="n">
        <v>37</v>
      </c>
      <c r="M3" s="5" t="n">
        <v>40</v>
      </c>
      <c r="N3" s="5" t="n">
        <v>36</v>
      </c>
      <c r="O3" s="5" t="n">
        <v>38</v>
      </c>
      <c r="P3" s="2" t="n">
        <f aca="false">L3</f>
        <v>37</v>
      </c>
      <c r="Q3" s="2" t="n">
        <f aca="false">MIN(L3:O3)</f>
        <v>36</v>
      </c>
      <c r="R3" s="2" t="s">
        <v>1005</v>
      </c>
      <c r="T3" s="2" t="s">
        <v>1006</v>
      </c>
      <c r="U3" s="2" t="s">
        <v>1007</v>
      </c>
      <c r="V3" s="2" t="s">
        <v>1010</v>
      </c>
    </row>
    <row r="4" customFormat="false" ht="28.35" hidden="false" customHeight="false" outlineLevel="0" collapsed="false">
      <c r="A4" s="2" t="s">
        <v>1011</v>
      </c>
      <c r="B4" s="2" t="s">
        <v>1001</v>
      </c>
      <c r="C4" s="5" t="n">
        <v>35</v>
      </c>
      <c r="D4" s="2" t="s">
        <v>1002</v>
      </c>
      <c r="E4" s="2" t="s">
        <v>1009</v>
      </c>
      <c r="F4" s="2" t="s">
        <v>1004</v>
      </c>
      <c r="G4" s="5" t="n">
        <v>80</v>
      </c>
      <c r="H4" s="5" t="n">
        <v>0.35</v>
      </c>
      <c r="I4" s="5" t="n">
        <v>0.35</v>
      </c>
      <c r="J4" s="5" t="n">
        <v>0.72</v>
      </c>
      <c r="K4" s="5" t="n">
        <v>7</v>
      </c>
      <c r="L4" s="5" t="n">
        <v>37</v>
      </c>
      <c r="M4" s="5" t="n">
        <v>40</v>
      </c>
      <c r="N4" s="5" t="n">
        <v>36</v>
      </c>
      <c r="O4" s="5" t="n">
        <v>38</v>
      </c>
      <c r="P4" s="2" t="n">
        <f aca="false">L4</f>
        <v>37</v>
      </c>
      <c r="Q4" s="2" t="n">
        <f aca="false">MIN(L4:O4)</f>
        <v>36</v>
      </c>
      <c r="R4" s="2" t="s">
        <v>1005</v>
      </c>
      <c r="T4" s="2" t="s">
        <v>1006</v>
      </c>
      <c r="U4" s="2" t="s">
        <v>1007</v>
      </c>
      <c r="V4" s="2" t="s">
        <v>1012</v>
      </c>
    </row>
    <row r="5" customFormat="false" ht="28.35" hidden="false" customHeight="false" outlineLevel="0" collapsed="false">
      <c r="A5" s="2" t="s">
        <v>1013</v>
      </c>
      <c r="B5" s="2" t="s">
        <v>1001</v>
      </c>
      <c r="C5" s="5" t="n">
        <v>50</v>
      </c>
      <c r="D5" s="2" t="s">
        <v>1002</v>
      </c>
      <c r="E5" s="2" t="s">
        <v>1009</v>
      </c>
      <c r="F5" s="2" t="s">
        <v>1004</v>
      </c>
      <c r="G5" s="5" t="n">
        <v>80</v>
      </c>
      <c r="H5" s="5" t="n">
        <v>0.7</v>
      </c>
      <c r="I5" s="5" t="n">
        <v>0.71</v>
      </c>
      <c r="J5" s="5" t="n">
        <v>0.7</v>
      </c>
      <c r="K5" s="5" t="n">
        <v>7</v>
      </c>
      <c r="L5" s="5" t="n">
        <v>41</v>
      </c>
      <c r="M5" s="5" t="n">
        <v>45</v>
      </c>
      <c r="N5" s="5" t="n">
        <v>41</v>
      </c>
      <c r="O5" s="5" t="n">
        <v>40</v>
      </c>
      <c r="P5" s="2" t="n">
        <f aca="false">L5</f>
        <v>41</v>
      </c>
      <c r="Q5" s="2" t="n">
        <f aca="false">MIN(L5:O5)</f>
        <v>40</v>
      </c>
      <c r="R5" s="2" t="s">
        <v>1005</v>
      </c>
      <c r="T5" s="2" t="s">
        <v>1006</v>
      </c>
      <c r="U5" s="2" t="s">
        <v>1007</v>
      </c>
      <c r="V5" s="2" t="s">
        <v>1012</v>
      </c>
    </row>
    <row r="6" customFormat="false" ht="28.35" hidden="false" customHeight="false" outlineLevel="0" collapsed="false">
      <c r="A6" s="2" t="s">
        <v>1014</v>
      </c>
      <c r="B6" s="2" t="s">
        <v>1001</v>
      </c>
      <c r="C6" s="5" t="n">
        <v>85</v>
      </c>
      <c r="D6" s="2" t="s">
        <v>1002</v>
      </c>
      <c r="E6" s="2" t="s">
        <v>1003</v>
      </c>
      <c r="F6" s="2" t="s">
        <v>1004</v>
      </c>
      <c r="G6" s="5" t="n">
        <v>80</v>
      </c>
      <c r="H6" s="5" t="n">
        <v>0.9</v>
      </c>
      <c r="I6" s="5" t="n">
        <v>0.9</v>
      </c>
      <c r="J6" s="5" t="n">
        <v>1.02</v>
      </c>
      <c r="K6" s="5" t="n">
        <v>7</v>
      </c>
      <c r="L6" s="5" t="n">
        <v>60</v>
      </c>
      <c r="M6" s="5" t="n">
        <v>60</v>
      </c>
      <c r="N6" s="5" t="n">
        <v>60</v>
      </c>
      <c r="O6" s="5" t="n">
        <v>54</v>
      </c>
      <c r="P6" s="2" t="n">
        <f aca="false">L6</f>
        <v>60</v>
      </c>
      <c r="Q6" s="2" t="n">
        <f aca="false">MIN(L6:O6)</f>
        <v>54</v>
      </c>
      <c r="R6" s="2" t="s">
        <v>1005</v>
      </c>
      <c r="T6" s="2" t="s">
        <v>1006</v>
      </c>
      <c r="U6" s="2" t="s">
        <v>1007</v>
      </c>
      <c r="V6" s="2" t="s">
        <v>1015</v>
      </c>
    </row>
    <row r="8" customFormat="false" ht="31.5" hidden="false" customHeight="true" outlineLevel="0" collapsed="false">
      <c r="A8" s="2" t="s">
        <v>411</v>
      </c>
      <c r="B8" s="6" t="s">
        <v>1016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customFormat="false" ht="31.5" hidden="false" customHeight="true" outlineLevel="0" collapsed="false">
      <c r="A9" s="2" t="s">
        <v>411</v>
      </c>
      <c r="B9" s="6" t="s">
        <v>1017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</sheetData>
  <autoFilter ref="A1:V6"/>
  <mergeCells count="2">
    <mergeCell ref="B8:V8"/>
    <mergeCell ref="B9:V9"/>
  </mergeCells>
  <conditionalFormatting sqref="U2:U6">
    <cfRule type="expression" priority="2" aboveAverage="0" equalAverage="0" bottom="0" percent="0" rank="0" text="" dxfId="11">
      <formula>LEFT($U2,10)="CONFIRMADO"</formula>
    </cfRule>
    <cfRule type="expression" priority="3" aboveAverage="0" equalAverage="0" bottom="0" percent="0" rank="0" text="" dxfId="12">
      <formula>LEFT($U2,9)="CALCULADO"</formula>
    </cfRule>
    <cfRule type="expression" priority="4" aboveAverage="0" equalAverage="0" bottom="0" percent="0" rank="0" text="" dxfId="12">
      <formula>LEFT($U2,9)="CONTRASTE"</formula>
    </cfRule>
    <cfRule type="expression" priority="5" aboveAverage="0" equalAverage="0" bottom="0" percent="0" rank="0" text="" dxfId="13">
      <formula>LEFT($U2,9)="PENDIENTE"</formula>
    </cfRule>
    <cfRule type="expression" priority="6" aboveAverage="0" equalAverage="0" bottom="0" percent="0" rank="0" text="" dxfId="14">
      <formula>LEFT($U2,11)="DISCREPANCIA"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8" min="4" style="0" width="17"/>
    <col collapsed="false" customWidth="true" hidden="false" outlineLevel="0" max="9" min="9" style="0" width="30"/>
  </cols>
  <sheetData>
    <row r="1" customFormat="false" ht="41.75" hidden="false" customHeight="false" outlineLevel="0" collapsed="false">
      <c r="A1" s="1" t="s">
        <v>413</v>
      </c>
      <c r="B1" s="1" t="s">
        <v>1018</v>
      </c>
      <c r="C1" s="1" t="s">
        <v>1019</v>
      </c>
      <c r="D1" s="1" t="s">
        <v>1020</v>
      </c>
      <c r="E1" s="1" t="s">
        <v>1021</v>
      </c>
      <c r="F1" s="1" t="s">
        <v>1022</v>
      </c>
      <c r="G1" s="1" t="s">
        <v>1023</v>
      </c>
      <c r="H1" s="1" t="s">
        <v>1024</v>
      </c>
      <c r="I1" s="1" t="s">
        <v>1025</v>
      </c>
    </row>
    <row r="2" customFormat="false" ht="15" hidden="false" customHeight="false" outlineLevel="0" collapsed="false">
      <c r="A2" s="2" t="str">
        <f aca="false">14_SXT_Modos!A2</f>
        <v>SXT-01</v>
      </c>
      <c r="B2" s="2" t="str">
        <f aca="false">14_SXT_Modos!B2&amp;" · "&amp;14_SXT_Modos!C2</f>
        <v>16:9 · ProRes HD</v>
      </c>
      <c r="C2" s="20" t="n">
        <f aca="false">14_SXT_Modos!O2</f>
        <v>27.26</v>
      </c>
      <c r="D2" s="13" t="str">
        <f aca="false">IF(17_Opticas_SuperSpeed!$Q$2&gt;=$C2,"CUBRE",IF(17_Opticas_SuperSpeed!$P$2&gt;=$C2,"LÍMITE",IF(17_Opticas_SuperSpeed!$P$2&gt;=$C2-1,"RIESGO","VIÑETEA")))</f>
        <v>CUBRE</v>
      </c>
      <c r="E2" s="13" t="str">
        <f aca="false">IF(17_Opticas_SuperSpeed!$Q$3&gt;=$C2,"CUBRE",IF(17_Opticas_SuperSpeed!$P$3&gt;=$C2,"LÍMITE",IF(17_Opticas_SuperSpeed!$P$3&gt;=$C2-1,"RIESGO","VIÑETEA")))</f>
        <v>CUBRE</v>
      </c>
      <c r="F2" s="13" t="str">
        <f aca="false">IF(17_Opticas_SuperSpeed!$Q$4&gt;=$C2,"CUBRE",IF(17_Opticas_SuperSpeed!$P$4&gt;=$C2,"LÍMITE",IF(17_Opticas_SuperSpeed!$P$4&gt;=$C2-1,"RIESGO","VIÑETEA")))</f>
        <v>CUBRE</v>
      </c>
      <c r="G2" s="13" t="str">
        <f aca="false">IF(17_Opticas_SuperSpeed!$Q$5&gt;=$C2,"CUBRE",IF(17_Opticas_SuperSpeed!$P$5&gt;=$C2,"LÍMITE",IF(17_Opticas_SuperSpeed!$P$5&gt;=$C2-1,"RIESGO","VIÑETEA")))</f>
        <v>CUBRE</v>
      </c>
      <c r="H2" s="13" t="str">
        <f aca="false">IF(17_Opticas_SuperSpeed!$Q$6&gt;=$C2,"CUBRE",IF(17_Opticas_SuperSpeed!$P$6&gt;=$C2,"LÍMITE",IF(17_Opticas_SuperSpeed!$P$6&gt;=$C2-1,"RIESGO","VIÑETEA")))</f>
        <v>CUBRE</v>
      </c>
      <c r="I2" s="2" t="str">
        <f aca="false">14_SXT_Modos!S2</f>
        <v>Sí</v>
      </c>
    </row>
    <row r="3" customFormat="false" ht="15" hidden="false" customHeight="false" outlineLevel="0" collapsed="false">
      <c r="A3" s="2" t="str">
        <f aca="false">14_SXT_Modos!A3</f>
        <v>SXT-02</v>
      </c>
      <c r="B3" s="2" t="str">
        <f aca="false">14_SXT_Modos!B3&amp;" · "&amp;14_SXT_Modos!C3</f>
        <v>16:9 · ProRes 2K</v>
      </c>
      <c r="C3" s="20" t="n">
        <f aca="false">14_SXT_Modos!O3</f>
        <v>27.26</v>
      </c>
      <c r="D3" s="13" t="str">
        <f aca="false">IF(17_Opticas_SuperSpeed!$Q$2&gt;=$C3,"CUBRE",IF(17_Opticas_SuperSpeed!$P$2&gt;=$C3,"LÍMITE",IF(17_Opticas_SuperSpeed!$P$2&gt;=$C3-1,"RIESGO","VIÑETEA")))</f>
        <v>CUBRE</v>
      </c>
      <c r="E3" s="13" t="str">
        <f aca="false">IF(17_Opticas_SuperSpeed!$Q$3&gt;=$C3,"CUBRE",IF(17_Opticas_SuperSpeed!$P$3&gt;=$C3,"LÍMITE",IF(17_Opticas_SuperSpeed!$P$3&gt;=$C3-1,"RIESGO","VIÑETEA")))</f>
        <v>CUBRE</v>
      </c>
      <c r="F3" s="13" t="str">
        <f aca="false">IF(17_Opticas_SuperSpeed!$Q$4&gt;=$C3,"CUBRE",IF(17_Opticas_SuperSpeed!$P$4&gt;=$C3,"LÍMITE",IF(17_Opticas_SuperSpeed!$P$4&gt;=$C3-1,"RIESGO","VIÑETEA")))</f>
        <v>CUBRE</v>
      </c>
      <c r="G3" s="13" t="str">
        <f aca="false">IF(17_Opticas_SuperSpeed!$Q$5&gt;=$C3,"CUBRE",IF(17_Opticas_SuperSpeed!$P$5&gt;=$C3,"LÍMITE",IF(17_Opticas_SuperSpeed!$P$5&gt;=$C3-1,"RIESGO","VIÑETEA")))</f>
        <v>CUBRE</v>
      </c>
      <c r="H3" s="13" t="str">
        <f aca="false">IF(17_Opticas_SuperSpeed!$Q$6&gt;=$C3,"CUBRE",IF(17_Opticas_SuperSpeed!$P$6&gt;=$C3,"LÍMITE",IF(17_Opticas_SuperSpeed!$P$6&gt;=$C3-1,"RIESGO","VIÑETEA")))</f>
        <v>CUBRE</v>
      </c>
      <c r="I3" s="2" t="str">
        <f aca="false">14_SXT_Modos!S3</f>
        <v>Sí</v>
      </c>
    </row>
    <row r="4" customFormat="false" ht="15" hidden="false" customHeight="false" outlineLevel="0" collapsed="false">
      <c r="A4" s="2" t="str">
        <f aca="false">14_SXT_Modos!A4</f>
        <v>SXT-03</v>
      </c>
      <c r="B4" s="2" t="str">
        <f aca="false">14_SXT_Modos!B4&amp;" · "&amp;14_SXT_Modos!C4</f>
        <v>16:9 · ProRes 3.2K</v>
      </c>
      <c r="C4" s="20" t="n">
        <f aca="false">14_SXT_Modos!O4</f>
        <v>30.29</v>
      </c>
      <c r="D4" s="13" t="str">
        <f aca="false">IF(17_Opticas_SuperSpeed!$Q$2&gt;=$C4,"CUBRE",IF(17_Opticas_SuperSpeed!$P$2&gt;=$C4,"LÍMITE",IF(17_Opticas_SuperSpeed!$P$2&gt;=$C4-1,"RIESGO","VIÑETEA")))</f>
        <v>CUBRE</v>
      </c>
      <c r="E4" s="13" t="str">
        <f aca="false">IF(17_Opticas_SuperSpeed!$Q$3&gt;=$C4,"CUBRE",IF(17_Opticas_SuperSpeed!$P$3&gt;=$C4,"LÍMITE",IF(17_Opticas_SuperSpeed!$P$3&gt;=$C4-1,"RIESGO","VIÑETEA")))</f>
        <v>CUBRE</v>
      </c>
      <c r="F4" s="13" t="str">
        <f aca="false">IF(17_Opticas_SuperSpeed!$Q$4&gt;=$C4,"CUBRE",IF(17_Opticas_SuperSpeed!$P$4&gt;=$C4,"LÍMITE",IF(17_Opticas_SuperSpeed!$P$4&gt;=$C4-1,"RIESGO","VIÑETEA")))</f>
        <v>CUBRE</v>
      </c>
      <c r="G4" s="13" t="str">
        <f aca="false">IF(17_Opticas_SuperSpeed!$Q$5&gt;=$C4,"CUBRE",IF(17_Opticas_SuperSpeed!$P$5&gt;=$C4,"LÍMITE",IF(17_Opticas_SuperSpeed!$P$5&gt;=$C4-1,"RIESGO","VIÑETEA")))</f>
        <v>CUBRE</v>
      </c>
      <c r="H4" s="13" t="str">
        <f aca="false">IF(17_Opticas_SuperSpeed!$Q$6&gt;=$C4,"CUBRE",IF(17_Opticas_SuperSpeed!$P$6&gt;=$C4,"LÍMITE",IF(17_Opticas_SuperSpeed!$P$6&gt;=$C4-1,"RIESGO","VIÑETEA")))</f>
        <v>CUBRE</v>
      </c>
      <c r="I4" s="2" t="str">
        <f aca="false">14_SXT_Modos!S4</f>
        <v>Sí</v>
      </c>
    </row>
    <row r="5" customFormat="false" ht="15" hidden="false" customHeight="false" outlineLevel="0" collapsed="false">
      <c r="A5" s="2" t="str">
        <f aca="false">14_SXT_Modos!A5</f>
        <v>SXT-04</v>
      </c>
      <c r="B5" s="2" t="str">
        <f aca="false">14_SXT_Modos!B5&amp;" · "&amp;14_SXT_Modos!C5</f>
        <v>16:9 · ProRes 4K UHD</v>
      </c>
      <c r="C5" s="20" t="n">
        <f aca="false">14_SXT_Modos!O5</f>
        <v>30.29</v>
      </c>
      <c r="D5" s="13" t="str">
        <f aca="false">IF(17_Opticas_SuperSpeed!$Q$2&gt;=$C5,"CUBRE",IF(17_Opticas_SuperSpeed!$P$2&gt;=$C5,"LÍMITE",IF(17_Opticas_SuperSpeed!$P$2&gt;=$C5-1,"RIESGO","VIÑETEA")))</f>
        <v>CUBRE</v>
      </c>
      <c r="E5" s="13" t="str">
        <f aca="false">IF(17_Opticas_SuperSpeed!$Q$3&gt;=$C5,"CUBRE",IF(17_Opticas_SuperSpeed!$P$3&gt;=$C5,"LÍMITE",IF(17_Opticas_SuperSpeed!$P$3&gt;=$C5-1,"RIESGO","VIÑETEA")))</f>
        <v>CUBRE</v>
      </c>
      <c r="F5" s="13" t="str">
        <f aca="false">IF(17_Opticas_SuperSpeed!$Q$4&gt;=$C5,"CUBRE",IF(17_Opticas_SuperSpeed!$P$4&gt;=$C5,"LÍMITE",IF(17_Opticas_SuperSpeed!$P$4&gt;=$C5-1,"RIESGO","VIÑETEA")))</f>
        <v>CUBRE</v>
      </c>
      <c r="G5" s="13" t="str">
        <f aca="false">IF(17_Opticas_SuperSpeed!$Q$5&gt;=$C5,"CUBRE",IF(17_Opticas_SuperSpeed!$P$5&gt;=$C5,"LÍMITE",IF(17_Opticas_SuperSpeed!$P$5&gt;=$C5-1,"RIESGO","VIÑETEA")))</f>
        <v>CUBRE</v>
      </c>
      <c r="H5" s="13" t="str">
        <f aca="false">IF(17_Opticas_SuperSpeed!$Q$6&gt;=$C5,"CUBRE",IF(17_Opticas_SuperSpeed!$P$6&gt;=$C5,"LÍMITE",IF(17_Opticas_SuperSpeed!$P$6&gt;=$C5-1,"RIESGO","VIÑETEA")))</f>
        <v>CUBRE</v>
      </c>
      <c r="I5" s="2" t="str">
        <f aca="false">14_SXT_Modos!S5</f>
        <v>Sí</v>
      </c>
    </row>
    <row r="6" customFormat="false" ht="15" hidden="false" customHeight="false" outlineLevel="0" collapsed="false">
      <c r="A6" s="2" t="str">
        <f aca="false">14_SXT_Modos!A6</f>
        <v>SXT-05</v>
      </c>
      <c r="B6" s="2" t="str">
        <f aca="false">14_SXT_Modos!B6&amp;" · "&amp;14_SXT_Modos!C6</f>
        <v>16:9 · ARRIRAW 2.8K</v>
      </c>
      <c r="C6" s="20" t="n">
        <f aca="false">14_SXT_Modos!O6</f>
        <v>27.26</v>
      </c>
      <c r="D6" s="13" t="str">
        <f aca="false">IF(17_Opticas_SuperSpeed!$Q$2&gt;=$C6,"CUBRE",IF(17_Opticas_SuperSpeed!$P$2&gt;=$C6,"LÍMITE",IF(17_Opticas_SuperSpeed!$P$2&gt;=$C6-1,"RIESGO","VIÑETEA")))</f>
        <v>CUBRE</v>
      </c>
      <c r="E6" s="13" t="str">
        <f aca="false">IF(17_Opticas_SuperSpeed!$Q$3&gt;=$C6,"CUBRE",IF(17_Opticas_SuperSpeed!$P$3&gt;=$C6,"LÍMITE",IF(17_Opticas_SuperSpeed!$P$3&gt;=$C6-1,"RIESGO","VIÑETEA")))</f>
        <v>CUBRE</v>
      </c>
      <c r="F6" s="13" t="str">
        <f aca="false">IF(17_Opticas_SuperSpeed!$Q$4&gt;=$C6,"CUBRE",IF(17_Opticas_SuperSpeed!$P$4&gt;=$C6,"LÍMITE",IF(17_Opticas_SuperSpeed!$P$4&gt;=$C6-1,"RIESGO","VIÑETEA")))</f>
        <v>CUBRE</v>
      </c>
      <c r="G6" s="13" t="str">
        <f aca="false">IF(17_Opticas_SuperSpeed!$Q$5&gt;=$C6,"CUBRE",IF(17_Opticas_SuperSpeed!$P$5&gt;=$C6,"LÍMITE",IF(17_Opticas_SuperSpeed!$P$5&gt;=$C6-1,"RIESGO","VIÑETEA")))</f>
        <v>CUBRE</v>
      </c>
      <c r="H6" s="13" t="str">
        <f aca="false">IF(17_Opticas_SuperSpeed!$Q$6&gt;=$C6,"CUBRE",IF(17_Opticas_SuperSpeed!$P$6&gt;=$C6,"LÍMITE",IF(17_Opticas_SuperSpeed!$P$6&gt;=$C6-1,"RIESGO","VIÑETEA")))</f>
        <v>CUBRE</v>
      </c>
      <c r="I6" s="2" t="str">
        <f aca="false">14_SXT_Modos!S6</f>
        <v>Sí</v>
      </c>
    </row>
    <row r="7" customFormat="false" ht="15" hidden="false" customHeight="false" outlineLevel="0" collapsed="false">
      <c r="A7" s="2" t="str">
        <f aca="false">14_SXT_Modos!A7</f>
        <v>SXT-06</v>
      </c>
      <c r="B7" s="2" t="str">
        <f aca="false">14_SXT_Modos!B7&amp;" · "&amp;14_SXT_Modos!C7</f>
        <v>16:9 · ARRIRAW 3.2K</v>
      </c>
      <c r="C7" s="20" t="n">
        <f aca="false">14_SXT_Modos!O7</f>
        <v>29.99</v>
      </c>
      <c r="D7" s="13" t="str">
        <f aca="false">IF(17_Opticas_SuperSpeed!$Q$2&gt;=$C7,"CUBRE",IF(17_Opticas_SuperSpeed!$P$2&gt;=$C7,"LÍMITE",IF(17_Opticas_SuperSpeed!$P$2&gt;=$C7-1,"RIESGO","VIÑETEA")))</f>
        <v>CUBRE</v>
      </c>
      <c r="E7" s="13" t="str">
        <f aca="false">IF(17_Opticas_SuperSpeed!$Q$3&gt;=$C7,"CUBRE",IF(17_Opticas_SuperSpeed!$P$3&gt;=$C7,"LÍMITE",IF(17_Opticas_SuperSpeed!$P$3&gt;=$C7-1,"RIESGO","VIÑETEA")))</f>
        <v>CUBRE</v>
      </c>
      <c r="F7" s="13" t="str">
        <f aca="false">IF(17_Opticas_SuperSpeed!$Q$4&gt;=$C7,"CUBRE",IF(17_Opticas_SuperSpeed!$P$4&gt;=$C7,"LÍMITE",IF(17_Opticas_SuperSpeed!$P$4&gt;=$C7-1,"RIESGO","VIÑETEA")))</f>
        <v>CUBRE</v>
      </c>
      <c r="G7" s="13" t="str">
        <f aca="false">IF(17_Opticas_SuperSpeed!$Q$5&gt;=$C7,"CUBRE",IF(17_Opticas_SuperSpeed!$P$5&gt;=$C7,"LÍMITE",IF(17_Opticas_SuperSpeed!$P$5&gt;=$C7-1,"RIESGO","VIÑETEA")))</f>
        <v>CUBRE</v>
      </c>
      <c r="H7" s="13" t="str">
        <f aca="false">IF(17_Opticas_SuperSpeed!$Q$6&gt;=$C7,"CUBRE",IF(17_Opticas_SuperSpeed!$P$6&gt;=$C7,"LÍMITE",IF(17_Opticas_SuperSpeed!$P$6&gt;=$C7-1,"RIESGO","VIÑETEA")))</f>
        <v>CUBRE</v>
      </c>
      <c r="I7" s="2" t="str">
        <f aca="false">14_SXT_Modos!S7</f>
        <v>Sí</v>
      </c>
    </row>
    <row r="8" customFormat="false" ht="15" hidden="false" customHeight="false" outlineLevel="0" collapsed="false">
      <c r="A8" s="2" t="str">
        <f aca="false">14_SXT_Modos!A8</f>
        <v>SXT-07</v>
      </c>
      <c r="B8" s="2" t="str">
        <f aca="false">14_SXT_Modos!B8&amp;" · "&amp;14_SXT_Modos!C8</f>
        <v>6:5 · ProRes 2K Anamórfico</v>
      </c>
      <c r="C8" s="20" t="n">
        <f aca="false">14_SXT_Modos!O8</f>
        <v>27.56</v>
      </c>
      <c r="D8" s="13" t="str">
        <f aca="false">IF(17_Opticas_SuperSpeed!$Q$2&gt;=$C8,"CUBRE",IF(17_Opticas_SuperSpeed!$P$2&gt;=$C8,"LÍMITE",IF(17_Opticas_SuperSpeed!$P$2&gt;=$C8-1,"RIESGO","VIÑETEA")))</f>
        <v>CUBRE</v>
      </c>
      <c r="E8" s="13" t="str">
        <f aca="false">IF(17_Opticas_SuperSpeed!$Q$3&gt;=$C8,"CUBRE",IF(17_Opticas_SuperSpeed!$P$3&gt;=$C8,"LÍMITE",IF(17_Opticas_SuperSpeed!$P$3&gt;=$C8-1,"RIESGO","VIÑETEA")))</f>
        <v>CUBRE</v>
      </c>
      <c r="F8" s="13" t="str">
        <f aca="false">IF(17_Opticas_SuperSpeed!$Q$4&gt;=$C8,"CUBRE",IF(17_Opticas_SuperSpeed!$P$4&gt;=$C8,"LÍMITE",IF(17_Opticas_SuperSpeed!$P$4&gt;=$C8-1,"RIESGO","VIÑETEA")))</f>
        <v>CUBRE</v>
      </c>
      <c r="G8" s="13" t="str">
        <f aca="false">IF(17_Opticas_SuperSpeed!$Q$5&gt;=$C8,"CUBRE",IF(17_Opticas_SuperSpeed!$P$5&gt;=$C8,"LÍMITE",IF(17_Opticas_SuperSpeed!$P$5&gt;=$C8-1,"RIESGO","VIÑETEA")))</f>
        <v>CUBRE</v>
      </c>
      <c r="H8" s="13" t="str">
        <f aca="false">IF(17_Opticas_SuperSpeed!$Q$6&gt;=$C8,"CUBRE",IF(17_Opticas_SuperSpeed!$P$6&gt;=$C8,"LÍMITE",IF(17_Opticas_SuperSpeed!$P$6&gt;=$C8-1,"RIESGO","VIÑETEA")))</f>
        <v>CUBRE</v>
      </c>
      <c r="I8" s="2" t="str">
        <f aca="false">14_SXT_Modos!S8</f>
        <v>No (diseñado para 2x anamórfico)</v>
      </c>
    </row>
    <row r="9" customFormat="false" ht="15" hidden="false" customHeight="false" outlineLevel="0" collapsed="false">
      <c r="A9" s="2" t="str">
        <f aca="false">14_SXT_Modos!A9</f>
        <v>SXT-08</v>
      </c>
      <c r="B9" s="2" t="str">
        <f aca="false">14_SXT_Modos!B9&amp;" · "&amp;14_SXT_Modos!C9</f>
        <v>6:5 · ProRes 4K Cine Anamórfico</v>
      </c>
      <c r="C9" s="20" t="n">
        <f aca="false">14_SXT_Modos!O9</f>
        <v>27.56</v>
      </c>
      <c r="D9" s="13" t="str">
        <f aca="false">IF(17_Opticas_SuperSpeed!$Q$2&gt;=$C9,"CUBRE",IF(17_Opticas_SuperSpeed!$P$2&gt;=$C9,"LÍMITE",IF(17_Opticas_SuperSpeed!$P$2&gt;=$C9-1,"RIESGO","VIÑETEA")))</f>
        <v>CUBRE</v>
      </c>
      <c r="E9" s="13" t="str">
        <f aca="false">IF(17_Opticas_SuperSpeed!$Q$3&gt;=$C9,"CUBRE",IF(17_Opticas_SuperSpeed!$P$3&gt;=$C9,"LÍMITE",IF(17_Opticas_SuperSpeed!$P$3&gt;=$C9-1,"RIESGO","VIÑETEA")))</f>
        <v>CUBRE</v>
      </c>
      <c r="F9" s="13" t="str">
        <f aca="false">IF(17_Opticas_SuperSpeed!$Q$4&gt;=$C9,"CUBRE",IF(17_Opticas_SuperSpeed!$P$4&gt;=$C9,"LÍMITE",IF(17_Opticas_SuperSpeed!$P$4&gt;=$C9-1,"RIESGO","VIÑETEA")))</f>
        <v>CUBRE</v>
      </c>
      <c r="G9" s="13" t="str">
        <f aca="false">IF(17_Opticas_SuperSpeed!$Q$5&gt;=$C9,"CUBRE",IF(17_Opticas_SuperSpeed!$P$5&gt;=$C9,"LÍMITE",IF(17_Opticas_SuperSpeed!$P$5&gt;=$C9-1,"RIESGO","VIÑETEA")))</f>
        <v>CUBRE</v>
      </c>
      <c r="H9" s="13" t="str">
        <f aca="false">IF(17_Opticas_SuperSpeed!$Q$6&gt;=$C9,"CUBRE",IF(17_Opticas_SuperSpeed!$P$6&gt;=$C9,"LÍMITE",IF(17_Opticas_SuperSpeed!$P$6&gt;=$C9-1,"RIESGO","VIÑETEA")))</f>
        <v>CUBRE</v>
      </c>
      <c r="I9" s="2" t="str">
        <f aca="false">14_SXT_Modos!S9</f>
        <v>No (diseñado para 2x anamórfico)</v>
      </c>
    </row>
    <row r="10" customFormat="false" ht="15" hidden="false" customHeight="false" outlineLevel="0" collapsed="false">
      <c r="A10" s="2" t="str">
        <f aca="false">14_SXT_Modos!A10</f>
        <v>SXT-09</v>
      </c>
      <c r="B10" s="2" t="str">
        <f aca="false">14_SXT_Modos!B10&amp;" · "&amp;14_SXT_Modos!C10</f>
        <v>6:5 · ARRIRAW 2.6K</v>
      </c>
      <c r="C10" s="20" t="n">
        <f aca="false">14_SXT_Modos!O10</f>
        <v>27.83</v>
      </c>
      <c r="D10" s="13" t="str">
        <f aca="false">IF(17_Opticas_SuperSpeed!$Q$2&gt;=$C10,"CUBRE",IF(17_Opticas_SuperSpeed!$P$2&gt;=$C10,"LÍMITE",IF(17_Opticas_SuperSpeed!$P$2&gt;=$C10-1,"RIESGO","VIÑETEA")))</f>
        <v>CUBRE</v>
      </c>
      <c r="E10" s="13" t="str">
        <f aca="false">IF(17_Opticas_SuperSpeed!$Q$3&gt;=$C10,"CUBRE",IF(17_Opticas_SuperSpeed!$P$3&gt;=$C10,"LÍMITE",IF(17_Opticas_SuperSpeed!$P$3&gt;=$C10-1,"RIESGO","VIÑETEA")))</f>
        <v>CUBRE</v>
      </c>
      <c r="F10" s="13" t="str">
        <f aca="false">IF(17_Opticas_SuperSpeed!$Q$4&gt;=$C10,"CUBRE",IF(17_Opticas_SuperSpeed!$P$4&gt;=$C10,"LÍMITE",IF(17_Opticas_SuperSpeed!$P$4&gt;=$C10-1,"RIESGO","VIÑETEA")))</f>
        <v>CUBRE</v>
      </c>
      <c r="G10" s="13" t="str">
        <f aca="false">IF(17_Opticas_SuperSpeed!$Q$5&gt;=$C10,"CUBRE",IF(17_Opticas_SuperSpeed!$P$5&gt;=$C10,"LÍMITE",IF(17_Opticas_SuperSpeed!$P$5&gt;=$C10-1,"RIESGO","VIÑETEA")))</f>
        <v>CUBRE</v>
      </c>
      <c r="H10" s="13" t="str">
        <f aca="false">IF(17_Opticas_SuperSpeed!$Q$6&gt;=$C10,"CUBRE",IF(17_Opticas_SuperSpeed!$P$6&gt;=$C10,"LÍMITE",IF(17_Opticas_SuperSpeed!$P$6&gt;=$C10-1,"RIESGO","VIÑETEA")))</f>
        <v>CUBRE</v>
      </c>
      <c r="I10" s="2" t="str">
        <f aca="false">14_SXT_Modos!S10</f>
        <v>No (diseñado para 2x anamórfico)</v>
      </c>
    </row>
    <row r="11" customFormat="false" ht="15" hidden="false" customHeight="false" outlineLevel="0" collapsed="false">
      <c r="A11" s="2" t="str">
        <f aca="false">14_SXT_Modos!A11</f>
        <v>SXT-10</v>
      </c>
      <c r="B11" s="2" t="str">
        <f aca="false">14_SXT_Modos!B11&amp;" · "&amp;14_SXT_Modos!C11</f>
        <v>4:3 · ProRes 2.8K</v>
      </c>
      <c r="C11" s="20" t="n">
        <f aca="false">14_SXT_Modos!O11</f>
        <v>29.7</v>
      </c>
      <c r="D11" s="13" t="str">
        <f aca="false">IF(17_Opticas_SuperSpeed!$Q$2&gt;=$C11,"CUBRE",IF(17_Opticas_SuperSpeed!$P$2&gt;=$C11,"LÍMITE",IF(17_Opticas_SuperSpeed!$P$2&gt;=$C11-1,"RIESGO","VIÑETEA")))</f>
        <v>CUBRE</v>
      </c>
      <c r="E11" s="13" t="str">
        <f aca="false">IF(17_Opticas_SuperSpeed!$Q$3&gt;=$C11,"CUBRE",IF(17_Opticas_SuperSpeed!$P$3&gt;=$C11,"LÍMITE",IF(17_Opticas_SuperSpeed!$P$3&gt;=$C11-1,"RIESGO","VIÑETEA")))</f>
        <v>CUBRE</v>
      </c>
      <c r="F11" s="13" t="str">
        <f aca="false">IF(17_Opticas_SuperSpeed!$Q$4&gt;=$C11,"CUBRE",IF(17_Opticas_SuperSpeed!$P$4&gt;=$C11,"LÍMITE",IF(17_Opticas_SuperSpeed!$P$4&gt;=$C11-1,"RIESGO","VIÑETEA")))</f>
        <v>CUBRE</v>
      </c>
      <c r="G11" s="13" t="str">
        <f aca="false">IF(17_Opticas_SuperSpeed!$Q$5&gt;=$C11,"CUBRE",IF(17_Opticas_SuperSpeed!$P$5&gt;=$C11,"LÍMITE",IF(17_Opticas_SuperSpeed!$P$5&gt;=$C11-1,"RIESGO","VIÑETEA")))</f>
        <v>CUBRE</v>
      </c>
      <c r="H11" s="13" t="str">
        <f aca="false">IF(17_Opticas_SuperSpeed!$Q$6&gt;=$C11,"CUBRE",IF(17_Opticas_SuperSpeed!$P$6&gt;=$C11,"LÍMITE",IF(17_Opticas_SuperSpeed!$P$6&gt;=$C11-1,"RIESGO","VIÑETEA")))</f>
        <v>CUBRE</v>
      </c>
      <c r="I11" s="2" t="str">
        <f aca="false">14_SXT_Modos!S11</f>
        <v>Sí</v>
      </c>
    </row>
    <row r="12" customFormat="false" ht="15" hidden="false" customHeight="false" outlineLevel="0" collapsed="false">
      <c r="A12" s="2" t="str">
        <f aca="false">14_SXT_Modos!A12</f>
        <v>SXT-11</v>
      </c>
      <c r="B12" s="2" t="str">
        <f aca="false">14_SXT_Modos!B12&amp;" · "&amp;14_SXT_Modos!C12</f>
        <v>4:3 · ARRIRAW 2.8K</v>
      </c>
      <c r="C12" s="20" t="n">
        <f aca="false">14_SXT_Modos!O12</f>
        <v>29.7</v>
      </c>
      <c r="D12" s="13" t="str">
        <f aca="false">IF(17_Opticas_SuperSpeed!$Q$2&gt;=$C12,"CUBRE",IF(17_Opticas_SuperSpeed!$P$2&gt;=$C12,"LÍMITE",IF(17_Opticas_SuperSpeed!$P$2&gt;=$C12-1,"RIESGO","VIÑETEA")))</f>
        <v>CUBRE</v>
      </c>
      <c r="E12" s="13" t="str">
        <f aca="false">IF(17_Opticas_SuperSpeed!$Q$3&gt;=$C12,"CUBRE",IF(17_Opticas_SuperSpeed!$P$3&gt;=$C12,"LÍMITE",IF(17_Opticas_SuperSpeed!$P$3&gt;=$C12-1,"RIESGO","VIÑETEA")))</f>
        <v>CUBRE</v>
      </c>
      <c r="F12" s="13" t="str">
        <f aca="false">IF(17_Opticas_SuperSpeed!$Q$4&gt;=$C12,"CUBRE",IF(17_Opticas_SuperSpeed!$P$4&gt;=$C12,"LÍMITE",IF(17_Opticas_SuperSpeed!$P$4&gt;=$C12-1,"RIESGO","VIÑETEA")))</f>
        <v>CUBRE</v>
      </c>
      <c r="G12" s="13" t="str">
        <f aca="false">IF(17_Opticas_SuperSpeed!$Q$5&gt;=$C12,"CUBRE",IF(17_Opticas_SuperSpeed!$P$5&gt;=$C12,"LÍMITE",IF(17_Opticas_SuperSpeed!$P$5&gt;=$C12-1,"RIESGO","VIÑETEA")))</f>
        <v>CUBRE</v>
      </c>
      <c r="H12" s="13" t="str">
        <f aca="false">IF(17_Opticas_SuperSpeed!$Q$6&gt;=$C12,"CUBRE",IF(17_Opticas_SuperSpeed!$P$6&gt;=$C12,"LÍMITE",IF(17_Opticas_SuperSpeed!$P$6&gt;=$C12-1,"RIESGO","VIÑETEA")))</f>
        <v>CUBRE</v>
      </c>
      <c r="I12" s="2" t="str">
        <f aca="false">14_SXT_Modos!S12</f>
        <v>Sí (también 4:3 anamórfico)</v>
      </c>
    </row>
    <row r="13" customFormat="false" ht="15" hidden="false" customHeight="false" outlineLevel="0" collapsed="false">
      <c r="A13" s="2" t="str">
        <f aca="false">14_SXT_Modos!A13</f>
        <v>SXT-12</v>
      </c>
      <c r="B13" s="2" t="str">
        <f aca="false">14_SXT_Modos!B13&amp;" · "&amp;14_SXT_Modos!C13</f>
        <v>Open Gate · ProRes 3.4K</v>
      </c>
      <c r="C13" s="20" t="n">
        <f aca="false">14_SXT_Modos!O13</f>
        <v>33.59</v>
      </c>
      <c r="D13" s="13" t="str">
        <f aca="false">IF(17_Opticas_SuperSpeed!$Q$2&gt;=$C13,"CUBRE",IF(17_Opticas_SuperSpeed!$P$2&gt;=$C13,"LÍMITE",IF(17_Opticas_SuperSpeed!$P$2&gt;=$C13-1,"RIESGO","VIÑETEA")))</f>
        <v>RIESGO</v>
      </c>
      <c r="E13" s="13" t="str">
        <f aca="false">IF(17_Opticas_SuperSpeed!$Q$3&gt;=$C13,"CUBRE",IF(17_Opticas_SuperSpeed!$P$3&gt;=$C13,"LÍMITE",IF(17_Opticas_SuperSpeed!$P$3&gt;=$C13-1,"RIESGO","VIÑETEA")))</f>
        <v>CUBRE</v>
      </c>
      <c r="F13" s="13" t="str">
        <f aca="false">IF(17_Opticas_SuperSpeed!$Q$4&gt;=$C13,"CUBRE",IF(17_Opticas_SuperSpeed!$P$4&gt;=$C13,"LÍMITE",IF(17_Opticas_SuperSpeed!$P$4&gt;=$C13-1,"RIESGO","VIÑETEA")))</f>
        <v>CUBRE</v>
      </c>
      <c r="G13" s="13" t="str">
        <f aca="false">IF(17_Opticas_SuperSpeed!$Q$5&gt;=$C13,"CUBRE",IF(17_Opticas_SuperSpeed!$P$5&gt;=$C13,"LÍMITE",IF(17_Opticas_SuperSpeed!$P$5&gt;=$C13-1,"RIESGO","VIÑETEA")))</f>
        <v>CUBRE</v>
      </c>
      <c r="H13" s="13" t="str">
        <f aca="false">IF(17_Opticas_SuperSpeed!$Q$6&gt;=$C13,"CUBRE",IF(17_Opticas_SuperSpeed!$P$6&gt;=$C13,"LÍMITE",IF(17_Opticas_SuperSpeed!$P$6&gt;=$C13-1,"RIESGO","VIÑETEA")))</f>
        <v>CUBRE</v>
      </c>
      <c r="I13" s="2" t="str">
        <f aca="false">14_SXT_Modos!S13</f>
        <v>Sí, si la óptica cubre 33,6 mm</v>
      </c>
    </row>
    <row r="14" customFormat="false" ht="15" hidden="false" customHeight="false" outlineLevel="0" collapsed="false">
      <c r="A14" s="2" t="str">
        <f aca="false">14_SXT_Modos!A14</f>
        <v>SXT-13</v>
      </c>
      <c r="B14" s="2" t="str">
        <f aca="false">14_SXT_Modos!B14&amp;" · "&amp;14_SXT_Modos!C14</f>
        <v>Open Gate · ProRes 4K Cine</v>
      </c>
      <c r="C14" s="20" t="n">
        <f aca="false">14_SXT_Modos!O14</f>
        <v>33.5</v>
      </c>
      <c r="D14" s="13" t="str">
        <f aca="false">IF(17_Opticas_SuperSpeed!$Q$2&gt;=$C14,"CUBRE",IF(17_Opticas_SuperSpeed!$P$2&gt;=$C14,"LÍMITE",IF(17_Opticas_SuperSpeed!$P$2&gt;=$C14-1,"RIESGO","VIÑETEA")))</f>
        <v>RIESGO</v>
      </c>
      <c r="E14" s="13" t="str">
        <f aca="false">IF(17_Opticas_SuperSpeed!$Q$3&gt;=$C14,"CUBRE",IF(17_Opticas_SuperSpeed!$P$3&gt;=$C14,"LÍMITE",IF(17_Opticas_SuperSpeed!$P$3&gt;=$C14-1,"RIESGO","VIÑETEA")))</f>
        <v>CUBRE</v>
      </c>
      <c r="F14" s="13" t="str">
        <f aca="false">IF(17_Opticas_SuperSpeed!$Q$4&gt;=$C14,"CUBRE",IF(17_Opticas_SuperSpeed!$P$4&gt;=$C14,"LÍMITE",IF(17_Opticas_SuperSpeed!$P$4&gt;=$C14-1,"RIESGO","VIÑETEA")))</f>
        <v>CUBRE</v>
      </c>
      <c r="G14" s="13" t="str">
        <f aca="false">IF(17_Opticas_SuperSpeed!$Q$5&gt;=$C14,"CUBRE",IF(17_Opticas_SuperSpeed!$P$5&gt;=$C14,"LÍMITE",IF(17_Opticas_SuperSpeed!$P$5&gt;=$C14-1,"RIESGO","VIÑETEA")))</f>
        <v>CUBRE</v>
      </c>
      <c r="H14" s="13" t="str">
        <f aca="false">IF(17_Opticas_SuperSpeed!$Q$6&gt;=$C14,"CUBRE",IF(17_Opticas_SuperSpeed!$P$6&gt;=$C14,"LÍMITE",IF(17_Opticas_SuperSpeed!$P$6&gt;=$C14-1,"RIESGO","VIÑETEA")))</f>
        <v>CUBRE</v>
      </c>
      <c r="I14" s="2" t="str">
        <f aca="false">14_SXT_Modos!S14</f>
        <v>Sí, si la óptica cubre 33,5 mm</v>
      </c>
    </row>
    <row r="15" customFormat="false" ht="15" hidden="false" customHeight="false" outlineLevel="0" collapsed="false">
      <c r="A15" s="2" t="str">
        <f aca="false">14_SXT_Modos!A15</f>
        <v>SXT-14</v>
      </c>
      <c r="B15" s="2" t="str">
        <f aca="false">14_SXT_Modos!B15&amp;" · "&amp;14_SXT_Modos!C15</f>
        <v>Open Gate · ARRIRAW 3.4K</v>
      </c>
      <c r="C15" s="20" t="n">
        <f aca="false">14_SXT_Modos!O15</f>
        <v>33.59</v>
      </c>
      <c r="D15" s="13" t="str">
        <f aca="false">IF(17_Opticas_SuperSpeed!$Q$2&gt;=$C15,"CUBRE",IF(17_Opticas_SuperSpeed!$P$2&gt;=$C15,"LÍMITE",IF(17_Opticas_SuperSpeed!$P$2&gt;=$C15-1,"RIESGO","VIÑETEA")))</f>
        <v>RIESGO</v>
      </c>
      <c r="E15" s="13" t="str">
        <f aca="false">IF(17_Opticas_SuperSpeed!$Q$3&gt;=$C15,"CUBRE",IF(17_Opticas_SuperSpeed!$P$3&gt;=$C15,"LÍMITE",IF(17_Opticas_SuperSpeed!$P$3&gt;=$C15-1,"RIESGO","VIÑETEA")))</f>
        <v>CUBRE</v>
      </c>
      <c r="F15" s="13" t="str">
        <f aca="false">IF(17_Opticas_SuperSpeed!$Q$4&gt;=$C15,"CUBRE",IF(17_Opticas_SuperSpeed!$P$4&gt;=$C15,"LÍMITE",IF(17_Opticas_SuperSpeed!$P$4&gt;=$C15-1,"RIESGO","VIÑETEA")))</f>
        <v>CUBRE</v>
      </c>
      <c r="G15" s="13" t="str">
        <f aca="false">IF(17_Opticas_SuperSpeed!$Q$5&gt;=$C15,"CUBRE",IF(17_Opticas_SuperSpeed!$P$5&gt;=$C15,"LÍMITE",IF(17_Opticas_SuperSpeed!$P$5&gt;=$C15-1,"RIESGO","VIÑETEA")))</f>
        <v>CUBRE</v>
      </c>
      <c r="H15" s="13" t="str">
        <f aca="false">IF(17_Opticas_SuperSpeed!$Q$6&gt;=$C15,"CUBRE",IF(17_Opticas_SuperSpeed!$P$6&gt;=$C15,"LÍMITE",IF(17_Opticas_SuperSpeed!$P$6&gt;=$C15-1,"RIESGO","VIÑETEA")))</f>
        <v>CUBRE</v>
      </c>
      <c r="I15" s="2" t="str">
        <f aca="false">14_SXT_Modos!S15</f>
        <v>Sí, si la óptica cubre 33,6 mm</v>
      </c>
    </row>
    <row r="17" customFormat="false" ht="31.5" hidden="false" customHeight="true" outlineLevel="0" collapsed="false">
      <c r="A17" s="2" t="s">
        <v>411</v>
      </c>
      <c r="B17" s="6" t="s">
        <v>1026</v>
      </c>
      <c r="C17" s="6"/>
      <c r="D17" s="6"/>
      <c r="E17" s="6"/>
      <c r="F17" s="6"/>
      <c r="G17" s="6"/>
      <c r="H17" s="6"/>
      <c r="I17" s="6"/>
    </row>
    <row r="18" customFormat="false" ht="31.5" hidden="false" customHeight="true" outlineLevel="0" collapsed="false">
      <c r="A18" s="2"/>
      <c r="B18" s="6" t="s">
        <v>1027</v>
      </c>
      <c r="C18" s="6"/>
      <c r="D18" s="6"/>
      <c r="E18" s="6"/>
      <c r="F18" s="6"/>
      <c r="G18" s="6"/>
      <c r="H18" s="6"/>
      <c r="I18" s="6"/>
    </row>
    <row r="19" customFormat="false" ht="31.5" hidden="false" customHeight="true" outlineLevel="0" collapsed="false">
      <c r="A19" s="2"/>
      <c r="B19" s="6" t="s">
        <v>1028</v>
      </c>
      <c r="C19" s="6"/>
      <c r="D19" s="6"/>
      <c r="E19" s="6"/>
      <c r="F19" s="6"/>
      <c r="G19" s="6"/>
      <c r="H19" s="6"/>
      <c r="I19" s="6"/>
    </row>
    <row r="20" customFormat="false" ht="31.5" hidden="false" customHeight="true" outlineLevel="0" collapsed="false">
      <c r="A20" s="2"/>
      <c r="B20" s="6" t="s">
        <v>1029</v>
      </c>
      <c r="C20" s="6"/>
      <c r="D20" s="6"/>
      <c r="E20" s="6"/>
      <c r="F20" s="6"/>
      <c r="G20" s="6"/>
      <c r="H20" s="6"/>
      <c r="I20" s="6"/>
    </row>
    <row r="21" customFormat="false" ht="31.5" hidden="false" customHeight="true" outlineLevel="0" collapsed="false">
      <c r="A21" s="2"/>
      <c r="B21" s="6" t="s">
        <v>1030</v>
      </c>
      <c r="C21" s="6"/>
      <c r="D21" s="6"/>
      <c r="E21" s="6"/>
      <c r="F21" s="6"/>
      <c r="G21" s="6"/>
      <c r="H21" s="6"/>
      <c r="I21" s="6"/>
    </row>
  </sheetData>
  <autoFilter ref="A1:I15"/>
  <mergeCells count="5">
    <mergeCell ref="B17:I17"/>
    <mergeCell ref="B18:I18"/>
    <mergeCell ref="B19:I19"/>
    <mergeCell ref="B20:I20"/>
    <mergeCell ref="B21:I21"/>
  </mergeCells>
  <conditionalFormatting sqref="D2:H15">
    <cfRule type="expression" priority="2" aboveAverage="0" equalAverage="0" bottom="0" percent="0" rank="0" text="" dxfId="11">
      <formula>D2="CUBRE"</formula>
    </cfRule>
    <cfRule type="expression" priority="3" aboveAverage="0" equalAverage="0" bottom="0" percent="0" rank="0" text="" dxfId="12">
      <formula>D2="LÍMITE"</formula>
    </cfRule>
    <cfRule type="expression" priority="4" aboveAverage="0" equalAverage="0" bottom="0" percent="0" rank="0" text="" dxfId="14">
      <formula>D2="RIESGO"</formula>
    </cfRule>
    <cfRule type="expression" priority="5" aboveAverage="0" equalAverage="0" bottom="0" percent="0" rank="0" text="" dxfId="13">
      <formula>D2="VIÑETEA"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0"/>
    <col collapsed="false" customWidth="true" hidden="false" outlineLevel="0" max="4" min="4" style="0" width="50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265</v>
      </c>
      <c r="B1" s="1" t="s">
        <v>1031</v>
      </c>
      <c r="C1" s="1" t="s">
        <v>1032</v>
      </c>
      <c r="D1" s="1" t="s">
        <v>1033</v>
      </c>
      <c r="E1" s="1" t="s">
        <v>1034</v>
      </c>
      <c r="F1" s="1" t="s">
        <v>1035</v>
      </c>
    </row>
    <row r="2" customFormat="false" ht="15" hidden="false" customHeight="false" outlineLevel="0" collapsed="false">
      <c r="A2" s="2" t="s">
        <v>268</v>
      </c>
      <c r="B2" s="2" t="s">
        <v>1036</v>
      </c>
      <c r="C2" s="2" t="s">
        <v>1037</v>
      </c>
      <c r="D2" s="2" t="s">
        <v>1038</v>
      </c>
      <c r="E2" s="2" t="s">
        <v>1039</v>
      </c>
      <c r="F2" s="2" t="s">
        <v>31</v>
      </c>
    </row>
    <row r="3" customFormat="false" ht="28.35" hidden="false" customHeight="false" outlineLevel="0" collapsed="false">
      <c r="A3" s="2" t="s">
        <v>272</v>
      </c>
      <c r="B3" s="2" t="s">
        <v>1040</v>
      </c>
      <c r="C3" s="2" t="s">
        <v>1041</v>
      </c>
      <c r="D3" s="2" t="s">
        <v>1042</v>
      </c>
      <c r="E3" s="2" t="s">
        <v>1043</v>
      </c>
      <c r="F3" s="2" t="s">
        <v>35</v>
      </c>
    </row>
    <row r="4" customFormat="false" ht="28.35" hidden="false" customHeight="false" outlineLevel="0" collapsed="false">
      <c r="A4" s="2" t="s">
        <v>276</v>
      </c>
      <c r="B4" s="2" t="s">
        <v>1044</v>
      </c>
      <c r="C4" s="2" t="s">
        <v>1045</v>
      </c>
      <c r="D4" s="2" t="s">
        <v>1046</v>
      </c>
      <c r="E4" s="2" t="s">
        <v>1047</v>
      </c>
      <c r="F4" s="2" t="s">
        <v>47</v>
      </c>
    </row>
    <row r="5" customFormat="false" ht="28.35" hidden="false" customHeight="false" outlineLevel="0" collapsed="false">
      <c r="A5" s="2" t="s">
        <v>279</v>
      </c>
      <c r="B5" s="2" t="s">
        <v>1048</v>
      </c>
      <c r="C5" s="2" t="s">
        <v>1049</v>
      </c>
      <c r="D5" s="2" t="s">
        <v>1050</v>
      </c>
      <c r="E5" s="2" t="s">
        <v>1051</v>
      </c>
      <c r="F5" s="2" t="s">
        <v>51</v>
      </c>
    </row>
    <row r="6" customFormat="false" ht="28.35" hidden="false" customHeight="false" outlineLevel="0" collapsed="false">
      <c r="A6" s="2" t="s">
        <v>283</v>
      </c>
      <c r="B6" s="2" t="s">
        <v>1052</v>
      </c>
      <c r="C6" s="2" t="s">
        <v>1053</v>
      </c>
      <c r="D6" s="2" t="s">
        <v>1054</v>
      </c>
      <c r="E6" s="2" t="s">
        <v>1055</v>
      </c>
      <c r="F6" s="2" t="s">
        <v>1056</v>
      </c>
    </row>
    <row r="7" customFormat="false" ht="28.35" hidden="false" customHeight="false" outlineLevel="0" collapsed="false">
      <c r="A7" s="2" t="s">
        <v>285</v>
      </c>
      <c r="B7" s="2" t="s">
        <v>1057</v>
      </c>
      <c r="C7" s="2" t="s">
        <v>1058</v>
      </c>
      <c r="D7" s="2" t="s">
        <v>1059</v>
      </c>
      <c r="E7" s="2" t="s">
        <v>1060</v>
      </c>
      <c r="F7" s="2" t="s">
        <v>39</v>
      </c>
    </row>
    <row r="8" customFormat="false" ht="28.35" hidden="false" customHeight="false" outlineLevel="0" collapsed="false">
      <c r="A8" s="2" t="s">
        <v>287</v>
      </c>
      <c r="B8" s="2" t="s">
        <v>1061</v>
      </c>
      <c r="C8" s="2" t="s">
        <v>1062</v>
      </c>
      <c r="D8" s="2" t="s">
        <v>1063</v>
      </c>
      <c r="E8" s="2" t="s">
        <v>1064</v>
      </c>
      <c r="F8" s="2" t="s">
        <v>43</v>
      </c>
    </row>
    <row r="9" customFormat="false" ht="28.35" hidden="false" customHeight="false" outlineLevel="0" collapsed="false">
      <c r="A9" s="2" t="s">
        <v>291</v>
      </c>
      <c r="B9" s="2" t="s">
        <v>1065</v>
      </c>
      <c r="C9" s="2" t="s">
        <v>21</v>
      </c>
      <c r="D9" s="2" t="s">
        <v>1066</v>
      </c>
      <c r="E9" s="2" t="s">
        <v>1067</v>
      </c>
      <c r="F9" s="2" t="s">
        <v>58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2026-08-10T11:02:42Z</dcterms:created>
  <dc:creator>openpyxl</dc:creator>
  <dc:description/>
  <dc:language>en-US</dc:language>
  <cp:lastModifiedBy/>
  <dcterms:modified xsi:type="dcterms:W3CDTF">2026-10-03T20:05:16Z</dcterms:modified>
  <cp:revision>0</cp:revision>
  <dc:subject/>
  <dc:title>IRIS_DP_v2_0_FLUJO_SXT_SUPERSPEED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